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SUFYAN\Personal\Portfolio Projects\Excel Project\"/>
    </mc:Choice>
  </mc:AlternateContent>
  <xr:revisionPtr revIDLastSave="0" documentId="13_ncr:1_{61A41372-DB69-442F-9FA1-E284EB8F7AB2}" xr6:coauthVersionLast="47" xr6:coauthVersionMax="47" xr10:uidLastSave="{00000000-0000-0000-0000-000000000000}"/>
  <bookViews>
    <workbookView xWindow="-108" yWindow="-108" windowWidth="23256" windowHeight="12456" xr2:uid="{00000000-000D-0000-FFFF-FFFF00000000}"/>
  </bookViews>
  <sheets>
    <sheet name="Project Review" sheetId="10" r:id="rId1"/>
    <sheet name="1 - Raw Data (Dirty)" sheetId="1" r:id="rId2"/>
    <sheet name="2- Clean Data" sheetId="3" r:id="rId3"/>
    <sheet name="3- Pivot Table" sheetId="4" r:id="rId4"/>
    <sheet name="4- Charts &amp; Graphs" sheetId="5" r:id="rId5"/>
    <sheet name="5-Dashboard" sheetId="9" r:id="rId6"/>
  </sheets>
  <definedNames>
    <definedName name="_xlnm._FilterDatabase" localSheetId="2" hidden="1">'2- Clean Data'!$C$8:$O$1013</definedName>
    <definedName name="Slicer_Age_Group">#N/A</definedName>
    <definedName name="Slicer_City">#N/A</definedName>
    <definedName name="Slicer_Department">#N/A</definedName>
    <definedName name="Slicer_Docto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13" i="3" l="1"/>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G8" i="9"/>
  <c r="C8" i="9"/>
</calcChain>
</file>

<file path=xl/sharedStrings.xml><?xml version="1.0" encoding="utf-8"?>
<sst xmlns="http://schemas.openxmlformats.org/spreadsheetml/2006/main" count="18469" uniqueCount="2157">
  <si>
    <t>Patient ID</t>
  </si>
  <si>
    <t>Patient Name</t>
  </si>
  <si>
    <t>Age</t>
  </si>
  <si>
    <t>Gender</t>
  </si>
  <si>
    <t>City</t>
  </si>
  <si>
    <t>Department</t>
  </si>
  <si>
    <t>Doctor</t>
  </si>
  <si>
    <t>Admission Date</t>
  </si>
  <si>
    <t>Discharge Date</t>
  </si>
  <si>
    <t>Treatment Cost (PKR)</t>
  </si>
  <si>
    <t>Payment Method</t>
  </si>
  <si>
    <t>Status</t>
  </si>
  <si>
    <t>P0001</t>
  </si>
  <si>
    <t>Tariq Siddiqui</t>
  </si>
  <si>
    <t>Male</t>
  </si>
  <si>
    <t>Lahore</t>
  </si>
  <si>
    <t>Orthopedics</t>
  </si>
  <si>
    <t>Dr. Ayesha</t>
  </si>
  <si>
    <t>14-02-2024</t>
  </si>
  <si>
    <t>23-02-2024</t>
  </si>
  <si>
    <t>Cash</t>
  </si>
  <si>
    <t>Discharged</t>
  </si>
  <si>
    <t>P0002</t>
  </si>
  <si>
    <t>Hassan Ansari</t>
  </si>
  <si>
    <t>Faisalbad</t>
  </si>
  <si>
    <t>Oncology</t>
  </si>
  <si>
    <t>Dr. Tariq</t>
  </si>
  <si>
    <t>07/17/2024</t>
  </si>
  <si>
    <t>14-08-2024</t>
  </si>
  <si>
    <t>Insurance</t>
  </si>
  <si>
    <t>P0003</t>
  </si>
  <si>
    <t>Nadia Sheikh</t>
  </si>
  <si>
    <t>Female</t>
  </si>
  <si>
    <t>Karachi</t>
  </si>
  <si>
    <t>Neurology</t>
  </si>
  <si>
    <t>Dr. Imran</t>
  </si>
  <si>
    <t>01-03-2024</t>
  </si>
  <si>
    <t>Online Transfer</t>
  </si>
  <si>
    <t>Recovered</t>
  </si>
  <si>
    <t>P0004</t>
  </si>
  <si>
    <t>Bilal Nawaz</t>
  </si>
  <si>
    <t>female</t>
  </si>
  <si>
    <t>General</t>
  </si>
  <si>
    <t>11-02-2024</t>
  </si>
  <si>
    <t>26-02-2024</t>
  </si>
  <si>
    <t>P0005</t>
  </si>
  <si>
    <t>Sara Mirza</t>
  </si>
  <si>
    <t>MULTAN</t>
  </si>
  <si>
    <t>Dr. Farah</t>
  </si>
  <si>
    <t>03-09-2024</t>
  </si>
  <si>
    <t>P0006</t>
  </si>
  <si>
    <t>Fatima Khan</t>
  </si>
  <si>
    <t>Multan</t>
  </si>
  <si>
    <t>Dr. Sana</t>
  </si>
  <si>
    <t>12-03-2024</t>
  </si>
  <si>
    <t>Under Treatment</t>
  </si>
  <si>
    <t>P0007</t>
  </si>
  <si>
    <t>Amna Niazi</t>
  </si>
  <si>
    <t>Islamabad</t>
  </si>
  <si>
    <t>26-07-2024</t>
  </si>
  <si>
    <t>02-08-2024</t>
  </si>
  <si>
    <t>P0008</t>
  </si>
  <si>
    <t>29-01-2024</t>
  </si>
  <si>
    <t>03-02-2024</t>
  </si>
  <si>
    <t>P0009</t>
  </si>
  <si>
    <t>Fatima Hassan</t>
  </si>
  <si>
    <t>07/28/2024</t>
  </si>
  <si>
    <t>Card</t>
  </si>
  <si>
    <t>P0010</t>
  </si>
  <si>
    <t>Fariha Qureshi</t>
  </si>
  <si>
    <t>Faisalabad</t>
  </si>
  <si>
    <t>04/05/2024</t>
  </si>
  <si>
    <t>27-04-2024</t>
  </si>
  <si>
    <t>P0011</t>
  </si>
  <si>
    <t>Asad Ahmed</t>
  </si>
  <si>
    <t>Peshwar</t>
  </si>
  <si>
    <t>Pediatrics</t>
  </si>
  <si>
    <t>07/23/2024</t>
  </si>
  <si>
    <t>05-08-2024</t>
  </si>
  <si>
    <t>P0012</t>
  </si>
  <si>
    <t>Zara Ahmed</t>
  </si>
  <si>
    <t>06/08/2024</t>
  </si>
  <si>
    <t>06-07-2024</t>
  </si>
  <si>
    <t>P0013</t>
  </si>
  <si>
    <t>Mehwish Akhtar</t>
  </si>
  <si>
    <t>Peshawar</t>
  </si>
  <si>
    <t>11-03-2024</t>
  </si>
  <si>
    <t>Critical</t>
  </si>
  <si>
    <t>P0014</t>
  </si>
  <si>
    <t>Ahmed Iqbal</t>
  </si>
  <si>
    <t>06-03-2024</t>
  </si>
  <si>
    <t>05-04-2024</t>
  </si>
  <si>
    <t>P0015</t>
  </si>
  <si>
    <t>Hina Niazi</t>
  </si>
  <si>
    <t>13-08-2024</t>
  </si>
  <si>
    <t>20-08-2024</t>
  </si>
  <si>
    <t>Credit Card</t>
  </si>
  <si>
    <t>P0016</t>
  </si>
  <si>
    <t>Sana Khan</t>
  </si>
  <si>
    <t>Dr. Zubair</t>
  </si>
  <si>
    <t>08-04-2024</t>
  </si>
  <si>
    <t>07-05-2024</t>
  </si>
  <si>
    <t>P0017</t>
  </si>
  <si>
    <t>Saima Qureshi</t>
  </si>
  <si>
    <t>Dr. Khalid</t>
  </si>
  <si>
    <t>27-02-2024</t>
  </si>
  <si>
    <t>15-03-2024</t>
  </si>
  <si>
    <t>P0018</t>
  </si>
  <si>
    <t>Imran Butt</t>
  </si>
  <si>
    <t>Quetta</t>
  </si>
  <si>
    <t>15-08-2024</t>
  </si>
  <si>
    <t>14-09-2024</t>
  </si>
  <si>
    <t>P0019</t>
  </si>
  <si>
    <t xml:space="preserve">  Farhan Nawaz  </t>
  </si>
  <si>
    <t>20-03-2024</t>
  </si>
  <si>
    <t>P0020</t>
  </si>
  <si>
    <t>Sara Ansari</t>
  </si>
  <si>
    <t>Queta</t>
  </si>
  <si>
    <t>21-10-2024</t>
  </si>
  <si>
    <t>31-10-2024</t>
  </si>
  <si>
    <t>P0021</t>
  </si>
  <si>
    <t>Tariq Sheikh</t>
  </si>
  <si>
    <t>Islambad</t>
  </si>
  <si>
    <t>16-08-2024</t>
  </si>
  <si>
    <t>13-09-2024</t>
  </si>
  <si>
    <t>P0022</t>
  </si>
  <si>
    <t>Sana Chaudhry</t>
  </si>
  <si>
    <t>Emergency</t>
  </si>
  <si>
    <t>14-07-2024</t>
  </si>
  <si>
    <t>20-07-2024</t>
  </si>
  <si>
    <t>P0023</t>
  </si>
  <si>
    <t>Ahmed Nawaz</t>
  </si>
  <si>
    <t>Cardiology</t>
  </si>
  <si>
    <t>17-06-2024</t>
  </si>
  <si>
    <t>13-07-2024</t>
  </si>
  <si>
    <t>P0024</t>
  </si>
  <si>
    <t xml:space="preserve">  Zubair Khan  </t>
  </si>
  <si>
    <t>12-06-2024</t>
  </si>
  <si>
    <t>26-06-2024</t>
  </si>
  <si>
    <t>P0025</t>
  </si>
  <si>
    <t>Krachi</t>
  </si>
  <si>
    <t>GENERAL</t>
  </si>
  <si>
    <t>15-05-2024</t>
  </si>
  <si>
    <t>P0026</t>
  </si>
  <si>
    <t>05/19/2024</t>
  </si>
  <si>
    <t>28-05-2024</t>
  </si>
  <si>
    <t>P0027</t>
  </si>
  <si>
    <t>Omer Nawaz</t>
  </si>
  <si>
    <t>02/11/2024</t>
  </si>
  <si>
    <t>P0028</t>
  </si>
  <si>
    <t>Usman Nawaz</t>
  </si>
  <si>
    <t>19-07-2024</t>
  </si>
  <si>
    <t>P0029</t>
  </si>
  <si>
    <t>Kamran Ahmed</t>
  </si>
  <si>
    <t>02-03-2024</t>
  </si>
  <si>
    <t>P0030</t>
  </si>
  <si>
    <t>Tariq Hassan</t>
  </si>
  <si>
    <t>P0031</t>
  </si>
  <si>
    <t>02-06-2024</t>
  </si>
  <si>
    <t>08-06-2024</t>
  </si>
  <si>
    <t>cash</t>
  </si>
  <si>
    <t>P0032</t>
  </si>
  <si>
    <t>Fariha Nawaz</t>
  </si>
  <si>
    <t>07-02-2024</t>
  </si>
  <si>
    <t>09-02-2024</t>
  </si>
  <si>
    <t>P0033</t>
  </si>
  <si>
    <t>11-07-2024</t>
  </si>
  <si>
    <t>07-08-2024</t>
  </si>
  <si>
    <t>insurance</t>
  </si>
  <si>
    <t>P0034</t>
  </si>
  <si>
    <t>Hamid Khan</t>
  </si>
  <si>
    <t>26-04-2024</t>
  </si>
  <si>
    <t>02-05-2024</t>
  </si>
  <si>
    <t>P0035</t>
  </si>
  <si>
    <t>Hassan Qureshi</t>
  </si>
  <si>
    <t>18-02-2024</t>
  </si>
  <si>
    <t>03-03-2024</t>
  </si>
  <si>
    <t>P0036</t>
  </si>
  <si>
    <t>Usman Sheikh</t>
  </si>
  <si>
    <t>23-10-2024</t>
  </si>
  <si>
    <t>17-11-2024</t>
  </si>
  <si>
    <t>P0037</t>
  </si>
  <si>
    <t>Uzma Ahmed</t>
  </si>
  <si>
    <t>CARDIOLOGY</t>
  </si>
  <si>
    <t>29-04-2024</t>
  </si>
  <si>
    <t>10-05-2024</t>
  </si>
  <si>
    <t>P0038</t>
  </si>
  <si>
    <t>Uzma Niazi</t>
  </si>
  <si>
    <t>ORTHOPEDICS</t>
  </si>
  <si>
    <t>10/20/2024</t>
  </si>
  <si>
    <t>05-11-2024</t>
  </si>
  <si>
    <t>CASH</t>
  </si>
  <si>
    <t>P0039</t>
  </si>
  <si>
    <t>Sobia Raza</t>
  </si>
  <si>
    <t>29-03-2024</t>
  </si>
  <si>
    <t>25-04-2024</t>
  </si>
  <si>
    <t>P0040</t>
  </si>
  <si>
    <t>Nida Qureshi</t>
  </si>
  <si>
    <t>21-07-2024</t>
  </si>
  <si>
    <t>P0041</t>
  </si>
  <si>
    <t>Bilal Akhtar</t>
  </si>
  <si>
    <t>orthopedics</t>
  </si>
  <si>
    <t>16-01-2024</t>
  </si>
  <si>
    <t>18-01-2024</t>
  </si>
  <si>
    <t>P0042</t>
  </si>
  <si>
    <t xml:space="preserve">  Hassan Ahmed  </t>
  </si>
  <si>
    <t>11-05-2024</t>
  </si>
  <si>
    <t>P0043</t>
  </si>
  <si>
    <t>Saima Mirza</t>
  </si>
  <si>
    <t>05-06-2024</t>
  </si>
  <si>
    <t>22-06-2024</t>
  </si>
  <si>
    <t>P0044</t>
  </si>
  <si>
    <t>Sara Khan</t>
  </si>
  <si>
    <t>P0045</t>
  </si>
  <si>
    <t>Nida Nawaz</t>
  </si>
  <si>
    <t>04/18/2024</t>
  </si>
  <si>
    <t>P0046</t>
  </si>
  <si>
    <t>Zubair Khan</t>
  </si>
  <si>
    <t>08-07-2024</t>
  </si>
  <si>
    <t>24-07-2024</t>
  </si>
  <si>
    <t>P0047</t>
  </si>
  <si>
    <t>Kamran Mirza</t>
  </si>
  <si>
    <t>Orthopaedics</t>
  </si>
  <si>
    <t>26-01-2024</t>
  </si>
  <si>
    <t>P0048</t>
  </si>
  <si>
    <t>Bilal Butt</t>
  </si>
  <si>
    <t>01-09-2024</t>
  </si>
  <si>
    <t>CARD</t>
  </si>
  <si>
    <t>P0049</t>
  </si>
  <si>
    <t>Omer Siddiqui</t>
  </si>
  <si>
    <t>ISLAMABAD</t>
  </si>
  <si>
    <t>08/14/2024</t>
  </si>
  <si>
    <t>28-08-2024</t>
  </si>
  <si>
    <t>P0050</t>
  </si>
  <si>
    <t>Uzma Butt</t>
  </si>
  <si>
    <t>P0051</t>
  </si>
  <si>
    <t>28-07-2024</t>
  </si>
  <si>
    <t>04-08-2024</t>
  </si>
  <si>
    <t>cash payment</t>
  </si>
  <si>
    <t>P0052</t>
  </si>
  <si>
    <t>Fatima Akhtar</t>
  </si>
  <si>
    <t>07-01-2024</t>
  </si>
  <si>
    <t>21-01-2024</t>
  </si>
  <si>
    <t>P0053</t>
  </si>
  <si>
    <t>Waqas Butt</t>
  </si>
  <si>
    <t>04-04-2024</t>
  </si>
  <si>
    <t>P0054</t>
  </si>
  <si>
    <t>Ahmed Chaudhry</t>
  </si>
  <si>
    <t>22-03-2024</t>
  </si>
  <si>
    <t>16-04-2024</t>
  </si>
  <si>
    <t>P0055</t>
  </si>
  <si>
    <t>Saima Niazi</t>
  </si>
  <si>
    <t>P0056</t>
  </si>
  <si>
    <t>Waqas Abbasi</t>
  </si>
  <si>
    <t>Multaan</t>
  </si>
  <si>
    <t>25-05-2024</t>
  </si>
  <si>
    <t>30-05-2024</t>
  </si>
  <si>
    <t>P0057</t>
  </si>
  <si>
    <t>Fariha Iqbal</t>
  </si>
  <si>
    <t>14-05-2024</t>
  </si>
  <si>
    <t>P0058</t>
  </si>
  <si>
    <t>Kamran Siddiqui</t>
  </si>
  <si>
    <t>P0059</t>
  </si>
  <si>
    <t>Hassan Ali</t>
  </si>
  <si>
    <t>Cardiolgy</t>
  </si>
  <si>
    <t>12-05-2024</t>
  </si>
  <si>
    <t>04-06-2024</t>
  </si>
  <si>
    <t>P0060</t>
  </si>
  <si>
    <t xml:space="preserve">  Ahmed Niazi  </t>
  </si>
  <si>
    <t>01-06-2024</t>
  </si>
  <si>
    <t>14-06-2024</t>
  </si>
  <si>
    <t>P0061</t>
  </si>
  <si>
    <t>Zubair Chaudhry</t>
  </si>
  <si>
    <t>23-01-2024</t>
  </si>
  <si>
    <t>15-02-2024</t>
  </si>
  <si>
    <t>P0062</t>
  </si>
  <si>
    <t>06/26/2024</t>
  </si>
  <si>
    <t>P0063</t>
  </si>
  <si>
    <t>Ali Niazi</t>
  </si>
  <si>
    <t>24-01-2024</t>
  </si>
  <si>
    <t>27-01-2024</t>
  </si>
  <si>
    <t>P0064</t>
  </si>
  <si>
    <t>Waqas Mirza</t>
  </si>
  <si>
    <t>21-02-2024</t>
  </si>
  <si>
    <t>16-03-2024</t>
  </si>
  <si>
    <t>P0065</t>
  </si>
  <si>
    <t>Nadia Akhtar</t>
  </si>
  <si>
    <t>MALE</t>
  </si>
  <si>
    <t>30-03-2024</t>
  </si>
  <si>
    <t>20-04-2024</t>
  </si>
  <si>
    <t>P0066</t>
  </si>
  <si>
    <t>Hina Nawaz</t>
  </si>
  <si>
    <t>12-07-2024</t>
  </si>
  <si>
    <t>P0067</t>
  </si>
  <si>
    <t>Usman Ali</t>
  </si>
  <si>
    <t>09-06-2024</t>
  </si>
  <si>
    <t>28-06-2024</t>
  </si>
  <si>
    <t>P0068</t>
  </si>
  <si>
    <t>Uzma Chaudhry</t>
  </si>
  <si>
    <t>M</t>
  </si>
  <si>
    <t>lahore</t>
  </si>
  <si>
    <t>07-03-2024</t>
  </si>
  <si>
    <t>17-03-2024</t>
  </si>
  <si>
    <t>P0069</t>
  </si>
  <si>
    <t>Nida Ansari</t>
  </si>
  <si>
    <t>15-07-2024</t>
  </si>
  <si>
    <t>18-07-2024</t>
  </si>
  <si>
    <t>P0070</t>
  </si>
  <si>
    <t xml:space="preserve">  Nida Javed  </t>
  </si>
  <si>
    <t>16-09-2024</t>
  </si>
  <si>
    <t>18-09-2024</t>
  </si>
  <si>
    <t>P0071</t>
  </si>
  <si>
    <t>Uzma Mirza</t>
  </si>
  <si>
    <t>01-10-2024</t>
  </si>
  <si>
    <t>03-10-2024</t>
  </si>
  <si>
    <t>P0072</t>
  </si>
  <si>
    <t>Saima Khan</t>
  </si>
  <si>
    <t>22-08-2024</t>
  </si>
  <si>
    <t>07-09-2024</t>
  </si>
  <si>
    <t>P0073</t>
  </si>
  <si>
    <t>Sobia Qureshi</t>
  </si>
  <si>
    <t>F</t>
  </si>
  <si>
    <t>08-10-2024</t>
  </si>
  <si>
    <t>P0074</t>
  </si>
  <si>
    <t>Amna Ahmed</t>
  </si>
  <si>
    <t>17-08-2024</t>
  </si>
  <si>
    <t>P0075</t>
  </si>
  <si>
    <t>Amna Bhatti</t>
  </si>
  <si>
    <t>P0076</t>
  </si>
  <si>
    <t>Nadia Chaudhry</t>
  </si>
  <si>
    <t>10-08-2024</t>
  </si>
  <si>
    <t>card</t>
  </si>
  <si>
    <t>P0077</t>
  </si>
  <si>
    <t>Rabia Khan</t>
  </si>
  <si>
    <t>08-05-2024</t>
  </si>
  <si>
    <t>16-05-2024</t>
  </si>
  <si>
    <t>P0078</t>
  </si>
  <si>
    <t>Imran Qureshi</t>
  </si>
  <si>
    <t>FEMALE</t>
  </si>
  <si>
    <t>30-07-2024</t>
  </si>
  <si>
    <t>P0079</t>
  </si>
  <si>
    <t>Ali Malik</t>
  </si>
  <si>
    <t>Gen</t>
  </si>
  <si>
    <t>09/03/2024</t>
  </si>
  <si>
    <t>24-09-2024</t>
  </si>
  <si>
    <t>P0080</t>
  </si>
  <si>
    <t>Asad Malik</t>
  </si>
  <si>
    <t>27-10-2024</t>
  </si>
  <si>
    <t>01-11-2024</t>
  </si>
  <si>
    <t>INSURANCE</t>
  </si>
  <si>
    <t>Ins</t>
  </si>
  <si>
    <t>P0081</t>
  </si>
  <si>
    <t>Fariha Siddiqui</t>
  </si>
  <si>
    <t>13-05-2024</t>
  </si>
  <si>
    <t>P0082</t>
  </si>
  <si>
    <t>Zubair Qureshi</t>
  </si>
  <si>
    <t>04/27/2024</t>
  </si>
  <si>
    <t>P0083</t>
  </si>
  <si>
    <t>Saima Ahmed</t>
  </si>
  <si>
    <t>PESHAWAR</t>
  </si>
  <si>
    <t>29-05-2024</t>
  </si>
  <si>
    <t>P0084</t>
  </si>
  <si>
    <t>Zubair Nawaz</t>
  </si>
  <si>
    <t>21-08-2024</t>
  </si>
  <si>
    <t>P0085</t>
  </si>
  <si>
    <t>Rabia Bhatti</t>
  </si>
  <si>
    <t>04/03/2024</t>
  </si>
  <si>
    <t>18-04-2024</t>
  </si>
  <si>
    <t>P0086</t>
  </si>
  <si>
    <t>Lubna Abbasi</t>
  </si>
  <si>
    <t>17-02-2024</t>
  </si>
  <si>
    <t>P0087</t>
  </si>
  <si>
    <t>Sana Javed</t>
  </si>
  <si>
    <t>31-01-2024</t>
  </si>
  <si>
    <t>24-02-2024</t>
  </si>
  <si>
    <t>P0088</t>
  </si>
  <si>
    <t>Uzma Nawaz</t>
  </si>
  <si>
    <t>06-04-2024</t>
  </si>
  <si>
    <t>11-04-2024</t>
  </si>
  <si>
    <t>P0089</t>
  </si>
  <si>
    <t>Sana Ahmed</t>
  </si>
  <si>
    <t>karachi</t>
  </si>
  <si>
    <t>15-04-2024</t>
  </si>
  <si>
    <t>22-04-2024</t>
  </si>
  <si>
    <t>P0090</t>
  </si>
  <si>
    <t>Farhan Chaudhry</t>
  </si>
  <si>
    <t>21-06-2024</t>
  </si>
  <si>
    <t>29-06-2024</t>
  </si>
  <si>
    <t>P0091</t>
  </si>
  <si>
    <t>Fatima Sheikh</t>
  </si>
  <si>
    <t>23-07-2024</t>
  </si>
  <si>
    <t>P0092</t>
  </si>
  <si>
    <t>Zara Javed</t>
  </si>
  <si>
    <t>10-09-2024</t>
  </si>
  <si>
    <t>11-09-2024</t>
  </si>
  <si>
    <t>P0093</t>
  </si>
  <si>
    <t>Lubna Niazi</t>
  </si>
  <si>
    <t>07/10/2024</t>
  </si>
  <si>
    <t>P0094</t>
  </si>
  <si>
    <t>Sana Mirza</t>
  </si>
  <si>
    <t>P0095</t>
  </si>
  <si>
    <t>Waqas Nawaz</t>
  </si>
  <si>
    <t>04-03-2024</t>
  </si>
  <si>
    <t>P0096</t>
  </si>
  <si>
    <t>Tariq Akhtar</t>
  </si>
  <si>
    <t>10-10-2024</t>
  </si>
  <si>
    <t>19-10-2024</t>
  </si>
  <si>
    <t>P0097</t>
  </si>
  <si>
    <t>Waqas Khan</t>
  </si>
  <si>
    <t>PEDIATRICS</t>
  </si>
  <si>
    <t>05-10-2024</t>
  </si>
  <si>
    <t>P0098</t>
  </si>
  <si>
    <t>Nadia Ahmed</t>
  </si>
  <si>
    <t>P0099</t>
  </si>
  <si>
    <t>Asad Chaudhry</t>
  </si>
  <si>
    <t>09-05-2024</t>
  </si>
  <si>
    <t>23-05-2024</t>
  </si>
  <si>
    <t>P0100</t>
  </si>
  <si>
    <t>Ali Bhatti</t>
  </si>
  <si>
    <t>03-07-2024</t>
  </si>
  <si>
    <t>P0101</t>
  </si>
  <si>
    <t>Uzma Ansari</t>
  </si>
  <si>
    <t>Paediatrics</t>
  </si>
  <si>
    <t>10-04-2024</t>
  </si>
  <si>
    <t>P0102</t>
  </si>
  <si>
    <t>Hamid Raza</t>
  </si>
  <si>
    <t>10-03-2024</t>
  </si>
  <si>
    <t>P0103</t>
  </si>
  <si>
    <t>Hassan Chaudhry</t>
  </si>
  <si>
    <t>01/09/2024</t>
  </si>
  <si>
    <t>17-01-2024</t>
  </si>
  <si>
    <t>P0104</t>
  </si>
  <si>
    <t>Ahmed Ali</t>
  </si>
  <si>
    <t>09-07-2024</t>
  </si>
  <si>
    <t>03-08-2024</t>
  </si>
  <si>
    <t>P0105</t>
  </si>
  <si>
    <t>Tariq Niazi</t>
  </si>
  <si>
    <t>19-09-2024</t>
  </si>
  <si>
    <t>04-10-2024</t>
  </si>
  <si>
    <t>P0106</t>
  </si>
  <si>
    <t>Zara Butt</t>
  </si>
  <si>
    <t>QUETTA</t>
  </si>
  <si>
    <t>P0107</t>
  </si>
  <si>
    <t>KARACHI</t>
  </si>
  <si>
    <t>10/10/2024</t>
  </si>
  <si>
    <t>24-10-2024</t>
  </si>
  <si>
    <t>P0108</t>
  </si>
  <si>
    <t>06-08-2024</t>
  </si>
  <si>
    <t>02-09-2024</t>
  </si>
  <si>
    <t>P0109</t>
  </si>
  <si>
    <t>EMERGENCY</t>
  </si>
  <si>
    <t>09-09-2024</t>
  </si>
  <si>
    <t>P0110</t>
  </si>
  <si>
    <t>05-05-2024</t>
  </si>
  <si>
    <t>31-05-2024</t>
  </si>
  <si>
    <t>P0111</t>
  </si>
  <si>
    <t>25-09-2024</t>
  </si>
  <si>
    <t>14-10-2024</t>
  </si>
  <si>
    <t>P0112</t>
  </si>
  <si>
    <t>Amna Siddiqui</t>
  </si>
  <si>
    <t>06-05-2024</t>
  </si>
  <si>
    <t>P0113</t>
  </si>
  <si>
    <t>Usman Malik</t>
  </si>
  <si>
    <t>25-08-2024</t>
  </si>
  <si>
    <t>31-08-2024</t>
  </si>
  <si>
    <t>P0114</t>
  </si>
  <si>
    <t>quetta</t>
  </si>
  <si>
    <t>22-02-2024</t>
  </si>
  <si>
    <t>P0115</t>
  </si>
  <si>
    <t>Bilal Chaudhry</t>
  </si>
  <si>
    <t>01/15/2024</t>
  </si>
  <si>
    <t>01-02-2024</t>
  </si>
  <si>
    <t>P0116</t>
  </si>
  <si>
    <t>Mehwish Mirza</t>
  </si>
  <si>
    <t>P0117</t>
  </si>
  <si>
    <t>Tariq Iqbal</t>
  </si>
  <si>
    <t>P0118</t>
  </si>
  <si>
    <t>Fatima Niazi</t>
  </si>
  <si>
    <t>26-10-2024</t>
  </si>
  <si>
    <t>24-11-2024</t>
  </si>
  <si>
    <t>P0119</t>
  </si>
  <si>
    <t>Sobia Ali</t>
  </si>
  <si>
    <t>P0120</t>
  </si>
  <si>
    <t>27-09-2024</t>
  </si>
  <si>
    <t>P0121</t>
  </si>
  <si>
    <t>Tariq Abbasi</t>
  </si>
  <si>
    <t>Males</t>
  </si>
  <si>
    <t>P0122</t>
  </si>
  <si>
    <t>Hamid Niazi</t>
  </si>
  <si>
    <t>pediatrics</t>
  </si>
  <si>
    <t>P0123</t>
  </si>
  <si>
    <t xml:space="preserve">  Usman Qureshi  </t>
  </si>
  <si>
    <t>29-09-2024</t>
  </si>
  <si>
    <t>P0124</t>
  </si>
  <si>
    <t>Asad Ansari</t>
  </si>
  <si>
    <t>03-04-2024</t>
  </si>
  <si>
    <t>P0125</t>
  </si>
  <si>
    <t>Farhan Javed</t>
  </si>
  <si>
    <t>08-02-2024</t>
  </si>
  <si>
    <t>28-02-2024</t>
  </si>
  <si>
    <t>P0126</t>
  </si>
  <si>
    <t>Rabia Iqbal</t>
  </si>
  <si>
    <t>P0127</t>
  </si>
  <si>
    <t xml:space="preserve">  Asad Ansari  </t>
  </si>
  <si>
    <t>05/07/2024</t>
  </si>
  <si>
    <t>P0128</t>
  </si>
  <si>
    <t>Females</t>
  </si>
  <si>
    <t>01-07-2024</t>
  </si>
  <si>
    <t>P0129</t>
  </si>
  <si>
    <t>Omer Raza</t>
  </si>
  <si>
    <t>FAISALABAD</t>
  </si>
  <si>
    <t>06-01-2024</t>
  </si>
  <si>
    <t>04-02-2024</t>
  </si>
  <si>
    <t>P0130</t>
  </si>
  <si>
    <t>Bilal Mirza</t>
  </si>
  <si>
    <t>P0131</t>
  </si>
  <si>
    <t>Ahmed Bhatti</t>
  </si>
  <si>
    <t>P0132</t>
  </si>
  <si>
    <t>Mehwish Ahmed</t>
  </si>
  <si>
    <t>twenty</t>
  </si>
  <si>
    <t>22-07-2024</t>
  </si>
  <si>
    <t>P0133</t>
  </si>
  <si>
    <t>Asad Javed</t>
  </si>
  <si>
    <t>P0134</t>
  </si>
  <si>
    <t>19-08-2024</t>
  </si>
  <si>
    <t>P0135</t>
  </si>
  <si>
    <t>Omer Iqbal</t>
  </si>
  <si>
    <t>P0136</t>
  </si>
  <si>
    <t>P0137</t>
  </si>
  <si>
    <t>Danish Ahmed</t>
  </si>
  <si>
    <t>N/A</t>
  </si>
  <si>
    <t>P0138</t>
  </si>
  <si>
    <t>Hina Iqbal</t>
  </si>
  <si>
    <t>P0139</t>
  </si>
  <si>
    <t>Sana Bhatti</t>
  </si>
  <si>
    <t>20-01-2024</t>
  </si>
  <si>
    <t>P0140</t>
  </si>
  <si>
    <t>Kamran Butt</t>
  </si>
  <si>
    <t>28-01-2024</t>
  </si>
  <si>
    <t>P0141</t>
  </si>
  <si>
    <t>Imran Hassan</t>
  </si>
  <si>
    <t>faisalabad</t>
  </si>
  <si>
    <t>13-04-2024</t>
  </si>
  <si>
    <t>P0142</t>
  </si>
  <si>
    <t>Kamran Iqbal</t>
  </si>
  <si>
    <t>08-09-2024</t>
  </si>
  <si>
    <t>P0143</t>
  </si>
  <si>
    <t>Danish Javed</t>
  </si>
  <si>
    <t>P0144</t>
  </si>
  <si>
    <t>Imran Raza</t>
  </si>
  <si>
    <t>P0145</t>
  </si>
  <si>
    <t>29-07-2024</t>
  </si>
  <si>
    <t>P0146</t>
  </si>
  <si>
    <t>Saima Ali</t>
  </si>
  <si>
    <t>30-10-2024</t>
  </si>
  <si>
    <t>P0147</t>
  </si>
  <si>
    <t>01/02/2024</t>
  </si>
  <si>
    <t>13-01-2024</t>
  </si>
  <si>
    <t>P0148</t>
  </si>
  <si>
    <t>10/24/2024</t>
  </si>
  <si>
    <t>02-11-2024</t>
  </si>
  <si>
    <t>P0149</t>
  </si>
  <si>
    <t>25-01-2024</t>
  </si>
  <si>
    <t>P0150</t>
  </si>
  <si>
    <t>Lubna Bhatti</t>
  </si>
  <si>
    <t>07/27/2024</t>
  </si>
  <si>
    <t>01-08-2024</t>
  </si>
  <si>
    <t>P0151</t>
  </si>
  <si>
    <t>Farhan Butt</t>
  </si>
  <si>
    <t>27-06-2024</t>
  </si>
  <si>
    <t>P0152</t>
  </si>
  <si>
    <t>Hamid Nawaz</t>
  </si>
  <si>
    <t>Lahor</t>
  </si>
  <si>
    <t>emergency</t>
  </si>
  <si>
    <t>13-10-2024</t>
  </si>
  <si>
    <t>P0153</t>
  </si>
  <si>
    <t>Amna Butt</t>
  </si>
  <si>
    <t>19-02-2024</t>
  </si>
  <si>
    <t>29-02-2024</t>
  </si>
  <si>
    <t>P0154</t>
  </si>
  <si>
    <t>Nadia Bhatti</t>
  </si>
  <si>
    <t>P0155</t>
  </si>
  <si>
    <t>Farhan Niazi</t>
  </si>
  <si>
    <t>28-09-2024</t>
  </si>
  <si>
    <t>P0156</t>
  </si>
  <si>
    <t>Fatima Ahmed</t>
  </si>
  <si>
    <t>06-06-2024</t>
  </si>
  <si>
    <t>P0157</t>
  </si>
  <si>
    <t>30-04-2024</t>
  </si>
  <si>
    <t>P0158</t>
  </si>
  <si>
    <t>Hamid Mirza</t>
  </si>
  <si>
    <t>14-01-2024</t>
  </si>
  <si>
    <t>P0159</t>
  </si>
  <si>
    <t>Ahmed Raza</t>
  </si>
  <si>
    <t>17-04-2024</t>
  </si>
  <si>
    <t>P0160</t>
  </si>
  <si>
    <t>Danish Nawaz</t>
  </si>
  <si>
    <t>01-01-2024</t>
  </si>
  <si>
    <t>P0161</t>
  </si>
  <si>
    <t>P0162</t>
  </si>
  <si>
    <t>P0163</t>
  </si>
  <si>
    <t>Mehwish Butt</t>
  </si>
  <si>
    <t>01/08/2024</t>
  </si>
  <si>
    <t>P0164</t>
  </si>
  <si>
    <t>07-06-2024</t>
  </si>
  <si>
    <t>P0165</t>
  </si>
  <si>
    <t>Lubna Malik</t>
  </si>
  <si>
    <t>08-03-2024</t>
  </si>
  <si>
    <t>P0166</t>
  </si>
  <si>
    <t>Danish Chaudhry</t>
  </si>
  <si>
    <t>30-01-2024</t>
  </si>
  <si>
    <t>P0167</t>
  </si>
  <si>
    <t>22-05-2024</t>
  </si>
  <si>
    <t>19-06-2024</t>
  </si>
  <si>
    <t>P0168</t>
  </si>
  <si>
    <t>04-01-2024</t>
  </si>
  <si>
    <t>19-01-2024</t>
  </si>
  <si>
    <t>P0169</t>
  </si>
  <si>
    <t>09-03-2024</t>
  </si>
  <si>
    <t>P0170</t>
  </si>
  <si>
    <t>18-10-2024</t>
  </si>
  <si>
    <t>10-11-2024</t>
  </si>
  <si>
    <t>P0171</t>
  </si>
  <si>
    <t>Fariha Niazi</t>
  </si>
  <si>
    <t>30-06-2024</t>
  </si>
  <si>
    <t>P0172</t>
  </si>
  <si>
    <t>Usman Mirza</t>
  </si>
  <si>
    <t>06-02-2024</t>
  </si>
  <si>
    <t>10-02-2024</t>
  </si>
  <si>
    <t>P0173</t>
  </si>
  <si>
    <t>Hassan Nawaz</t>
  </si>
  <si>
    <t>15-09-2024</t>
  </si>
  <si>
    <t>P0174</t>
  </si>
  <si>
    <t>Amna Akhtar</t>
  </si>
  <si>
    <t>P0175</t>
  </si>
  <si>
    <t xml:space="preserve">  Fatima Malik  </t>
  </si>
  <si>
    <t>P0176</t>
  </si>
  <si>
    <t>Tariq Khan</t>
  </si>
  <si>
    <t>P0177</t>
  </si>
  <si>
    <t>Ali Iqbal</t>
  </si>
  <si>
    <t>01/21/2024</t>
  </si>
  <si>
    <t>P0178</t>
  </si>
  <si>
    <t>Ali Akhtar</t>
  </si>
  <si>
    <t>P0179</t>
  </si>
  <si>
    <t>05-07-2024</t>
  </si>
  <si>
    <t>P0180</t>
  </si>
  <si>
    <t>Uzma Malik</t>
  </si>
  <si>
    <t>P0181</t>
  </si>
  <si>
    <t>Uzma Khan</t>
  </si>
  <si>
    <t>peshawar</t>
  </si>
  <si>
    <t>12-02-2024</t>
  </si>
  <si>
    <t>P0182</t>
  </si>
  <si>
    <t>Fatima Qureshi</t>
  </si>
  <si>
    <t>04-05-2024</t>
  </si>
  <si>
    <t>P0183</t>
  </si>
  <si>
    <t>Fatima Ali</t>
  </si>
  <si>
    <t>P0184</t>
  </si>
  <si>
    <t>Mehwish Qureshi</t>
  </si>
  <si>
    <t>P0185</t>
  </si>
  <si>
    <t>25-06-2024</t>
  </si>
  <si>
    <t>P0186</t>
  </si>
  <si>
    <t>Usman Iqbal</t>
  </si>
  <si>
    <t>22-09-2024</t>
  </si>
  <si>
    <t>P0187</t>
  </si>
  <si>
    <t>Zubair Javed</t>
  </si>
  <si>
    <t>27-05-2024</t>
  </si>
  <si>
    <t>P0188</t>
  </si>
  <si>
    <t>Hassan Abbasi</t>
  </si>
  <si>
    <t>16-07-2024</t>
  </si>
  <si>
    <t>12-08-2024</t>
  </si>
  <si>
    <t>P0189</t>
  </si>
  <si>
    <t>P0190</t>
  </si>
  <si>
    <t>Danish Mirza</t>
  </si>
  <si>
    <t>P0191</t>
  </si>
  <si>
    <t>Hina Abbasi</t>
  </si>
  <si>
    <t>P0192</t>
  </si>
  <si>
    <t>16-02-2024</t>
  </si>
  <si>
    <t>P0193</t>
  </si>
  <si>
    <t>Sobia Chaudhry</t>
  </si>
  <si>
    <t>06/02/2024</t>
  </si>
  <si>
    <t>P0194</t>
  </si>
  <si>
    <t>Hamid Ahmed</t>
  </si>
  <si>
    <t>13-02-2024</t>
  </si>
  <si>
    <t>P0195</t>
  </si>
  <si>
    <t>11-10-2024</t>
  </si>
  <si>
    <t>17-10-2024</t>
  </si>
  <si>
    <t>P0196</t>
  </si>
  <si>
    <t>Fariha Bhatti</t>
  </si>
  <si>
    <t>P0197</t>
  </si>
  <si>
    <t xml:space="preserve">  Ahmed Mirza  </t>
  </si>
  <si>
    <t>male</t>
  </si>
  <si>
    <t>P0198</t>
  </si>
  <si>
    <t>P0199</t>
  </si>
  <si>
    <t>Waqas Qureshi</t>
  </si>
  <si>
    <t>P0200</t>
  </si>
  <si>
    <t>Mehwish Niazi</t>
  </si>
  <si>
    <t>21-03-2024</t>
  </si>
  <si>
    <t>P0201</t>
  </si>
  <si>
    <t>Sana Ansari</t>
  </si>
  <si>
    <t>P0202</t>
  </si>
  <si>
    <t>Nadia Nawaz</t>
  </si>
  <si>
    <t>03-01-2024</t>
  </si>
  <si>
    <t>09-01-2024</t>
  </si>
  <si>
    <t>P0203</t>
  </si>
  <si>
    <t>Asad Mirza</t>
  </si>
  <si>
    <t>P0204</t>
  </si>
  <si>
    <t>Rabia Chaudhry</t>
  </si>
  <si>
    <t>P0205</t>
  </si>
  <si>
    <t>P0206</t>
  </si>
  <si>
    <t>P0207</t>
  </si>
  <si>
    <t>P0208</t>
  </si>
  <si>
    <t>Farhan Hassan</t>
  </si>
  <si>
    <t>P0209</t>
  </si>
  <si>
    <t>Imran Bhatti</t>
  </si>
  <si>
    <t>18-05-2024</t>
  </si>
  <si>
    <t>21-05-2024</t>
  </si>
  <si>
    <t>P0210</t>
  </si>
  <si>
    <t>P0211</t>
  </si>
  <si>
    <t>Farhan Bhatti</t>
  </si>
  <si>
    <t>24-08-2024</t>
  </si>
  <si>
    <t>P0212</t>
  </si>
  <si>
    <t>Usman Khan</t>
  </si>
  <si>
    <t>10-06-2024</t>
  </si>
  <si>
    <t>P0213</t>
  </si>
  <si>
    <t>Imran Javed</t>
  </si>
  <si>
    <t>21-04-2024</t>
  </si>
  <si>
    <t>P0214</t>
  </si>
  <si>
    <t>Tariq Ali</t>
  </si>
  <si>
    <t>26-08-2024</t>
  </si>
  <si>
    <t>12-09-2024</t>
  </si>
  <si>
    <t>P0215</t>
  </si>
  <si>
    <t>Hina Mirza</t>
  </si>
  <si>
    <t>P0216</t>
  </si>
  <si>
    <t>Sana Butt</t>
  </si>
  <si>
    <t>P0217</t>
  </si>
  <si>
    <t>Bilal Qureshi</t>
  </si>
  <si>
    <t>03/23/2024</t>
  </si>
  <si>
    <t>P0218</t>
  </si>
  <si>
    <t>14-03-2024</t>
  </si>
  <si>
    <t>P0219</t>
  </si>
  <si>
    <t>Imran Niazi</t>
  </si>
  <si>
    <t>16-06-2024</t>
  </si>
  <si>
    <t>18-06-2024</t>
  </si>
  <si>
    <t>P0220</t>
  </si>
  <si>
    <t>Farhan Malik</t>
  </si>
  <si>
    <t>01-04-2024</t>
  </si>
  <si>
    <t>P0221</t>
  </si>
  <si>
    <t>P0222</t>
  </si>
  <si>
    <t>Sobia Ansari</t>
  </si>
  <si>
    <t>15-01-2024</t>
  </si>
  <si>
    <t>02-02-2024</t>
  </si>
  <si>
    <t>P0223</t>
  </si>
  <si>
    <t>06-09-2024</t>
  </si>
  <si>
    <t>P0224</t>
  </si>
  <si>
    <t>02-07-2024</t>
  </si>
  <si>
    <t>P0225</t>
  </si>
  <si>
    <t>Nadia Niazi</t>
  </si>
  <si>
    <t>P0226</t>
  </si>
  <si>
    <t>Asad Ali</t>
  </si>
  <si>
    <t>28-10-2024</t>
  </si>
  <si>
    <t>P0227</t>
  </si>
  <si>
    <t>Hamid Ansari</t>
  </si>
  <si>
    <t>P0228</t>
  </si>
  <si>
    <t>Omer Khan</t>
  </si>
  <si>
    <t>25-10-2024</t>
  </si>
  <si>
    <t>07-11-2024</t>
  </si>
  <si>
    <t>P0229</t>
  </si>
  <si>
    <t>P0230</t>
  </si>
  <si>
    <t>Waqas Sheikh</t>
  </si>
  <si>
    <t>20-02-2024</t>
  </si>
  <si>
    <t>P0231</t>
  </si>
  <si>
    <t>Nadia Qureshi</t>
  </si>
  <si>
    <t>09/28/2024</t>
  </si>
  <si>
    <t>P0232</t>
  </si>
  <si>
    <t>Sana Raza</t>
  </si>
  <si>
    <t>Unknown</t>
  </si>
  <si>
    <t>06/01/2024</t>
  </si>
  <si>
    <t>24-06-2024</t>
  </si>
  <si>
    <t>P0233</t>
  </si>
  <si>
    <t>Asad Niazi</t>
  </si>
  <si>
    <t>P0234</t>
  </si>
  <si>
    <t>Sara Akhtar</t>
  </si>
  <si>
    <t>P0235</t>
  </si>
  <si>
    <t>Hina Sheikh</t>
  </si>
  <si>
    <t>P0236</t>
  </si>
  <si>
    <t>25-07-2024</t>
  </si>
  <si>
    <t>31-07-2024</t>
  </si>
  <si>
    <t>P0237</t>
  </si>
  <si>
    <t>07/31/2024</t>
  </si>
  <si>
    <t>08-08-2024</t>
  </si>
  <si>
    <t>P0238</t>
  </si>
  <si>
    <t>Zara Ali</t>
  </si>
  <si>
    <t>P0239</t>
  </si>
  <si>
    <t>04-07-2024</t>
  </si>
  <si>
    <t>P0240</t>
  </si>
  <si>
    <t>Zubair Ahmed</t>
  </si>
  <si>
    <t>P0241</t>
  </si>
  <si>
    <t>22-10-2024</t>
  </si>
  <si>
    <t>21-11-2024</t>
  </si>
  <si>
    <t>P0242</t>
  </si>
  <si>
    <t>P0243</t>
  </si>
  <si>
    <t>Sara Bhatti</t>
  </si>
  <si>
    <t>P0244</t>
  </si>
  <si>
    <t>Hamid Sheikh</t>
  </si>
  <si>
    <t>20-10-2024</t>
  </si>
  <si>
    <t>P0245</t>
  </si>
  <si>
    <t>20-09-2024</t>
  </si>
  <si>
    <t>P0246</t>
  </si>
  <si>
    <t xml:space="preserve">  Zubair Mirza  </t>
  </si>
  <si>
    <t>02-10-2024</t>
  </si>
  <si>
    <t>09-10-2024</t>
  </si>
  <si>
    <t>P0247</t>
  </si>
  <si>
    <t xml:space="preserve">  Bilal Nawaz  </t>
  </si>
  <si>
    <t>P0248</t>
  </si>
  <si>
    <t>Fatima Iqbal</t>
  </si>
  <si>
    <t>P0249</t>
  </si>
  <si>
    <t>26-09-2024</t>
  </si>
  <si>
    <t>P0250</t>
  </si>
  <si>
    <t>10/05/2024</t>
  </si>
  <si>
    <t>P0251</t>
  </si>
  <si>
    <t>Zubair Mirza</t>
  </si>
  <si>
    <t>10-01-2024</t>
  </si>
  <si>
    <t>P0252</t>
  </si>
  <si>
    <t>Nida Ali</t>
  </si>
  <si>
    <t>06-10-2024</t>
  </si>
  <si>
    <t>P0253</t>
  </si>
  <si>
    <t>Uzma Raza</t>
  </si>
  <si>
    <t>P0254</t>
  </si>
  <si>
    <t>02-01-2024</t>
  </si>
  <si>
    <t>P0255</t>
  </si>
  <si>
    <t>P0256</t>
  </si>
  <si>
    <t>P0257</t>
  </si>
  <si>
    <t>general</t>
  </si>
  <si>
    <t>P0258</t>
  </si>
  <si>
    <t>Danish Butt</t>
  </si>
  <si>
    <t>07/11/2024</t>
  </si>
  <si>
    <t>P0259</t>
  </si>
  <si>
    <t>P0260</t>
  </si>
  <si>
    <t>Saima Butt</t>
  </si>
  <si>
    <t>07-07-2024</t>
  </si>
  <si>
    <t>P0261</t>
  </si>
  <si>
    <t>Nida Ahmed</t>
  </si>
  <si>
    <t>09-08-2024</t>
  </si>
  <si>
    <t>P0262</t>
  </si>
  <si>
    <t>P0263</t>
  </si>
  <si>
    <t>Sobia Iqbal</t>
  </si>
  <si>
    <t>P0264</t>
  </si>
  <si>
    <t xml:space="preserve">  Asad Ahmed  </t>
  </si>
  <si>
    <t>P0265</t>
  </si>
  <si>
    <t>P0266</t>
  </si>
  <si>
    <t>Sobia Siddiqui</t>
  </si>
  <si>
    <t>25-02-2024</t>
  </si>
  <si>
    <t>19-03-2024</t>
  </si>
  <si>
    <t>P0267</t>
  </si>
  <si>
    <t>Zara Chaudhry</t>
  </si>
  <si>
    <t>30-09-2024</t>
  </si>
  <si>
    <t>P0268</t>
  </si>
  <si>
    <t>Hassan Iqbal</t>
  </si>
  <si>
    <t>01/10/2024</t>
  </si>
  <si>
    <t>P0269</t>
  </si>
  <si>
    <t>Hassan Mirza</t>
  </si>
  <si>
    <t>15-11-2024</t>
  </si>
  <si>
    <t>P0270</t>
  </si>
  <si>
    <t xml:space="preserve">  Hamid Niazi  </t>
  </si>
  <si>
    <t>25-03-2024</t>
  </si>
  <si>
    <t>P0271</t>
  </si>
  <si>
    <t>Kamran Niazi</t>
  </si>
  <si>
    <t>P0272</t>
  </si>
  <si>
    <t>Kamran Malik</t>
  </si>
  <si>
    <t>P0273</t>
  </si>
  <si>
    <t>Imran Sheikh</t>
  </si>
  <si>
    <t>P0274</t>
  </si>
  <si>
    <t>Usman Abbasi</t>
  </si>
  <si>
    <t>11-08-2024</t>
  </si>
  <si>
    <t>P0275</t>
  </si>
  <si>
    <t>Hassan Butt</t>
  </si>
  <si>
    <t>P0276</t>
  </si>
  <si>
    <t>27-03-2024</t>
  </si>
  <si>
    <t>19-04-2024</t>
  </si>
  <si>
    <t>P0277</t>
  </si>
  <si>
    <t>Bilal Hassan</t>
  </si>
  <si>
    <t>28-03-2024</t>
  </si>
  <si>
    <t>P0278</t>
  </si>
  <si>
    <t>Hamid Akhtar</t>
  </si>
  <si>
    <t>03-11-2024</t>
  </si>
  <si>
    <t>P0279</t>
  </si>
  <si>
    <t>P0280</t>
  </si>
  <si>
    <t>Waqas Iqbal</t>
  </si>
  <si>
    <t>P0281</t>
  </si>
  <si>
    <t>Hina Malik</t>
  </si>
  <si>
    <t>P0282</t>
  </si>
  <si>
    <t>P0283</t>
  </si>
  <si>
    <t>Sana Abbasi</t>
  </si>
  <si>
    <t>05/13/2024</t>
  </si>
  <si>
    <t>P0284</t>
  </si>
  <si>
    <t>Nida Iqbal</t>
  </si>
  <si>
    <t>P0285</t>
  </si>
  <si>
    <t>Fariha Butt</t>
  </si>
  <si>
    <t>P0286</t>
  </si>
  <si>
    <t>Sara Ahmed</t>
  </si>
  <si>
    <t>P0287</t>
  </si>
  <si>
    <t>P0288</t>
  </si>
  <si>
    <t>Imran Akhtar</t>
  </si>
  <si>
    <t>16-11-2024</t>
  </si>
  <si>
    <t>P0289</t>
  </si>
  <si>
    <t>18-03-2024</t>
  </si>
  <si>
    <t>P0290</t>
  </si>
  <si>
    <t>Fatima Malik</t>
  </si>
  <si>
    <t>17-09-2024</t>
  </si>
  <si>
    <t>P0291</t>
  </si>
  <si>
    <t>Nadia Iqbal</t>
  </si>
  <si>
    <t>P0292</t>
  </si>
  <si>
    <t>Nida Hassan</t>
  </si>
  <si>
    <t>P0293</t>
  </si>
  <si>
    <t>Waqas Raza</t>
  </si>
  <si>
    <t>P0294</t>
  </si>
  <si>
    <t>Kamran Ansari</t>
  </si>
  <si>
    <t>P0295</t>
  </si>
  <si>
    <t>Omer Bhatti</t>
  </si>
  <si>
    <t>P0296</t>
  </si>
  <si>
    <t xml:space="preserve">  Sana Javed  </t>
  </si>
  <si>
    <t>P0297</t>
  </si>
  <si>
    <t>P0298</t>
  </si>
  <si>
    <t>Sana Niazi</t>
  </si>
  <si>
    <t>P0299</t>
  </si>
  <si>
    <t>Usman Javed</t>
  </si>
  <si>
    <t>17-05-2024</t>
  </si>
  <si>
    <t>P0300</t>
  </si>
  <si>
    <t>P0301</t>
  </si>
  <si>
    <t>P0302</t>
  </si>
  <si>
    <t>Mehwish Siddiqui</t>
  </si>
  <si>
    <t>P0303</t>
  </si>
  <si>
    <t>Saima Siddiqui</t>
  </si>
  <si>
    <t>10-07-2024</t>
  </si>
  <si>
    <t>P0304</t>
  </si>
  <si>
    <t>Uzma Hassan</t>
  </si>
  <si>
    <t>07-04-2024</t>
  </si>
  <si>
    <t>P0305</t>
  </si>
  <si>
    <t>Nida Chaudhry</t>
  </si>
  <si>
    <t>P0306</t>
  </si>
  <si>
    <t>P0307</t>
  </si>
  <si>
    <t>P0308</t>
  </si>
  <si>
    <t>Imran Ansari</t>
  </si>
  <si>
    <t>23-03-2024</t>
  </si>
  <si>
    <t>P0309</t>
  </si>
  <si>
    <t>LAHORE</t>
  </si>
  <si>
    <t>P0310</t>
  </si>
  <si>
    <t>P0311</t>
  </si>
  <si>
    <t xml:space="preserve">  Hina Khan  </t>
  </si>
  <si>
    <t>P0312</t>
  </si>
  <si>
    <t>Farhan Khan</t>
  </si>
  <si>
    <t>P0313</t>
  </si>
  <si>
    <t>31-03-2024</t>
  </si>
  <si>
    <t>P0314</t>
  </si>
  <si>
    <t>P0315</t>
  </si>
  <si>
    <t>P0316</t>
  </si>
  <si>
    <t>Sara Iqbal</t>
  </si>
  <si>
    <t>P0317</t>
  </si>
  <si>
    <t>Nida Javed</t>
  </si>
  <si>
    <t>P0318</t>
  </si>
  <si>
    <t>24-05-2024</t>
  </si>
  <si>
    <t>P0319</t>
  </si>
  <si>
    <t>P0320</t>
  </si>
  <si>
    <t>Fatima Bhatti</t>
  </si>
  <si>
    <t>P0321</t>
  </si>
  <si>
    <t>P0322</t>
  </si>
  <si>
    <t>Amna Sheikh</t>
  </si>
  <si>
    <t>08/17/2024</t>
  </si>
  <si>
    <t>P0323</t>
  </si>
  <si>
    <t>P0324</t>
  </si>
  <si>
    <t>P0325</t>
  </si>
  <si>
    <t>Mehwish Nawaz</t>
  </si>
  <si>
    <t>P0326</t>
  </si>
  <si>
    <t>12-04-2024</t>
  </si>
  <si>
    <t>03-05-2024</t>
  </si>
  <si>
    <t>P0327</t>
  </si>
  <si>
    <t>Rabia Hassan</t>
  </si>
  <si>
    <t>09/12/2024</t>
  </si>
  <si>
    <t>P0328</t>
  </si>
  <si>
    <t>P0329</t>
  </si>
  <si>
    <t>P0330</t>
  </si>
  <si>
    <t>P0331</t>
  </si>
  <si>
    <t>Tariq Javed</t>
  </si>
  <si>
    <t>Debit Card</t>
  </si>
  <si>
    <t>P0332</t>
  </si>
  <si>
    <t>Imran Nawaz</t>
  </si>
  <si>
    <t>P0333</t>
  </si>
  <si>
    <t>islamabad</t>
  </si>
  <si>
    <t>P0334</t>
  </si>
  <si>
    <t>Bilal Siddiqui</t>
  </si>
  <si>
    <t>P0335</t>
  </si>
  <si>
    <t>Ali Ali</t>
  </si>
  <si>
    <t>P0336</t>
  </si>
  <si>
    <t>Zara Abbasi</t>
  </si>
  <si>
    <t>multan</t>
  </si>
  <si>
    <t>P0337</t>
  </si>
  <si>
    <t>Nida Siddiqui</t>
  </si>
  <si>
    <t>05-02-2024</t>
  </si>
  <si>
    <t>P0338</t>
  </si>
  <si>
    <t>Saima Hassan</t>
  </si>
  <si>
    <t>P0339</t>
  </si>
  <si>
    <t>Zara Nawaz</t>
  </si>
  <si>
    <t>P0340</t>
  </si>
  <si>
    <t>Ali Siddiqui</t>
  </si>
  <si>
    <t>P0341</t>
  </si>
  <si>
    <t>Sara Malik</t>
  </si>
  <si>
    <t>07/12/2024</t>
  </si>
  <si>
    <t>P0342</t>
  </si>
  <si>
    <t>Zara Malik</t>
  </si>
  <si>
    <t>P0343</t>
  </si>
  <si>
    <t>Danish Hassan</t>
  </si>
  <si>
    <t>P0344</t>
  </si>
  <si>
    <t>Sana Sheikh</t>
  </si>
  <si>
    <t>P0345</t>
  </si>
  <si>
    <t>Zara Siddiqui</t>
  </si>
  <si>
    <t>23-04-2024</t>
  </si>
  <si>
    <t>P0346</t>
  </si>
  <si>
    <t>22-01-2024</t>
  </si>
  <si>
    <t>P0347</t>
  </si>
  <si>
    <t>05-03-2024</t>
  </si>
  <si>
    <t>P0348</t>
  </si>
  <si>
    <t>24-04-2024</t>
  </si>
  <si>
    <t>P0349</t>
  </si>
  <si>
    <t>P0350</t>
  </si>
  <si>
    <t>Amna Mirza</t>
  </si>
  <si>
    <t>P0351</t>
  </si>
  <si>
    <t>Sara Sheikh</t>
  </si>
  <si>
    <t>17-07-2024</t>
  </si>
  <si>
    <t>P0352</t>
  </si>
  <si>
    <t>P0353</t>
  </si>
  <si>
    <t>P0354</t>
  </si>
  <si>
    <t>Hamid Bhatti</t>
  </si>
  <si>
    <t>P0355</t>
  </si>
  <si>
    <t>Amna Nawaz</t>
  </si>
  <si>
    <t>07/05/2024</t>
  </si>
  <si>
    <t>27-07-2024</t>
  </si>
  <si>
    <t>P0356</t>
  </si>
  <si>
    <t>Waqas Siddiqui</t>
  </si>
  <si>
    <t>06/06/2024</t>
  </si>
  <si>
    <t>11-06-2024</t>
  </si>
  <si>
    <t>P0357</t>
  </si>
  <si>
    <t>Bilal Sheikh</t>
  </si>
  <si>
    <t>19-05-2024</t>
  </si>
  <si>
    <t>P0358</t>
  </si>
  <si>
    <t>Imran Malik</t>
  </si>
  <si>
    <t>P0359</t>
  </si>
  <si>
    <t>P0360</t>
  </si>
  <si>
    <t>Ali Sheikh</t>
  </si>
  <si>
    <t>27-08-2024</t>
  </si>
  <si>
    <t>P0361</t>
  </si>
  <si>
    <t>Saima Ansari</t>
  </si>
  <si>
    <t>P0362</t>
  </si>
  <si>
    <t>Bilal Niazi</t>
  </si>
  <si>
    <t>P0363</t>
  </si>
  <si>
    <t>Bilal Bhatti</t>
  </si>
  <si>
    <t>P0364</t>
  </si>
  <si>
    <t>P0365</t>
  </si>
  <si>
    <t>P0366</t>
  </si>
  <si>
    <t>P0367</t>
  </si>
  <si>
    <t>Farhan Ansari</t>
  </si>
  <si>
    <t>karACHI</t>
  </si>
  <si>
    <t>P0368</t>
  </si>
  <si>
    <t>Zubair Sheikh</t>
  </si>
  <si>
    <t>P0369</t>
  </si>
  <si>
    <t>Fariha Chaudhry</t>
  </si>
  <si>
    <t>P0370</t>
  </si>
  <si>
    <t>Usman Ahmed</t>
  </si>
  <si>
    <t>05/24/2024</t>
  </si>
  <si>
    <t>P0371</t>
  </si>
  <si>
    <t>Hassan Malik</t>
  </si>
  <si>
    <t>P0372</t>
  </si>
  <si>
    <t>Sara Abbasi</t>
  </si>
  <si>
    <t>P0373</t>
  </si>
  <si>
    <t>P0374</t>
  </si>
  <si>
    <t>P0375</t>
  </si>
  <si>
    <t>Kamran Sheikh</t>
  </si>
  <si>
    <t>P0376</t>
  </si>
  <si>
    <t>P0377</t>
  </si>
  <si>
    <t>Sana Akhtar</t>
  </si>
  <si>
    <t>P0378</t>
  </si>
  <si>
    <t>P0379</t>
  </si>
  <si>
    <t>P0380</t>
  </si>
  <si>
    <t>Farhan Sheikh</t>
  </si>
  <si>
    <t>P0381</t>
  </si>
  <si>
    <t>14-04-2024</t>
  </si>
  <si>
    <t>P0382</t>
  </si>
  <si>
    <t>lAHORE</t>
  </si>
  <si>
    <t>P0383</t>
  </si>
  <si>
    <t>P0384</t>
  </si>
  <si>
    <t>P0385</t>
  </si>
  <si>
    <t>P0386</t>
  </si>
  <si>
    <t>Hamid Abbasi</t>
  </si>
  <si>
    <t>P0387</t>
  </si>
  <si>
    <t>Lubna Raza</t>
  </si>
  <si>
    <t>07/16/2024</t>
  </si>
  <si>
    <t>P0388</t>
  </si>
  <si>
    <t>Uzma Sheikh</t>
  </si>
  <si>
    <t>P0389</t>
  </si>
  <si>
    <t>Ahmed Malik</t>
  </si>
  <si>
    <t>01/13/2024</t>
  </si>
  <si>
    <t>P0390</t>
  </si>
  <si>
    <t>Nadia Mirza</t>
  </si>
  <si>
    <t>P0391</t>
  </si>
  <si>
    <t>Waqas Chaudhry</t>
  </si>
  <si>
    <t>P0392</t>
  </si>
  <si>
    <t>P0393</t>
  </si>
  <si>
    <t>Sana Nawaz</t>
  </si>
  <si>
    <t>P0394</t>
  </si>
  <si>
    <t>Zubair Raza</t>
  </si>
  <si>
    <t>P0395</t>
  </si>
  <si>
    <t>Sobia Nawaz</t>
  </si>
  <si>
    <t>P0396</t>
  </si>
  <si>
    <t>Fariha Raza</t>
  </si>
  <si>
    <t>P0397</t>
  </si>
  <si>
    <t>P0398</t>
  </si>
  <si>
    <t>P0399</t>
  </si>
  <si>
    <t>Ali Ahmed</t>
  </si>
  <si>
    <t>P0400</t>
  </si>
  <si>
    <t>Fariha Javed</t>
  </si>
  <si>
    <t>P0401</t>
  </si>
  <si>
    <t>P0402</t>
  </si>
  <si>
    <t>18-08-2024</t>
  </si>
  <si>
    <t>P0403</t>
  </si>
  <si>
    <t>Danish Abbasi</t>
  </si>
  <si>
    <t>15-06-2024</t>
  </si>
  <si>
    <t>P0404</t>
  </si>
  <si>
    <t>Nadia Ansari</t>
  </si>
  <si>
    <t>26-05-2024</t>
  </si>
  <si>
    <t>P0405</t>
  </si>
  <si>
    <t>20-05-2024</t>
  </si>
  <si>
    <t>P0406</t>
  </si>
  <si>
    <t>Usman Butt</t>
  </si>
  <si>
    <t>23-09-2024</t>
  </si>
  <si>
    <t>P0407</t>
  </si>
  <si>
    <t>Mehwish Abbasi</t>
  </si>
  <si>
    <t>P0408</t>
  </si>
  <si>
    <t>P0409</t>
  </si>
  <si>
    <t>Sobia Mirza</t>
  </si>
  <si>
    <t>P0410</t>
  </si>
  <si>
    <t>Hassan Akhtar</t>
  </si>
  <si>
    <t>P0411</t>
  </si>
  <si>
    <t>Lubna Qureshi</t>
  </si>
  <si>
    <t>05/21/2024</t>
  </si>
  <si>
    <t>P0412</t>
  </si>
  <si>
    <t>Zara Khan</t>
  </si>
  <si>
    <t>P0413</t>
  </si>
  <si>
    <t>02/25/2024</t>
  </si>
  <si>
    <t>P0414</t>
  </si>
  <si>
    <t>Sara Chaudhry</t>
  </si>
  <si>
    <t>P0415</t>
  </si>
  <si>
    <t>P0416</t>
  </si>
  <si>
    <t>Kamran Raza</t>
  </si>
  <si>
    <t>P0417</t>
  </si>
  <si>
    <t>Ali Chaudhry</t>
  </si>
  <si>
    <t>P0418</t>
  </si>
  <si>
    <t>Sana Qureshi</t>
  </si>
  <si>
    <t>16-10-2024</t>
  </si>
  <si>
    <t>P0419</t>
  </si>
  <si>
    <t>P0420</t>
  </si>
  <si>
    <t>Waqas Javed</t>
  </si>
  <si>
    <t>P0421</t>
  </si>
  <si>
    <t>Zara Hassan</t>
  </si>
  <si>
    <t>P0422</t>
  </si>
  <si>
    <t>Sara Butt</t>
  </si>
  <si>
    <t>P0423</t>
  </si>
  <si>
    <t>P0424</t>
  </si>
  <si>
    <t>P0425</t>
  </si>
  <si>
    <t>Tariq Ansari</t>
  </si>
  <si>
    <t>P0426</t>
  </si>
  <si>
    <t>Farhan Akhtar</t>
  </si>
  <si>
    <t>ER</t>
  </si>
  <si>
    <t>P0427</t>
  </si>
  <si>
    <t>Lubna Akhtar</t>
  </si>
  <si>
    <t>P0428</t>
  </si>
  <si>
    <t>P0429</t>
  </si>
  <si>
    <t>Zara Mirza</t>
  </si>
  <si>
    <t>P0430</t>
  </si>
  <si>
    <t>Amna Ansari</t>
  </si>
  <si>
    <t>08/23/2024</t>
  </si>
  <si>
    <t>P0431</t>
  </si>
  <si>
    <t>Sana Siddiqui</t>
  </si>
  <si>
    <t>P0432</t>
  </si>
  <si>
    <t>P0433</t>
  </si>
  <si>
    <t>03/14/2024</t>
  </si>
  <si>
    <t>P0434</t>
  </si>
  <si>
    <t>P0435</t>
  </si>
  <si>
    <t>Mehwish Hassan</t>
  </si>
  <si>
    <t>23-06-2024</t>
  </si>
  <si>
    <t>P0436</t>
  </si>
  <si>
    <t>Amna Hassan</t>
  </si>
  <si>
    <t>P0437</t>
  </si>
  <si>
    <t>Kamran Chaudhry</t>
  </si>
  <si>
    <t>P0438</t>
  </si>
  <si>
    <t>P0439</t>
  </si>
  <si>
    <t>Hamid Qureshi</t>
  </si>
  <si>
    <t>P0440</t>
  </si>
  <si>
    <t>P0441</t>
  </si>
  <si>
    <t>P0442</t>
  </si>
  <si>
    <t>P0443</t>
  </si>
  <si>
    <t>P0444</t>
  </si>
  <si>
    <t>P0445</t>
  </si>
  <si>
    <t>P0446</t>
  </si>
  <si>
    <t>P0447</t>
  </si>
  <si>
    <t>Nadia Ali</t>
  </si>
  <si>
    <t>P0448</t>
  </si>
  <si>
    <t>P0449</t>
  </si>
  <si>
    <t>29-08-2024</t>
  </si>
  <si>
    <t>P0450</t>
  </si>
  <si>
    <t>P0451</t>
  </si>
  <si>
    <t>28-04-2024</t>
  </si>
  <si>
    <t>P0452</t>
  </si>
  <si>
    <t>P0453</t>
  </si>
  <si>
    <t>Sobia Ahmed</t>
  </si>
  <si>
    <t>P0454</t>
  </si>
  <si>
    <t>21-09-2024</t>
  </si>
  <si>
    <t>P0455</t>
  </si>
  <si>
    <t>Zubair Iqbal</t>
  </si>
  <si>
    <t>P0456</t>
  </si>
  <si>
    <t>Amna Qureshi</t>
  </si>
  <si>
    <t>P0457</t>
  </si>
  <si>
    <t>Nida Bhatti</t>
  </si>
  <si>
    <t>03/22/2024</t>
  </si>
  <si>
    <t>P0458</t>
  </si>
  <si>
    <t>P0459</t>
  </si>
  <si>
    <t>P0460</t>
  </si>
  <si>
    <t>P0461</t>
  </si>
  <si>
    <t>Bilal Ansari</t>
  </si>
  <si>
    <t>05-09-2024</t>
  </si>
  <si>
    <t>P0462</t>
  </si>
  <si>
    <t>Omer Ali</t>
  </si>
  <si>
    <t>P0463</t>
  </si>
  <si>
    <t>Ahmed Mirza</t>
  </si>
  <si>
    <t>P0464</t>
  </si>
  <si>
    <t>P0465</t>
  </si>
  <si>
    <t>P0466</t>
  </si>
  <si>
    <t>P0467</t>
  </si>
  <si>
    <t>Asad Bhatti</t>
  </si>
  <si>
    <t>P0468</t>
  </si>
  <si>
    <t xml:space="preserve">  Hina Butt  </t>
  </si>
  <si>
    <t>P0469</t>
  </si>
  <si>
    <t>Uzma Iqbal</t>
  </si>
  <si>
    <t>P0470</t>
  </si>
  <si>
    <t>Nadia Siddiqui</t>
  </si>
  <si>
    <t>P0471</t>
  </si>
  <si>
    <t>Tariq Bhatti</t>
  </si>
  <si>
    <t>03/08/2024</t>
  </si>
  <si>
    <t>P0472</t>
  </si>
  <si>
    <t>P0473</t>
  </si>
  <si>
    <t>Omer Niazi</t>
  </si>
  <si>
    <t>10/01/2024</t>
  </si>
  <si>
    <t>P0474</t>
  </si>
  <si>
    <t>Mehwish Javed</t>
  </si>
  <si>
    <t>P0475</t>
  </si>
  <si>
    <t>07-10-2024</t>
  </si>
  <si>
    <t>29-10-2024</t>
  </si>
  <si>
    <t>P0476</t>
  </si>
  <si>
    <t>P0477</t>
  </si>
  <si>
    <t>Sobia Malik</t>
  </si>
  <si>
    <t>13-03-2024</t>
  </si>
  <si>
    <t>P0478</t>
  </si>
  <si>
    <t xml:space="preserve">  Sara Khan  </t>
  </si>
  <si>
    <t>P0479</t>
  </si>
  <si>
    <t>Tariq Chaudhry</t>
  </si>
  <si>
    <t>P0480</t>
  </si>
  <si>
    <t>P0481</t>
  </si>
  <si>
    <t>Farhan Qureshi</t>
  </si>
  <si>
    <t>P0482</t>
  </si>
  <si>
    <t>Hamid Butt</t>
  </si>
  <si>
    <t>P0483</t>
  </si>
  <si>
    <t>09/17/2024</t>
  </si>
  <si>
    <t>P0484</t>
  </si>
  <si>
    <t>Amna Khan</t>
  </si>
  <si>
    <t>P0485</t>
  </si>
  <si>
    <t>P0486</t>
  </si>
  <si>
    <t>P0487</t>
  </si>
  <si>
    <t>Farhan Mirza</t>
  </si>
  <si>
    <t>P0488</t>
  </si>
  <si>
    <t>03-06-2024</t>
  </si>
  <si>
    <t>P0489</t>
  </si>
  <si>
    <t>Kamran Qureshi</t>
  </si>
  <si>
    <t>P0490</t>
  </si>
  <si>
    <t>Zara Ansari</t>
  </si>
  <si>
    <t>P0491</t>
  </si>
  <si>
    <t>Fatima Nawaz</t>
  </si>
  <si>
    <t>02/17/2024</t>
  </si>
  <si>
    <t>P0492</t>
  </si>
  <si>
    <t>Bilal Javed</t>
  </si>
  <si>
    <t>P0493</t>
  </si>
  <si>
    <t>P0494</t>
  </si>
  <si>
    <t>05/27/2024</t>
  </si>
  <si>
    <t>P0495</t>
  </si>
  <si>
    <t>11-01-2024</t>
  </si>
  <si>
    <t>12-01-2024</t>
  </si>
  <si>
    <t>P0496</t>
  </si>
  <si>
    <t>P0497</t>
  </si>
  <si>
    <t>Uzma Abbasi</t>
  </si>
  <si>
    <t>P0498</t>
  </si>
  <si>
    <t>Hassan Javed</t>
  </si>
  <si>
    <t>P0499</t>
  </si>
  <si>
    <t>P0500</t>
  </si>
  <si>
    <t>P0501</t>
  </si>
  <si>
    <t>P0502</t>
  </si>
  <si>
    <t>P0503</t>
  </si>
  <si>
    <t>Bilal Iqbal</t>
  </si>
  <si>
    <t>P0504</t>
  </si>
  <si>
    <t>15-10-2024</t>
  </si>
  <si>
    <t>P0505</t>
  </si>
  <si>
    <t>Mehwish Chaudhry</t>
  </si>
  <si>
    <t>P0506</t>
  </si>
  <si>
    <t>30-08-2024</t>
  </si>
  <si>
    <t>P0507</t>
  </si>
  <si>
    <t>Zubair Ali</t>
  </si>
  <si>
    <t>20-06-2024</t>
  </si>
  <si>
    <t>P0508</t>
  </si>
  <si>
    <t>Mehwish Ali</t>
  </si>
  <si>
    <t>P0509</t>
  </si>
  <si>
    <t>Hamid Javed</t>
  </si>
  <si>
    <t>P0510</t>
  </si>
  <si>
    <t>P0511</t>
  </si>
  <si>
    <t>02-04-2024</t>
  </si>
  <si>
    <t>09-04-2024</t>
  </si>
  <si>
    <t>P0512</t>
  </si>
  <si>
    <t>P0513</t>
  </si>
  <si>
    <t>Nadia Hassan</t>
  </si>
  <si>
    <t>P0514</t>
  </si>
  <si>
    <t>Sobia Khan</t>
  </si>
  <si>
    <t>P0515</t>
  </si>
  <si>
    <t>P0516</t>
  </si>
  <si>
    <t>03/15/2024</t>
  </si>
  <si>
    <t>P0517</t>
  </si>
  <si>
    <t>05-01-2024</t>
  </si>
  <si>
    <t>P0518</t>
  </si>
  <si>
    <t>Rabia Niazi</t>
  </si>
  <si>
    <t>P0519</t>
  </si>
  <si>
    <t>Nadia Javed</t>
  </si>
  <si>
    <t>26-03-2024</t>
  </si>
  <si>
    <t>P0520</t>
  </si>
  <si>
    <t>Nida Butt</t>
  </si>
  <si>
    <t>P0521</t>
  </si>
  <si>
    <t>Lubna Ansari</t>
  </si>
  <si>
    <t>P0522</t>
  </si>
  <si>
    <t>05/18/2024</t>
  </si>
  <si>
    <t>P0523</t>
  </si>
  <si>
    <t>08/09/2024</t>
  </si>
  <si>
    <t>P0524</t>
  </si>
  <si>
    <t>P0525</t>
  </si>
  <si>
    <t>Fatima Ansari</t>
  </si>
  <si>
    <t>P0526</t>
  </si>
  <si>
    <t>P0527</t>
  </si>
  <si>
    <t xml:space="preserve">  Waqas Siddiqui  </t>
  </si>
  <si>
    <t>P0528</t>
  </si>
  <si>
    <t>08/01/2024</t>
  </si>
  <si>
    <t>P0529</t>
  </si>
  <si>
    <t>P0530</t>
  </si>
  <si>
    <t>P0531</t>
  </si>
  <si>
    <t>P0532</t>
  </si>
  <si>
    <t>P0533</t>
  </si>
  <si>
    <t>P0534</t>
  </si>
  <si>
    <t>P0535</t>
  </si>
  <si>
    <t>P0536</t>
  </si>
  <si>
    <t>Ali Raza</t>
  </si>
  <si>
    <t>P0537</t>
  </si>
  <si>
    <t xml:space="preserve">  Hina Niazi  </t>
  </si>
  <si>
    <t>P0538</t>
  </si>
  <si>
    <t>P0539</t>
  </si>
  <si>
    <t>P0540</t>
  </si>
  <si>
    <t>Farhan Nawaz</t>
  </si>
  <si>
    <t>P0541</t>
  </si>
  <si>
    <t>P0542</t>
  </si>
  <si>
    <t>Lubna Chaudhry</t>
  </si>
  <si>
    <t>P0543</t>
  </si>
  <si>
    <t>Saima Iqbal</t>
  </si>
  <si>
    <t>02/05/2024</t>
  </si>
  <si>
    <t>P0544</t>
  </si>
  <si>
    <t>P0545</t>
  </si>
  <si>
    <t>P0546</t>
  </si>
  <si>
    <t>Rabia Javed</t>
  </si>
  <si>
    <t>P0547</t>
  </si>
  <si>
    <t>P0548</t>
  </si>
  <si>
    <t>P0549</t>
  </si>
  <si>
    <t>P0550</t>
  </si>
  <si>
    <t>P0551</t>
  </si>
  <si>
    <t>Mehwish Bhatti</t>
  </si>
  <si>
    <t>P0552</t>
  </si>
  <si>
    <t>Hina Butt</t>
  </si>
  <si>
    <t>11-11-2024</t>
  </si>
  <si>
    <t>P0553</t>
  </si>
  <si>
    <t>Sana Ali</t>
  </si>
  <si>
    <t>P0554</t>
  </si>
  <si>
    <t>04/29/2024</t>
  </si>
  <si>
    <t>P0555</t>
  </si>
  <si>
    <t>Asad Butt</t>
  </si>
  <si>
    <t>P0556</t>
  </si>
  <si>
    <t>P0557</t>
  </si>
  <si>
    <t>P0558</t>
  </si>
  <si>
    <t>P0559</t>
  </si>
  <si>
    <t>Sara Niazi</t>
  </si>
  <si>
    <t>P0560</t>
  </si>
  <si>
    <t>P0561</t>
  </si>
  <si>
    <t>P0562</t>
  </si>
  <si>
    <t>P0563</t>
  </si>
  <si>
    <t>P0564</t>
  </si>
  <si>
    <t>12-10-2024</t>
  </si>
  <si>
    <t>P0565</t>
  </si>
  <si>
    <t>P0566</t>
  </si>
  <si>
    <t>Nida Akhtar</t>
  </si>
  <si>
    <t>P0567</t>
  </si>
  <si>
    <t>06/27/2024</t>
  </si>
  <si>
    <t>P0568</t>
  </si>
  <si>
    <t>Sana Iqbal</t>
  </si>
  <si>
    <t>P0569</t>
  </si>
  <si>
    <t>Ali Abbasi</t>
  </si>
  <si>
    <t>P0570</t>
  </si>
  <si>
    <t>P0571</t>
  </si>
  <si>
    <t>P0572</t>
  </si>
  <si>
    <t>P0573</t>
  </si>
  <si>
    <t xml:space="preserve">  Hamid Ahmed  </t>
  </si>
  <si>
    <t>P0574</t>
  </si>
  <si>
    <t>P0575</t>
  </si>
  <si>
    <t>P0576</t>
  </si>
  <si>
    <t>P0577</t>
  </si>
  <si>
    <t>P0578</t>
  </si>
  <si>
    <t>P0579</t>
  </si>
  <si>
    <t>P0580</t>
  </si>
  <si>
    <t>P0581</t>
  </si>
  <si>
    <t>P0582</t>
  </si>
  <si>
    <t>Fariha Hassan</t>
  </si>
  <si>
    <t>P0583</t>
  </si>
  <si>
    <t>P0584</t>
  </si>
  <si>
    <t>P0585</t>
  </si>
  <si>
    <t>P0586</t>
  </si>
  <si>
    <t>Hina Khan</t>
  </si>
  <si>
    <t>P0587</t>
  </si>
  <si>
    <t>Waqas Malik</t>
  </si>
  <si>
    <t>P0588</t>
  </si>
  <si>
    <t>P0589</t>
  </si>
  <si>
    <t>P0590</t>
  </si>
  <si>
    <t>P0591</t>
  </si>
  <si>
    <t>P0592</t>
  </si>
  <si>
    <t>Fariha Ahmed</t>
  </si>
  <si>
    <t>08/26/2024</t>
  </si>
  <si>
    <t>P0593</t>
  </si>
  <si>
    <t>P0594</t>
  </si>
  <si>
    <t>Tariq Qureshi</t>
  </si>
  <si>
    <t>P0595</t>
  </si>
  <si>
    <t>Ahmed Siddiqui</t>
  </si>
  <si>
    <t>P0596</t>
  </si>
  <si>
    <t>P0597</t>
  </si>
  <si>
    <t>Hina Raza</t>
  </si>
  <si>
    <t>P0598</t>
  </si>
  <si>
    <t>Kamran Akhtar</t>
  </si>
  <si>
    <t>P0599</t>
  </si>
  <si>
    <t>P0600</t>
  </si>
  <si>
    <t>P0601</t>
  </si>
  <si>
    <t>P0602</t>
  </si>
  <si>
    <t>P0603</t>
  </si>
  <si>
    <t>P0604</t>
  </si>
  <si>
    <t>P0605</t>
  </si>
  <si>
    <t xml:space="preserve">  Sana Abbasi  </t>
  </si>
  <si>
    <t>P0606</t>
  </si>
  <si>
    <t>P0607</t>
  </si>
  <si>
    <t>Sana Malik</t>
  </si>
  <si>
    <t>P0608</t>
  </si>
  <si>
    <t>P0609</t>
  </si>
  <si>
    <t xml:space="preserve">  Ahmed Iqbal  </t>
  </si>
  <si>
    <t>P0610</t>
  </si>
  <si>
    <t>P0611</t>
  </si>
  <si>
    <t>03/05/2024</t>
  </si>
  <si>
    <t>P0612</t>
  </si>
  <si>
    <t>P0613</t>
  </si>
  <si>
    <t>P0614</t>
  </si>
  <si>
    <t>P0615</t>
  </si>
  <si>
    <t>Sara Hassan</t>
  </si>
  <si>
    <t>P0616</t>
  </si>
  <si>
    <t>Hamid Ali</t>
  </si>
  <si>
    <t>P0617</t>
  </si>
  <si>
    <t>Bilal Malik</t>
  </si>
  <si>
    <t>P0618</t>
  </si>
  <si>
    <t>Asad Iqbal</t>
  </si>
  <si>
    <t>P0619</t>
  </si>
  <si>
    <t>P0620</t>
  </si>
  <si>
    <t>Ali Javed</t>
  </si>
  <si>
    <t>P0621</t>
  </si>
  <si>
    <t>P0622</t>
  </si>
  <si>
    <t>P0623</t>
  </si>
  <si>
    <t>P0624</t>
  </si>
  <si>
    <t>Asad Nawaz</t>
  </si>
  <si>
    <t>P0625</t>
  </si>
  <si>
    <t>06/25/2024</t>
  </si>
  <si>
    <t>P0626</t>
  </si>
  <si>
    <t>08-11-2024</t>
  </si>
  <si>
    <t>P0627</t>
  </si>
  <si>
    <t>Imran Ali</t>
  </si>
  <si>
    <t>P0628</t>
  </si>
  <si>
    <t>P0629</t>
  </si>
  <si>
    <t>Fariha Sheikh</t>
  </si>
  <si>
    <t>P0630</t>
  </si>
  <si>
    <t>Amna Ali</t>
  </si>
  <si>
    <t>P0631</t>
  </si>
  <si>
    <t>P0632</t>
  </si>
  <si>
    <t>P0633</t>
  </si>
  <si>
    <t>Nida Abbasi</t>
  </si>
  <si>
    <t>P0634</t>
  </si>
  <si>
    <t>P0635</t>
  </si>
  <si>
    <t>P0636</t>
  </si>
  <si>
    <t>Imran Ahmed</t>
  </si>
  <si>
    <t>P0637</t>
  </si>
  <si>
    <t>P0638</t>
  </si>
  <si>
    <t>P0639</t>
  </si>
  <si>
    <t>06/09/2024</t>
  </si>
  <si>
    <t>P0640</t>
  </si>
  <si>
    <t>P0641</t>
  </si>
  <si>
    <t>Kamran Javed</t>
  </si>
  <si>
    <t>09/21/2024</t>
  </si>
  <si>
    <t>P0642</t>
  </si>
  <si>
    <t>P0643</t>
  </si>
  <si>
    <t>Rabia Ahmed</t>
  </si>
  <si>
    <t>P0644</t>
  </si>
  <si>
    <t>08/16/2024</t>
  </si>
  <si>
    <t>P0645</t>
  </si>
  <si>
    <t>Asad Akhtar</t>
  </si>
  <si>
    <t>P0646</t>
  </si>
  <si>
    <t>Waqas Ahmed</t>
  </si>
  <si>
    <t>02/24/2024</t>
  </si>
  <si>
    <t>P0647</t>
  </si>
  <si>
    <t>Imran Chaudhry</t>
  </si>
  <si>
    <t>Karachii</t>
  </si>
  <si>
    <t>P0648</t>
  </si>
  <si>
    <t>Saima Malik</t>
  </si>
  <si>
    <t>07/19/2024</t>
  </si>
  <si>
    <t>P0649</t>
  </si>
  <si>
    <t xml:space="preserve">  Omer Akhtar  </t>
  </si>
  <si>
    <t>P0650</t>
  </si>
  <si>
    <t>Saima Nawaz</t>
  </si>
  <si>
    <t>P0651</t>
  </si>
  <si>
    <t>Sara Raza</t>
  </si>
  <si>
    <t>P0652</t>
  </si>
  <si>
    <t>P0653</t>
  </si>
  <si>
    <t xml:space="preserve">  Nadia Nawaz  </t>
  </si>
  <si>
    <t>P0654</t>
  </si>
  <si>
    <t>Rabia Mirza</t>
  </si>
  <si>
    <t>P0655</t>
  </si>
  <si>
    <t>P0656</t>
  </si>
  <si>
    <t>Ali Mirza</t>
  </si>
  <si>
    <t>P0657</t>
  </si>
  <si>
    <t>P0658</t>
  </si>
  <si>
    <t>P0659</t>
  </si>
  <si>
    <t>P0660</t>
  </si>
  <si>
    <t>P0661</t>
  </si>
  <si>
    <t>Nida Raza</t>
  </si>
  <si>
    <t>P0662</t>
  </si>
  <si>
    <t>P0663</t>
  </si>
  <si>
    <t>Zara Raza</t>
  </si>
  <si>
    <t>P0664</t>
  </si>
  <si>
    <t>Omer Sheikh</t>
  </si>
  <si>
    <t>P0665</t>
  </si>
  <si>
    <t xml:space="preserve">  Lubna Chaudhry  </t>
  </si>
  <si>
    <t>P0666</t>
  </si>
  <si>
    <t>P0667</t>
  </si>
  <si>
    <t>P0668</t>
  </si>
  <si>
    <t>Nadia Raza</t>
  </si>
  <si>
    <t>P0669</t>
  </si>
  <si>
    <t>P0670</t>
  </si>
  <si>
    <t>Lubna Iqbal</t>
  </si>
  <si>
    <t>P0671</t>
  </si>
  <si>
    <t>P0672</t>
  </si>
  <si>
    <t>02/23/2024</t>
  </si>
  <si>
    <t>P0673</t>
  </si>
  <si>
    <t>P0674</t>
  </si>
  <si>
    <t>Amna Abbasi</t>
  </si>
  <si>
    <t>P0675</t>
  </si>
  <si>
    <t>04/06/2024</t>
  </si>
  <si>
    <t>P0676</t>
  </si>
  <si>
    <t>01/03/2024</t>
  </si>
  <si>
    <t>P0677</t>
  </si>
  <si>
    <t>Nida Sheikh</t>
  </si>
  <si>
    <t>P0678</t>
  </si>
  <si>
    <t>Rabia Nawaz</t>
  </si>
  <si>
    <t>P0679</t>
  </si>
  <si>
    <t>Hassan Bhatti</t>
  </si>
  <si>
    <t>P0680</t>
  </si>
  <si>
    <t>P0681</t>
  </si>
  <si>
    <t>P0682</t>
  </si>
  <si>
    <t>P0683</t>
  </si>
  <si>
    <t>P0684</t>
  </si>
  <si>
    <t>P0685</t>
  </si>
  <si>
    <t>Zubair Malik</t>
  </si>
  <si>
    <t>P0686</t>
  </si>
  <si>
    <t>Waqas Ansari</t>
  </si>
  <si>
    <t>P0687</t>
  </si>
  <si>
    <t>04/21/2024</t>
  </si>
  <si>
    <t>P0688</t>
  </si>
  <si>
    <t>P0689</t>
  </si>
  <si>
    <t>P0690</t>
  </si>
  <si>
    <t>P0691</t>
  </si>
  <si>
    <t>Danish Qureshi</t>
  </si>
  <si>
    <t>P0692</t>
  </si>
  <si>
    <t>Danish Raza</t>
  </si>
  <si>
    <t>P0693</t>
  </si>
  <si>
    <t>P0694</t>
  </si>
  <si>
    <t>P0695</t>
  </si>
  <si>
    <t>Danish Akhtar</t>
  </si>
  <si>
    <t>P0696</t>
  </si>
  <si>
    <t>Hamid Hassan</t>
  </si>
  <si>
    <t>P0697</t>
  </si>
  <si>
    <t>Ali Hassan</t>
  </si>
  <si>
    <t>P0698</t>
  </si>
  <si>
    <t>P0699</t>
  </si>
  <si>
    <t xml:space="preserve">  Sobia Ali  </t>
  </si>
  <si>
    <t>P0700</t>
  </si>
  <si>
    <t>P0701</t>
  </si>
  <si>
    <t>Lubna Nawaz</t>
  </si>
  <si>
    <t>02/15/2024</t>
  </si>
  <si>
    <t>P0702</t>
  </si>
  <si>
    <t>P0703</t>
  </si>
  <si>
    <t>P0704</t>
  </si>
  <si>
    <t>P0705</t>
  </si>
  <si>
    <t>Ali Ansari</t>
  </si>
  <si>
    <t>04/04/2024</t>
  </si>
  <si>
    <t>P0706</t>
  </si>
  <si>
    <t>IslamAbad</t>
  </si>
  <si>
    <t>P0707</t>
  </si>
  <si>
    <t>P0708</t>
  </si>
  <si>
    <t>P0709</t>
  </si>
  <si>
    <t>Asad Khan</t>
  </si>
  <si>
    <t>P0710</t>
  </si>
  <si>
    <t>07/15/2024</t>
  </si>
  <si>
    <t>P0711</t>
  </si>
  <si>
    <t>P0712</t>
  </si>
  <si>
    <t>P0713</t>
  </si>
  <si>
    <t>P0714</t>
  </si>
  <si>
    <t>14-11-2024</t>
  </si>
  <si>
    <t>P0715</t>
  </si>
  <si>
    <t>Mehwish Iqbal</t>
  </si>
  <si>
    <t>P0716</t>
  </si>
  <si>
    <t>P0717</t>
  </si>
  <si>
    <t>01/20/2024</t>
  </si>
  <si>
    <t>P0718</t>
  </si>
  <si>
    <t>P0719</t>
  </si>
  <si>
    <t>Omer Mirza</t>
  </si>
  <si>
    <t>P0720</t>
  </si>
  <si>
    <t>Mehwish Raza</t>
  </si>
  <si>
    <t>P0721</t>
  </si>
  <si>
    <t>Danish Khan</t>
  </si>
  <si>
    <t>P0722</t>
  </si>
  <si>
    <t>Danish Bhatti</t>
  </si>
  <si>
    <t>P0723</t>
  </si>
  <si>
    <t>P0724</t>
  </si>
  <si>
    <t>P0725</t>
  </si>
  <si>
    <t xml:space="preserve">  Nida Iqbal  </t>
  </si>
  <si>
    <t>P0726</t>
  </si>
  <si>
    <t>Sobia Butt</t>
  </si>
  <si>
    <t>P0727</t>
  </si>
  <si>
    <t>Rabia Ansari</t>
  </si>
  <si>
    <t>P0728</t>
  </si>
  <si>
    <t>23-08-2024</t>
  </si>
  <si>
    <t>P0729</t>
  </si>
  <si>
    <t>08-01-2024</t>
  </si>
  <si>
    <t>P0730</t>
  </si>
  <si>
    <t>P0731</t>
  </si>
  <si>
    <t>P0732</t>
  </si>
  <si>
    <t>P0733</t>
  </si>
  <si>
    <t>24-03-2024</t>
  </si>
  <si>
    <t>P0734</t>
  </si>
  <si>
    <t>P0735</t>
  </si>
  <si>
    <t>P0736</t>
  </si>
  <si>
    <t>P0737</t>
  </si>
  <si>
    <t>P0738</t>
  </si>
  <si>
    <t>P0739</t>
  </si>
  <si>
    <t>P0740</t>
  </si>
  <si>
    <t>Danish Ali</t>
  </si>
  <si>
    <t>P0741</t>
  </si>
  <si>
    <t>P0742</t>
  </si>
  <si>
    <t>P0743</t>
  </si>
  <si>
    <t>P0744</t>
  </si>
  <si>
    <t>Usman Niazi</t>
  </si>
  <si>
    <t>P0745</t>
  </si>
  <si>
    <t>P0746</t>
  </si>
  <si>
    <t>P0747</t>
  </si>
  <si>
    <t>P0748</t>
  </si>
  <si>
    <t>Hamid Malik</t>
  </si>
  <si>
    <t>P0749</t>
  </si>
  <si>
    <t>P0750</t>
  </si>
  <si>
    <t>Usman Siddiqui</t>
  </si>
  <si>
    <t>P0751</t>
  </si>
  <si>
    <t>P0752</t>
  </si>
  <si>
    <t>P0753</t>
  </si>
  <si>
    <t>06-11-2024</t>
  </si>
  <si>
    <t>P0754</t>
  </si>
  <si>
    <t>P0755</t>
  </si>
  <si>
    <t>P0756</t>
  </si>
  <si>
    <t>P0757</t>
  </si>
  <si>
    <t>Fatima Mirza</t>
  </si>
  <si>
    <t>02/01/2024</t>
  </si>
  <si>
    <t>P0758</t>
  </si>
  <si>
    <t>P0759</t>
  </si>
  <si>
    <t>Farhan Abbasi</t>
  </si>
  <si>
    <t>P0760</t>
  </si>
  <si>
    <t>P0761</t>
  </si>
  <si>
    <t>Nadia Malik</t>
  </si>
  <si>
    <t>P0762</t>
  </si>
  <si>
    <t>P0763</t>
  </si>
  <si>
    <t>P0764</t>
  </si>
  <si>
    <t>P0765</t>
  </si>
  <si>
    <t>P0766</t>
  </si>
  <si>
    <t>P0767</t>
  </si>
  <si>
    <t>06/07/2024</t>
  </si>
  <si>
    <t>13-06-2024</t>
  </si>
  <si>
    <t>P0768</t>
  </si>
  <si>
    <t>P0769</t>
  </si>
  <si>
    <t>Kamran Ali</t>
  </si>
  <si>
    <t>P0770</t>
  </si>
  <si>
    <t>Bilal Ali</t>
  </si>
  <si>
    <t>P0771</t>
  </si>
  <si>
    <t>P0772</t>
  </si>
  <si>
    <t>P0773</t>
  </si>
  <si>
    <t>P0774</t>
  </si>
  <si>
    <t>P0775</t>
  </si>
  <si>
    <t>01-05-2024</t>
  </si>
  <si>
    <t>P0776</t>
  </si>
  <si>
    <t>P0777</t>
  </si>
  <si>
    <t>P0778</t>
  </si>
  <si>
    <t>P0779</t>
  </si>
  <si>
    <t>Sobia Akhtar</t>
  </si>
  <si>
    <t>P0780</t>
  </si>
  <si>
    <t>P0781</t>
  </si>
  <si>
    <t>Sara Siddiqui</t>
  </si>
  <si>
    <t>P0782</t>
  </si>
  <si>
    <t>P0783</t>
  </si>
  <si>
    <t>Tariq Ahmed</t>
  </si>
  <si>
    <t>P0784</t>
  </si>
  <si>
    <t>Fatima Abbasi</t>
  </si>
  <si>
    <t>P0785</t>
  </si>
  <si>
    <t>P0786</t>
  </si>
  <si>
    <t>P0787</t>
  </si>
  <si>
    <t>P0788</t>
  </si>
  <si>
    <t>P0789</t>
  </si>
  <si>
    <t>Tariq Butt</t>
  </si>
  <si>
    <t>P0790</t>
  </si>
  <si>
    <t>P0791</t>
  </si>
  <si>
    <t>P0792</t>
  </si>
  <si>
    <t>P0793</t>
  </si>
  <si>
    <t>Usman Raza</t>
  </si>
  <si>
    <t>P0794</t>
  </si>
  <si>
    <t>Waqas Niazi</t>
  </si>
  <si>
    <t>10/07/2024</t>
  </si>
  <si>
    <t>P0795</t>
  </si>
  <si>
    <t>Rabia Siddiqui</t>
  </si>
  <si>
    <t>P0796</t>
  </si>
  <si>
    <t>P0797</t>
  </si>
  <si>
    <t>Sobia Sheikh</t>
  </si>
  <si>
    <t>P0798</t>
  </si>
  <si>
    <t>P0799</t>
  </si>
  <si>
    <t>P0800</t>
  </si>
  <si>
    <t>P0801</t>
  </si>
  <si>
    <t>P0802</t>
  </si>
  <si>
    <t>P0803</t>
  </si>
  <si>
    <t>05/28/2024</t>
  </si>
  <si>
    <t>P0804</t>
  </si>
  <si>
    <t>P0805</t>
  </si>
  <si>
    <t>P0806</t>
  </si>
  <si>
    <t>P0807</t>
  </si>
  <si>
    <t>Kamran Khan</t>
  </si>
  <si>
    <t>P0808</t>
  </si>
  <si>
    <t>P0809</t>
  </si>
  <si>
    <t>Sara Ali</t>
  </si>
  <si>
    <t>P0810</t>
  </si>
  <si>
    <t>Rabia Sheikh</t>
  </si>
  <si>
    <t>P0811</t>
  </si>
  <si>
    <t>P0812</t>
  </si>
  <si>
    <t>P0813</t>
  </si>
  <si>
    <t>P0814</t>
  </si>
  <si>
    <t>Nida Khan</t>
  </si>
  <si>
    <t>P0815</t>
  </si>
  <si>
    <t>Waqas Akhtar</t>
  </si>
  <si>
    <t>P0816</t>
  </si>
  <si>
    <t>P0817</t>
  </si>
  <si>
    <t>Lubna Khan</t>
  </si>
  <si>
    <t>P0818</t>
  </si>
  <si>
    <t>Fariha Abbasi</t>
  </si>
  <si>
    <t>10/11/2024</t>
  </si>
  <si>
    <t>P0819</t>
  </si>
  <si>
    <t>P0820</t>
  </si>
  <si>
    <t>P0821</t>
  </si>
  <si>
    <t>P0822</t>
  </si>
  <si>
    <t>P0823</t>
  </si>
  <si>
    <t>02/08/2024</t>
  </si>
  <si>
    <t>P0824</t>
  </si>
  <si>
    <t>Mehwish Sheikh</t>
  </si>
  <si>
    <t>P0825</t>
  </si>
  <si>
    <t>Sobia Niazi</t>
  </si>
  <si>
    <t>P0826</t>
  </si>
  <si>
    <t>P0827</t>
  </si>
  <si>
    <t>P0828</t>
  </si>
  <si>
    <t>03/09/2024</t>
  </si>
  <si>
    <t>P0829</t>
  </si>
  <si>
    <t>Zubair Niazi</t>
  </si>
  <si>
    <t>P0830</t>
  </si>
  <si>
    <t>P0831</t>
  </si>
  <si>
    <t>P0832</t>
  </si>
  <si>
    <t>P0833</t>
  </si>
  <si>
    <t xml:space="preserve">  Omer Raza  </t>
  </si>
  <si>
    <t>P0834</t>
  </si>
  <si>
    <t>P0835</t>
  </si>
  <si>
    <t>P0836</t>
  </si>
  <si>
    <t>P0837</t>
  </si>
  <si>
    <t>P0838</t>
  </si>
  <si>
    <t xml:space="preserve">  Zara Iqbal  </t>
  </si>
  <si>
    <t>P0839</t>
  </si>
  <si>
    <t>Asad Sheikh</t>
  </si>
  <si>
    <t>P0840</t>
  </si>
  <si>
    <t>P0841</t>
  </si>
  <si>
    <t>P0842</t>
  </si>
  <si>
    <t>P0843</t>
  </si>
  <si>
    <t>P0844</t>
  </si>
  <si>
    <t>Tariq Nawaz</t>
  </si>
  <si>
    <t>P0845</t>
  </si>
  <si>
    <t>P0846</t>
  </si>
  <si>
    <t>P0847</t>
  </si>
  <si>
    <t>Hina Bhatti</t>
  </si>
  <si>
    <t>P0848</t>
  </si>
  <si>
    <t>P0849</t>
  </si>
  <si>
    <t>P0850</t>
  </si>
  <si>
    <t>P0851</t>
  </si>
  <si>
    <t>P0852</t>
  </si>
  <si>
    <t>P0853</t>
  </si>
  <si>
    <t>Bilal Abbasi</t>
  </si>
  <si>
    <t>P0854</t>
  </si>
  <si>
    <t>P0855</t>
  </si>
  <si>
    <t>P0856</t>
  </si>
  <si>
    <t>P0857</t>
  </si>
  <si>
    <t>P0858</t>
  </si>
  <si>
    <t>P0859</t>
  </si>
  <si>
    <t>P0860</t>
  </si>
  <si>
    <t>P0861</t>
  </si>
  <si>
    <t>P0862</t>
  </si>
  <si>
    <t>Imran Siddiqui</t>
  </si>
  <si>
    <t>P0863</t>
  </si>
  <si>
    <t>P0864</t>
  </si>
  <si>
    <t>Farhan Raza</t>
  </si>
  <si>
    <t>P0865</t>
  </si>
  <si>
    <t>P0866</t>
  </si>
  <si>
    <t xml:space="preserve">  Saima Ali  </t>
  </si>
  <si>
    <t>08/07/2024</t>
  </si>
  <si>
    <t>P0867</t>
  </si>
  <si>
    <t>P0868</t>
  </si>
  <si>
    <t>P0869</t>
  </si>
  <si>
    <t xml:space="preserve">  Uzma Qureshi  </t>
  </si>
  <si>
    <t>P0870</t>
  </si>
  <si>
    <t>Saima Raza</t>
  </si>
  <si>
    <t>P0871</t>
  </si>
  <si>
    <t>Nida Malik</t>
  </si>
  <si>
    <t>P0872</t>
  </si>
  <si>
    <t>P0873</t>
  </si>
  <si>
    <t xml:space="preserve">  Amna Siddiqui  </t>
  </si>
  <si>
    <t>P0874</t>
  </si>
  <si>
    <t>Zara Bhatti</t>
  </si>
  <si>
    <t>P0875</t>
  </si>
  <si>
    <t>P0876</t>
  </si>
  <si>
    <t>P0877</t>
  </si>
  <si>
    <t>P0878</t>
  </si>
  <si>
    <t>P0879</t>
  </si>
  <si>
    <t>P0880</t>
  </si>
  <si>
    <t>P0881</t>
  </si>
  <si>
    <t>P0882</t>
  </si>
  <si>
    <t>cardiology</t>
  </si>
  <si>
    <t>05/31/2024</t>
  </si>
  <si>
    <t>P0883</t>
  </si>
  <si>
    <t>Imran Khan</t>
  </si>
  <si>
    <t>P0884</t>
  </si>
  <si>
    <t>P0885</t>
  </si>
  <si>
    <t>P0886</t>
  </si>
  <si>
    <t>P0887</t>
  </si>
  <si>
    <t>P0888</t>
  </si>
  <si>
    <t>Lubna Siddiqui</t>
  </si>
  <si>
    <t>P0889</t>
  </si>
  <si>
    <t>P0890</t>
  </si>
  <si>
    <t>P0891</t>
  </si>
  <si>
    <t>P0892</t>
  </si>
  <si>
    <t>P0893</t>
  </si>
  <si>
    <t>Asad Raza</t>
  </si>
  <si>
    <t>P0894</t>
  </si>
  <si>
    <t>P0895</t>
  </si>
  <si>
    <t>P0896</t>
  </si>
  <si>
    <t>Tariq Raza</t>
  </si>
  <si>
    <t>P0897</t>
  </si>
  <si>
    <t xml:space="preserve">  Lubna Mirza  </t>
  </si>
  <si>
    <t>P0898</t>
  </si>
  <si>
    <t>P0899</t>
  </si>
  <si>
    <t>P0900</t>
  </si>
  <si>
    <t>P0901</t>
  </si>
  <si>
    <t>Fariha Malik</t>
  </si>
  <si>
    <t>P0902</t>
  </si>
  <si>
    <t>P0903</t>
  </si>
  <si>
    <t>P0904</t>
  </si>
  <si>
    <t>P0905</t>
  </si>
  <si>
    <t>P0906</t>
  </si>
  <si>
    <t>Hassan Hassan</t>
  </si>
  <si>
    <t>P0907</t>
  </si>
  <si>
    <t>Hassan Siddiqui</t>
  </si>
  <si>
    <t>P0908</t>
  </si>
  <si>
    <t>P0909</t>
  </si>
  <si>
    <t>P0910</t>
  </si>
  <si>
    <t>P0911</t>
  </si>
  <si>
    <t>P0912</t>
  </si>
  <si>
    <t>P0913</t>
  </si>
  <si>
    <t xml:space="preserve">  Rabia Bhatti  </t>
  </si>
  <si>
    <t>P0914</t>
  </si>
  <si>
    <t>10/17/2024</t>
  </si>
  <si>
    <t>P0915</t>
  </si>
  <si>
    <t xml:space="preserve">  Uzma Akhtar  </t>
  </si>
  <si>
    <t>P0916</t>
  </si>
  <si>
    <t>P0917</t>
  </si>
  <si>
    <t>P0918</t>
  </si>
  <si>
    <t>P0919</t>
  </si>
  <si>
    <t>05/23/2024</t>
  </si>
  <si>
    <t>P0920</t>
  </si>
  <si>
    <t>Waqas Ali</t>
  </si>
  <si>
    <t>02/09/2024</t>
  </si>
  <si>
    <t>P0921</t>
  </si>
  <si>
    <t>05/09/2024</t>
  </si>
  <si>
    <t>P0922</t>
  </si>
  <si>
    <t>P0923</t>
  </si>
  <si>
    <t xml:space="preserve">  Saima Ansari  </t>
  </si>
  <si>
    <t>P0924</t>
  </si>
  <si>
    <t>P0925</t>
  </si>
  <si>
    <t>P0926</t>
  </si>
  <si>
    <t>P0927</t>
  </si>
  <si>
    <t>P0928</t>
  </si>
  <si>
    <t>P0929</t>
  </si>
  <si>
    <t>P0930</t>
  </si>
  <si>
    <t>P0931</t>
  </si>
  <si>
    <t>P0932</t>
  </si>
  <si>
    <t>P0933</t>
  </si>
  <si>
    <t>P0934</t>
  </si>
  <si>
    <t>P0935</t>
  </si>
  <si>
    <t>P0936</t>
  </si>
  <si>
    <t>09/06/2024</t>
  </si>
  <si>
    <t>P0937</t>
  </si>
  <si>
    <t>P0938</t>
  </si>
  <si>
    <t>P0939</t>
  </si>
  <si>
    <t>Fatima Javed</t>
  </si>
  <si>
    <t>P0940</t>
  </si>
  <si>
    <t>P0941</t>
  </si>
  <si>
    <t>P0942</t>
  </si>
  <si>
    <t>Fatima Chaudhry</t>
  </si>
  <si>
    <t>P0943</t>
  </si>
  <si>
    <t>Omer Qureshi</t>
  </si>
  <si>
    <t>P0944</t>
  </si>
  <si>
    <t>P0945</t>
  </si>
  <si>
    <t>P0946</t>
  </si>
  <si>
    <t>P0947</t>
  </si>
  <si>
    <t>P0948</t>
  </si>
  <si>
    <t>Amna Malik</t>
  </si>
  <si>
    <t>P0949</t>
  </si>
  <si>
    <t>P0950</t>
  </si>
  <si>
    <t>03/03/2024</t>
  </si>
  <si>
    <t>P0951</t>
  </si>
  <si>
    <t>P0952</t>
  </si>
  <si>
    <t>P0953</t>
  </si>
  <si>
    <t>Sara Javed</t>
  </si>
  <si>
    <t>02/21/2024</t>
  </si>
  <si>
    <t>P0954</t>
  </si>
  <si>
    <t>P0955</t>
  </si>
  <si>
    <t>Imran Mirza</t>
  </si>
  <si>
    <t>P0956</t>
  </si>
  <si>
    <t>Bilal Ahmed</t>
  </si>
  <si>
    <t>09/01/2024</t>
  </si>
  <si>
    <t>P0957</t>
  </si>
  <si>
    <t>P0958</t>
  </si>
  <si>
    <t>02/29/2024</t>
  </si>
  <si>
    <t>P0959</t>
  </si>
  <si>
    <t>P0960</t>
  </si>
  <si>
    <t>P0961</t>
  </si>
  <si>
    <t>13-11-2024</t>
  </si>
  <si>
    <t>P0962</t>
  </si>
  <si>
    <t>Usman Akhtar</t>
  </si>
  <si>
    <t>P0963</t>
  </si>
  <si>
    <t>P0964</t>
  </si>
  <si>
    <t>P0965</t>
  </si>
  <si>
    <t>P0966</t>
  </si>
  <si>
    <t>Zara Niazi</t>
  </si>
  <si>
    <t>P0967</t>
  </si>
  <si>
    <t>P0968</t>
  </si>
  <si>
    <t>07/13/2024</t>
  </si>
  <si>
    <t>P0969</t>
  </si>
  <si>
    <t>P0970</t>
  </si>
  <si>
    <t>P0971</t>
  </si>
  <si>
    <t>P0972</t>
  </si>
  <si>
    <t>P0973</t>
  </si>
  <si>
    <t>Zubair Siddiqui</t>
  </si>
  <si>
    <t>P0974</t>
  </si>
  <si>
    <t>Hina Qureshi</t>
  </si>
  <si>
    <t>P0975</t>
  </si>
  <si>
    <t>04/08/2024</t>
  </si>
  <si>
    <t>P0976</t>
  </si>
  <si>
    <t>P0977</t>
  </si>
  <si>
    <t>P0978</t>
  </si>
  <si>
    <t>P0979</t>
  </si>
  <si>
    <t>P0980</t>
  </si>
  <si>
    <t>08/27/2024</t>
  </si>
  <si>
    <t>P0981</t>
  </si>
  <si>
    <t>Zubair Butt</t>
  </si>
  <si>
    <t>P0982</t>
  </si>
  <si>
    <t>Sana Hassan</t>
  </si>
  <si>
    <t>P0983</t>
  </si>
  <si>
    <t>02/13/2024</t>
  </si>
  <si>
    <t>P0984</t>
  </si>
  <si>
    <t>Saima Bhatti</t>
  </si>
  <si>
    <t>P0985</t>
  </si>
  <si>
    <t>P0986</t>
  </si>
  <si>
    <t>Ali Qureshi</t>
  </si>
  <si>
    <t>02/18/2024</t>
  </si>
  <si>
    <t>P0987</t>
  </si>
  <si>
    <t>Kamran Bhatti</t>
  </si>
  <si>
    <t>P0988</t>
  </si>
  <si>
    <t>P0989</t>
  </si>
  <si>
    <t>P0990</t>
  </si>
  <si>
    <t>P0991</t>
  </si>
  <si>
    <t xml:space="preserve">  Farhan Khan  </t>
  </si>
  <si>
    <t>P0992</t>
  </si>
  <si>
    <t>P0993</t>
  </si>
  <si>
    <t>P0994</t>
  </si>
  <si>
    <t xml:space="preserve">  Ali Bhatti  </t>
  </si>
  <si>
    <t>P0995</t>
  </si>
  <si>
    <t>P0996</t>
  </si>
  <si>
    <t>P0997</t>
  </si>
  <si>
    <t>Zubair Ansari</t>
  </si>
  <si>
    <t>P0998</t>
  </si>
  <si>
    <t>P0999</t>
  </si>
  <si>
    <t>09/04/2024</t>
  </si>
  <si>
    <t>P1000</t>
  </si>
  <si>
    <t>Zara Iqbal</t>
  </si>
  <si>
    <t>cc</t>
  </si>
  <si>
    <t>CITY CARE HOSPITAL RECORDS</t>
  </si>
  <si>
    <t>Femaleatima Ali</t>
  </si>
  <si>
    <t>Femaleariha Raza</t>
  </si>
  <si>
    <t>UzMalea Chaudhry</t>
  </si>
  <si>
    <t>Nadia Maleirza</t>
  </si>
  <si>
    <t>AMalena Ansari</t>
  </si>
  <si>
    <t>Sobia AhMaleed</t>
  </si>
  <si>
    <t>UzMalea Iqbal</t>
  </si>
  <si>
    <t>AhMaleed Iqbal</t>
  </si>
  <si>
    <t>UsMalean Niazi</t>
  </si>
  <si>
    <t>Hassan Ahmed</t>
  </si>
  <si>
    <t>Ahmed Niazi</t>
  </si>
  <si>
    <t>Usman Qureshi</t>
  </si>
  <si>
    <t>Femaleatima Malik</t>
  </si>
  <si>
    <t>Omer Akhtar</t>
  </si>
  <si>
    <t>Uzma Qureshi</t>
  </si>
  <si>
    <t>Lubna Mirza</t>
  </si>
  <si>
    <t>Uzma Akhtar</t>
  </si>
  <si>
    <t xml:space="preserve">CLEAN DATA </t>
  </si>
  <si>
    <t>P1001</t>
  </si>
  <si>
    <t>P1002</t>
  </si>
  <si>
    <t>P1003</t>
  </si>
  <si>
    <t>P1004</t>
  </si>
  <si>
    <t>P1005</t>
  </si>
  <si>
    <t>Row Labels</t>
  </si>
  <si>
    <t>Grand Total</t>
  </si>
  <si>
    <t>Sum of Treatment Cost (PKR)</t>
  </si>
  <si>
    <t>Revenue by Department</t>
  </si>
  <si>
    <t>Count of Patient Name</t>
  </si>
  <si>
    <t>Patients by City</t>
  </si>
  <si>
    <t>Column Labels</t>
  </si>
  <si>
    <t>Payment Method breakdown</t>
  </si>
  <si>
    <t>Patient Status summary</t>
  </si>
  <si>
    <t>Dr. Laiba</t>
  </si>
  <si>
    <t>Doctor-wise patient count</t>
  </si>
  <si>
    <t>Revenue by Department &amp; Payment Method</t>
  </si>
  <si>
    <t>Average of Treatment Cost (PKR)</t>
  </si>
  <si>
    <t>Avg Treatment Cost by Department &amp; Gender</t>
  </si>
  <si>
    <t>Age Group</t>
  </si>
  <si>
    <t>Child</t>
  </si>
  <si>
    <t>Middle Age</t>
  </si>
  <si>
    <t>Senior</t>
  </si>
  <si>
    <t>Young Adult</t>
  </si>
  <si>
    <t>Age Group Analysis By Department</t>
  </si>
  <si>
    <t>Admission date</t>
  </si>
  <si>
    <t>Jan</t>
  </si>
  <si>
    <t>Feb</t>
  </si>
  <si>
    <t>Mar</t>
  </si>
  <si>
    <t>Apr</t>
  </si>
  <si>
    <t>May</t>
  </si>
  <si>
    <t>Jun</t>
  </si>
  <si>
    <t>Jul</t>
  </si>
  <si>
    <t>Aug</t>
  </si>
  <si>
    <t>Sep</t>
  </si>
  <si>
    <t>Oct</t>
  </si>
  <si>
    <t>Nov</t>
  </si>
  <si>
    <t>Dec</t>
  </si>
  <si>
    <t>Number of Patient Month Wise</t>
  </si>
  <si>
    <t>Discharge date</t>
  </si>
  <si>
    <t>Total Revenue</t>
  </si>
  <si>
    <t>Total Patients</t>
  </si>
  <si>
    <t>Busiest Doctor</t>
  </si>
  <si>
    <t>Dr.Ayesha (159 Patients)</t>
  </si>
  <si>
    <t>Busiest Department</t>
  </si>
  <si>
    <t>Pediatrics (158 patients)</t>
  </si>
  <si>
    <t>City Care Hospital - Patient Analytics Dashboard 2024</t>
  </si>
  <si>
    <t>Charts &amp; Graphs</t>
  </si>
  <si>
    <t>Pivot Tables</t>
  </si>
  <si>
    <t xml:space="preserve">This dataset contains intentional errors for cleaning practice: missing values, duplicates, inconsistent formats, wrong values </t>
  </si>
  <si>
    <t xml:space="preserve">  City Care Hospital — RAW DATA 2024  (Dirty Data)</t>
  </si>
  <si>
    <t>City Care Hospital — Data Analysis Project 2024</t>
  </si>
  <si>
    <t>This project is a complete data analysis of City Care Hospital's patient records for the year 2024.</t>
  </si>
  <si>
    <t>The raw dataset had 1,023 rows with intentional errors — missing values, duplicates, wrong date formats,</t>
  </si>
  <si>
    <t>inconsistent spelling, and incorrect gender entries. We cleaned it, analyzed it, and built a dashboard.</t>
  </si>
  <si>
    <t>Total Patients Analyzed: 1,005   |   Total Revenue: PKR 32,481,000   |   Departments: 7   |   Cities: 7</t>
  </si>
  <si>
    <t>What We Did — Sheet by Sheet</t>
  </si>
  <si>
    <t xml:space="preserve">  Sheet 1 — Raw Data (Dirty)</t>
  </si>
  <si>
    <t xml:space="preserve">      Original dataset with 1,023 rows and 12 columns.</t>
  </si>
  <si>
    <t xml:space="preserve">      Contained intentional errors: mixed date formats, spelling mistakes in city names,</t>
  </si>
  <si>
    <t xml:space="preserve">      wrong gender values, missing treatment costs, and duplicate patient records.</t>
  </si>
  <si>
    <t xml:space="preserve">      This sheet was kept as the untouched original for reference.</t>
  </si>
  <si>
    <t xml:space="preserve">  Sheet 2 — Clean Data</t>
  </si>
  <si>
    <t xml:space="preserve">      Removed 18 duplicate rows → final count: 1,005 unique patients.</t>
  </si>
  <si>
    <t xml:space="preserve">      Standardized all dates to YYYY-MM-DD format.</t>
  </si>
  <si>
    <t xml:space="preserve">      Fixed gender capitalization and corrected city spelling errors (e.g. Faisalbad → Faisalabad).</t>
  </si>
  <si>
    <t xml:space="preserve">      Filled or flagged missing values; unknown entries labeled "Unknown".</t>
  </si>
  <si>
    <t xml:space="preserve">      Added a new column: Age Group (Child / Young Adult / Middle Age / Senior) using IF formulas.</t>
  </si>
  <si>
    <t xml:space="preserve">  Sheet 3 — Pivot Tables</t>
  </si>
  <si>
    <t xml:space="preserve">      Built 7 pivot tables to summarize the cleaned data:</t>
  </si>
  <si>
    <t xml:space="preserve">      1. Patients by City          2. Revenue by Department</t>
  </si>
  <si>
    <t xml:space="preserve">      3. Payment Method Breakdown  4. Monthly Patient Volume</t>
  </si>
  <si>
    <t xml:space="preserve">      5. Doctor-wise Patient Count 6. Patient Status Summary</t>
  </si>
  <si>
    <t xml:space="preserve">      7. Age Group by Department   8. Revenue by Dept &amp; Payment Method</t>
  </si>
  <si>
    <t xml:space="preserve">      9. Average Cost by Dept &amp; Gender</t>
  </si>
  <si>
    <t xml:space="preserve">  Sheet 4 — Charts &amp; Graphs</t>
  </si>
  <si>
    <t xml:space="preserve">      Created 6 charts from the pivot table summaries:</t>
  </si>
  <si>
    <t xml:space="preserve">      • Bar Chart — Patients by City</t>
  </si>
  <si>
    <t xml:space="preserve">      • Column Chart — Revenue by Department</t>
  </si>
  <si>
    <t xml:space="preserve">      • Pie Chart — Payment Method Distribution</t>
  </si>
  <si>
    <t xml:space="preserve">      • Line Chart — Monthly Patient Trend (Jan–Dec)</t>
  </si>
  <si>
    <t xml:space="preserve">      • Bar Chart — Doctor-wise Patient Load</t>
  </si>
  <si>
    <t xml:space="preserve">      • Pie/Doughnut — Patient Status Summary</t>
  </si>
  <si>
    <t xml:space="preserve">  Sheet 5 — Dashboard</t>
  </si>
  <si>
    <t xml:space="preserve">      Built a one-page summary dashboard for management.</t>
  </si>
  <si>
    <t xml:space="preserve">      All key charts embedded and arranged for quick reading.</t>
  </si>
  <si>
    <t xml:space="preserve">      Designed so non-technical stakeholders can understand hospital performance at a glance.</t>
  </si>
  <si>
    <t>What We Learned From This Project</t>
  </si>
  <si>
    <t>1. Data Cleaning — removing duplicates, fixing date formats, correcting spelling errors, handling missing values, and standardizing inconsistent entries.</t>
  </si>
  <si>
    <t>2. Data Transformation — adding a new calculated column (Age Group) using IF logic to enrich the dataset.</t>
  </si>
  <si>
    <t>3. Pivot Tables — summarizing large data into meaningful tables by city, department, doctor, age group, payment method, and more.</t>
  </si>
  <si>
    <t>4. Data Visualization — creating bar, column, pie, line, and doughnut charts with proper titles, labels, and formatting.</t>
  </si>
  <si>
    <t>5. Dashboard Design — arranging KPIs and charts into a clean one-page summary for non-technical readers.</t>
  </si>
  <si>
    <t>6. Data Analysis — reading patterns and drawing conclusions from numbers rather than just displaying them.</t>
  </si>
  <si>
    <t>Insights From the Data:</t>
  </si>
  <si>
    <t>1-Multan had the highest number of patients (155); Karachi had the lowest (128).</t>
  </si>
  <si>
    <t>2. Pediatrics generated the most revenue (PKR 5,045,000); Neurology the least (PKR 4,275,000).</t>
  </si>
  <si>
    <t>3. Patient admissions peaked in January and August, and dropped sharply in November and December.</t>
  </si>
  <si>
    <t>4. Dr. Ayesha handled the most patients (159) — workload was unevenly distributed among doctors.</t>
  </si>
  <si>
    <t>5. Senior patients (60+) were the largest group — 322 out of 1,005 total patients.</t>
  </si>
  <si>
    <t>6. Online Transfer and Card were the most preferred payment methods, showing a move away from cash.</t>
  </si>
  <si>
    <t>7. "Under Treatment" was the most common patient status (262), indicating high ongoing patient load.</t>
  </si>
  <si>
    <t>8. Emergency department had the highest average treatment cost per patient (~PKR 36,338).</t>
  </si>
  <si>
    <t xml:space="preserve">      Shows KPI cards: Total Revenue (PKR 32,481,000) and Total Patients (1,005)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</si>
</sst>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dd\-mm\-yyyy"/>
    <numFmt numFmtId="165" formatCode="_(* #,##0_);_(* \(#,##0\);_(* &quot;-&quot;??_);_(@_)"/>
  </numFmts>
  <fonts count="24">
    <font>
      <sz val="11"/>
      <color theme="1"/>
      <name val="Calibri"/>
      <family val="2"/>
      <scheme val="minor"/>
    </font>
    <font>
      <b/>
      <sz val="13"/>
      <color rgb="FFFFFFFF"/>
      <name val="Arial"/>
      <family val="2"/>
    </font>
    <font>
      <b/>
      <sz val="10"/>
      <color rgb="FFFFFFFF"/>
      <name val="Arial"/>
      <family val="2"/>
    </font>
    <font>
      <sz val="9"/>
      <name val="Arial"/>
      <family val="2"/>
    </font>
    <font>
      <b/>
      <sz val="22"/>
      <color rgb="FFFFFFFF"/>
      <name val="Arial"/>
      <family val="2"/>
    </font>
    <font>
      <sz val="9"/>
      <name val="Arial"/>
      <family val="2"/>
    </font>
    <font>
      <b/>
      <sz val="10"/>
      <color rgb="FFFFFFFF"/>
      <name val="Arial"/>
      <family val="2"/>
    </font>
    <font>
      <b/>
      <sz val="11"/>
      <color theme="1"/>
      <name val="Calibri"/>
      <family val="2"/>
      <scheme val="minor"/>
    </font>
    <font>
      <sz val="8"/>
      <name val="Calibri"/>
      <family val="2"/>
      <scheme val="minor"/>
    </font>
    <font>
      <sz val="11"/>
      <color theme="1"/>
      <name val="Calibri"/>
      <family val="2"/>
      <scheme val="minor"/>
    </font>
    <font>
      <b/>
      <sz val="14"/>
      <color theme="0"/>
      <name val="Calibri"/>
      <family val="2"/>
      <scheme val="minor"/>
    </font>
    <font>
      <b/>
      <sz val="13"/>
      <color theme="0"/>
      <name val="Calibri"/>
      <family val="2"/>
      <scheme val="minor"/>
    </font>
    <font>
      <b/>
      <i/>
      <sz val="16"/>
      <color theme="2"/>
      <name val="Calibri"/>
      <family val="2"/>
      <scheme val="minor"/>
    </font>
    <font>
      <b/>
      <sz val="13"/>
      <color theme="1"/>
      <name val="Calibri"/>
      <family val="2"/>
      <scheme val="minor"/>
    </font>
    <font>
      <b/>
      <sz val="12"/>
      <color theme="1"/>
      <name val="Calibri"/>
      <family val="2"/>
      <scheme val="minor"/>
    </font>
    <font>
      <b/>
      <i/>
      <sz val="22"/>
      <color theme="2"/>
      <name val="Aral"/>
    </font>
    <font>
      <b/>
      <sz val="13"/>
      <color rgb="FFFFFFFF"/>
      <name val="Arial"/>
      <family val="2"/>
    </font>
    <font>
      <b/>
      <sz val="12"/>
      <color theme="0"/>
      <name val="Arial"/>
      <family val="2"/>
    </font>
    <font>
      <b/>
      <sz val="18"/>
      <color rgb="FFFFFFFF"/>
      <name val="Calibri"/>
      <family val="2"/>
    </font>
    <font>
      <sz val="11"/>
      <color rgb="FF000000"/>
      <name val="Calibri"/>
      <family val="2"/>
    </font>
    <font>
      <sz val="15"/>
      <color rgb="FF333333"/>
      <name val="Calibri"/>
      <family val="2"/>
    </font>
    <font>
      <sz val="15"/>
      <color theme="1"/>
      <name val="Calibri"/>
      <family val="2"/>
      <scheme val="minor"/>
    </font>
    <font>
      <b/>
      <sz val="15"/>
      <color rgb="FFFFFFFF"/>
      <name val="Calibri"/>
      <family val="2"/>
    </font>
    <font>
      <b/>
      <sz val="15"/>
      <color rgb="FF1F4E79"/>
      <name val="Calibri"/>
      <family val="2"/>
    </font>
  </fonts>
  <fills count="15">
    <fill>
      <patternFill patternType="none"/>
    </fill>
    <fill>
      <patternFill patternType="gray125"/>
    </fill>
    <fill>
      <patternFill patternType="solid">
        <fgColor rgb="FF4472C4"/>
        <bgColor rgb="FF4472C4"/>
      </patternFill>
    </fill>
    <fill>
      <patternFill patternType="solid">
        <fgColor rgb="FFF5F8FF"/>
        <bgColor rgb="FFF5F8FF"/>
      </patternFill>
    </fill>
    <fill>
      <patternFill patternType="solid">
        <fgColor rgb="FFFFFF00"/>
        <bgColor indexed="64"/>
      </patternFill>
    </fill>
    <fill>
      <patternFill patternType="solid">
        <fgColor theme="8" tint="0.79998168889431442"/>
        <bgColor indexed="64"/>
      </patternFill>
    </fill>
    <fill>
      <patternFill patternType="solid">
        <fgColor rgb="FF000066"/>
        <bgColor indexed="64"/>
      </patternFill>
    </fill>
    <fill>
      <patternFill patternType="solid">
        <fgColor rgb="FF002060"/>
        <bgColor indexed="64"/>
      </patternFill>
    </fill>
    <fill>
      <patternFill patternType="solid">
        <fgColor rgb="FF002060"/>
        <bgColor rgb="FFC00000"/>
      </patternFill>
    </fill>
    <fill>
      <patternFill patternType="solid">
        <fgColor rgb="FF002060"/>
        <bgColor rgb="FFFFE0E0"/>
      </patternFill>
    </fill>
    <fill>
      <patternFill patternType="solid">
        <fgColor rgb="FF2E75B6"/>
      </patternFill>
    </fill>
    <fill>
      <patternFill patternType="solid">
        <fgColor rgb="FFEBF3FB"/>
      </patternFill>
    </fill>
    <fill>
      <patternFill patternType="solid">
        <fgColor rgb="FFFFFFFF"/>
      </patternFill>
    </fill>
    <fill>
      <patternFill patternType="solid">
        <fgColor rgb="FFD6E4F0"/>
      </patternFill>
    </fill>
    <fill>
      <patternFill patternType="solid">
        <fgColor rgb="FFF5F9FD"/>
      </patternFill>
    </fill>
  </fills>
  <borders count="13">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thin">
        <color rgb="FFCCCCCC"/>
      </left>
      <right style="thin">
        <color rgb="FFCCCCCC"/>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9" fillId="0" borderId="0" applyFont="0" applyFill="0" applyBorder="0" applyAlignment="0" applyProtection="0"/>
  </cellStyleXfs>
  <cellXfs count="49">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5" fillId="3"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xf>
    <xf numFmtId="0" fontId="6" fillId="2" borderId="3" xfId="0" applyFont="1" applyFill="1" applyBorder="1" applyAlignment="1">
      <alignment horizontal="center" vertical="center" wrapText="1"/>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xf numFmtId="0" fontId="0" fillId="5" borderId="0" xfId="0" applyFill="1"/>
    <xf numFmtId="165" fontId="0" fillId="5" borderId="0" xfId="1" applyNumberFormat="1" applyFont="1" applyFill="1" applyAlignment="1">
      <alignment vertical="center"/>
    </xf>
    <xf numFmtId="0" fontId="11" fillId="6" borderId="7" xfId="0" applyFont="1" applyFill="1" applyBorder="1"/>
    <xf numFmtId="165" fontId="11" fillId="6" borderId="8" xfId="1" applyNumberFormat="1" applyFont="1" applyFill="1" applyBorder="1" applyAlignment="1">
      <alignment vertical="center"/>
    </xf>
    <xf numFmtId="0" fontId="11" fillId="6" borderId="9" xfId="0" applyFont="1" applyFill="1" applyBorder="1"/>
    <xf numFmtId="0" fontId="21" fillId="0" borderId="0" xfId="0" applyFont="1"/>
    <xf numFmtId="0" fontId="12" fillId="7" borderId="0" xfId="0" applyFont="1" applyFill="1" applyAlignment="1">
      <alignment horizontal="center" vertical="center"/>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0" fillId="6" borderId="4"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7" xfId="0" applyFont="1" applyFill="1" applyBorder="1" applyAlignment="1">
      <alignment horizontal="center" vertical="center"/>
    </xf>
    <xf numFmtId="0" fontId="10" fillId="6" borderId="8" xfId="0" applyFont="1" applyFill="1" applyBorder="1" applyAlignment="1">
      <alignment horizontal="center" vertical="center"/>
    </xf>
    <xf numFmtId="0" fontId="10" fillId="6" borderId="9" xfId="0" applyFont="1" applyFill="1" applyBorder="1" applyAlignment="1">
      <alignment horizontal="center" vertical="center"/>
    </xf>
    <xf numFmtId="0" fontId="20" fillId="12" borderId="0" xfId="0" applyFont="1" applyFill="1" applyAlignment="1">
      <alignment horizontal="left" vertical="center"/>
    </xf>
    <xf numFmtId="0" fontId="21" fillId="0" borderId="0" xfId="0" applyFont="1"/>
    <xf numFmtId="0" fontId="20" fillId="11" borderId="0" xfId="0" applyFont="1" applyFill="1" applyAlignment="1">
      <alignment horizontal="left" vertical="center"/>
    </xf>
    <xf numFmtId="0" fontId="20" fillId="11" borderId="0" xfId="0" applyFont="1" applyFill="1" applyAlignment="1">
      <alignment horizontal="left" vertical="center" wrapText="1"/>
    </xf>
    <xf numFmtId="0" fontId="22" fillId="10" borderId="0" xfId="0" applyFont="1" applyFill="1" applyAlignment="1">
      <alignment horizontal="left" vertical="center"/>
    </xf>
    <xf numFmtId="0" fontId="20" fillId="12" borderId="0" xfId="0" applyFont="1" applyFill="1" applyAlignment="1">
      <alignment horizontal="left" vertical="center" wrapText="1"/>
    </xf>
    <xf numFmtId="0" fontId="20" fillId="14" borderId="0" xfId="0" applyFont="1" applyFill="1" applyAlignment="1">
      <alignment horizontal="left" vertical="center" wrapText="1"/>
    </xf>
    <xf numFmtId="0" fontId="23" fillId="13" borderId="0" xfId="0" applyFont="1" applyFill="1" applyAlignment="1">
      <alignment horizontal="left" vertical="center"/>
    </xf>
    <xf numFmtId="0" fontId="18" fillId="10" borderId="0" xfId="0" applyFont="1" applyFill="1" applyAlignment="1">
      <alignment horizontal="center" vertical="center"/>
    </xf>
    <xf numFmtId="0" fontId="0" fillId="0" borderId="0" xfId="0"/>
    <xf numFmtId="0" fontId="19" fillId="10" borderId="0" xfId="0" applyFont="1" applyFill="1" applyAlignment="1">
      <alignment horizontal="left" vertical="center"/>
    </xf>
    <xf numFmtId="0" fontId="17" fillId="9" borderId="2" xfId="0" applyFont="1" applyFill="1" applyBorder="1" applyAlignment="1">
      <alignment horizontal="center" vertical="center" wrapText="1"/>
    </xf>
    <xf numFmtId="0" fontId="16" fillId="8" borderId="0" xfId="0" applyFont="1" applyFill="1" applyAlignment="1">
      <alignment horizontal="center" vertical="center"/>
    </xf>
    <xf numFmtId="0" fontId="1" fillId="8" borderId="0" xfId="0" applyFont="1" applyFill="1" applyAlignment="1">
      <alignment horizontal="center" vertical="center"/>
    </xf>
    <xf numFmtId="0" fontId="15" fillId="7" borderId="0" xfId="0" applyFont="1" applyFill="1" applyAlignment="1">
      <alignment horizontal="center" vertical="center"/>
    </xf>
    <xf numFmtId="0" fontId="4" fillId="8" borderId="0" xfId="0" applyFont="1" applyFill="1" applyAlignment="1">
      <alignment horizontal="center" vertical="center"/>
    </xf>
    <xf numFmtId="0" fontId="13" fillId="4" borderId="0" xfId="0" applyFont="1" applyFill="1" applyAlignment="1">
      <alignment horizontal="left"/>
    </xf>
    <xf numFmtId="0" fontId="7" fillId="4" borderId="0" xfId="0" applyFont="1" applyFill="1" applyAlignment="1">
      <alignment horizontal="left"/>
    </xf>
    <xf numFmtId="0" fontId="14" fillId="4" borderId="0" xfId="0" applyFont="1" applyFill="1" applyAlignment="1">
      <alignment horizontal="left"/>
    </xf>
  </cellXfs>
  <cellStyles count="2">
    <cellStyle name="Comma" xfId="1" builtinId="3"/>
    <cellStyle name="Normal" xfId="0" builtinId="0"/>
  </cellStyles>
  <dxfs count="20">
    <dxf>
      <font>
        <color rgb="FF9C0006"/>
      </font>
      <fill>
        <patternFill>
          <bgColor rgb="FFFFC7CE"/>
        </patternFill>
      </fill>
    </dxf>
    <dxf>
      <numFmt numFmtId="165" formatCode="_(* #,##0_);_(* \(#,##0\);_(* &quot;-&quot;??_);_(@_)"/>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numFmt numFmtId="2" formatCode="0.00"/>
    </dxf>
    <dxf>
      <font>
        <b/>
        <i val="0"/>
        <color theme="0"/>
      </font>
      <fill>
        <patternFill>
          <fgColor rgb="FF002060"/>
        </patternFill>
      </fill>
      <border diagonalUp="0" diagonalDown="0">
        <left style="medium">
          <color theme="0"/>
        </left>
        <right style="medium">
          <color theme="0"/>
        </right>
        <top style="medium">
          <color theme="0"/>
        </top>
        <bottom style="medium">
          <color theme="0"/>
        </bottom>
        <vertical/>
        <horizontal/>
      </border>
    </dxf>
    <dxf>
      <border>
        <left style="thin">
          <color theme="0"/>
        </left>
        <right style="thin">
          <color theme="0"/>
        </right>
        <top/>
        <bottom style="thin">
          <color theme="0"/>
        </bottom>
        <vertical style="thin">
          <color theme="0"/>
        </vertical>
        <horizontal style="thin">
          <color theme="0"/>
        </horizontal>
      </border>
    </dxf>
    <dxf>
      <font>
        <b/>
        <i val="0"/>
        <color theme="0"/>
      </font>
      <fill>
        <patternFill>
          <bgColor rgb="FF002060"/>
        </patternFill>
      </fill>
    </dxf>
    <dxf>
      <font>
        <color rgb="FF002060"/>
      </font>
      <fill>
        <patternFill>
          <bgColor rgb="FF002060"/>
        </patternFill>
      </fill>
      <border>
        <left style="thin">
          <color auto="1"/>
        </left>
        <right style="thin">
          <color auto="1"/>
        </right>
        <top style="thin">
          <color auto="1"/>
        </top>
        <bottom style="thin">
          <color auto="1"/>
        </bottom>
      </border>
    </dxf>
    <dxf>
      <fill>
        <gradientFill degree="90">
          <stop position="0">
            <color theme="0"/>
          </stop>
          <stop position="1">
            <color rgb="FF002060"/>
          </stop>
        </gradientFill>
      </fill>
      <border>
        <left style="thin">
          <color auto="1"/>
        </left>
        <right style="thin">
          <color auto="1"/>
        </right>
        <top style="thin">
          <color auto="1"/>
        </top>
        <bottom style="thin">
          <color auto="1"/>
        </bottom>
      </border>
    </dxf>
  </dxfs>
  <tableStyles count="6" defaultTableStyle="TableStyleMedium9" defaultPivotStyle="PivotStyleLight16">
    <tableStyle name="Slicer Style 1" pivot="0" table="0" count="1" xr9:uid="{DB0F4463-33FA-4163-863A-50E7C4A8C177}">
      <tableStyleElement type="wholeTable" dxfId="19"/>
    </tableStyle>
    <tableStyle name="Slicer Style 2" pivot="0" table="0" count="1" xr9:uid="{98CCACD1-8630-442E-8152-C787645C2AC2}">
      <tableStyleElement type="wholeTable" dxfId="18"/>
    </tableStyle>
    <tableStyle name="Slicer Style 3" pivot="0" table="0" count="1" xr9:uid="{15C5B414-E891-4E37-855A-F53AB00F20A7}">
      <tableStyleElement type="wholeTable" dxfId="17"/>
    </tableStyle>
    <tableStyle name="Slicer Style 4" pivot="0" table="0" count="0" xr9:uid="{620AE4DE-D3FD-4C6C-B079-6BD9BBC0736D}"/>
    <tableStyle name="Slicer Style 5" pivot="0" table="0" count="1" xr9:uid="{955DF402-9355-4538-B6DB-4DB74EE08ADF}">
      <tableStyleElement type="wholeTable" dxfId="16"/>
    </tableStyle>
    <tableStyle name="Slicer Style 6" pivot="0" table="0" count="1" xr9:uid="{10EA1CB6-B55E-40DC-AA23-6ED050654740}">
      <tableStyleElement type="wholeTable" dxfId="15"/>
    </tableStyle>
  </tableStyles>
  <colors>
    <mruColors>
      <color rgb="FF0066FF"/>
      <color rgb="FFFF5050"/>
      <color rgb="FF000066"/>
      <color rgb="FFFFFFCC"/>
      <color rgb="FF0F0498"/>
      <color rgb="FFFEF4E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Table!PivotTable3</c:name>
    <c:fmtId val="3"/>
  </c:pivotSource>
  <c:chart>
    <c:title>
      <c:tx>
        <c:rich>
          <a:bodyPr rot="0" spcFirstLastPara="1" vertOverflow="ellipsis" vert="horz" wrap="square" anchor="ctr" anchorCtr="1"/>
          <a:lstStyle/>
          <a:p>
            <a:pPr>
              <a:defRPr lang="en-US" sz="1400" b="1" i="1" u="none" strike="noStrike" kern="1200" spc="0" baseline="0">
                <a:solidFill>
                  <a:schemeClr val="tx1"/>
                </a:solidFill>
                <a:latin typeface="+mn-lt"/>
                <a:ea typeface="+mn-ea"/>
                <a:cs typeface="+mn-cs"/>
              </a:defRPr>
            </a:pPr>
            <a:r>
              <a:rPr lang="en-US" sz="1400" b="1" i="1">
                <a:solidFill>
                  <a:schemeClr val="tx1"/>
                </a:solidFill>
              </a:rPr>
              <a:t>Patients by City</a:t>
            </a:r>
          </a:p>
        </c:rich>
      </c:tx>
      <c:layout>
        <c:manualLayout>
          <c:xMode val="edge"/>
          <c:yMode val="edge"/>
          <c:x val="0.38908333333333334"/>
          <c:y val="3.138670166229221E-2"/>
        </c:manualLayout>
      </c:layout>
      <c:overlay val="0"/>
      <c:spPr>
        <a:solidFill>
          <a:schemeClr val="bg2"/>
        </a:solidFill>
        <a:ln>
          <a:noFill/>
        </a:ln>
        <a:effectLst/>
      </c:spPr>
      <c:txPr>
        <a:bodyPr rot="0" spcFirstLastPara="1" vertOverflow="ellipsis" vert="horz" wrap="square" anchor="ctr" anchorCtr="1"/>
        <a:lstStyle/>
        <a:p>
          <a:pPr>
            <a:defRPr lang="en-US" sz="14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 Pivot Table'!$B$7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Pivot Table'!$A$8:$A$16</c:f>
              <c:strCache>
                <c:ptCount val="8"/>
                <c:pt idx="0">
                  <c:v>Unknown</c:v>
                </c:pt>
                <c:pt idx="1">
                  <c:v>Karachi</c:v>
                </c:pt>
                <c:pt idx="2">
                  <c:v>Quetta</c:v>
                </c:pt>
                <c:pt idx="3">
                  <c:v>Peshawar</c:v>
                </c:pt>
                <c:pt idx="4">
                  <c:v>Islamabad</c:v>
                </c:pt>
                <c:pt idx="5">
                  <c:v>Lahore</c:v>
                </c:pt>
                <c:pt idx="6">
                  <c:v>Faisalabad</c:v>
                </c:pt>
                <c:pt idx="7">
                  <c:v>Multan</c:v>
                </c:pt>
              </c:strCache>
            </c:strRef>
          </c:cat>
          <c:val>
            <c:numRef>
              <c:f>'3- Pivot Table'!$B$8:$B$16</c:f>
              <c:numCache>
                <c:formatCode>General</c:formatCode>
                <c:ptCount val="8"/>
                <c:pt idx="0">
                  <c:v>8</c:v>
                </c:pt>
                <c:pt idx="1">
                  <c:v>128</c:v>
                </c:pt>
                <c:pt idx="2">
                  <c:v>133</c:v>
                </c:pt>
                <c:pt idx="3">
                  <c:v>135</c:v>
                </c:pt>
                <c:pt idx="4">
                  <c:v>140</c:v>
                </c:pt>
                <c:pt idx="5">
                  <c:v>153</c:v>
                </c:pt>
                <c:pt idx="6">
                  <c:v>153</c:v>
                </c:pt>
                <c:pt idx="7">
                  <c:v>155</c:v>
                </c:pt>
              </c:numCache>
            </c:numRef>
          </c:val>
          <c:extLst>
            <c:ext xmlns:c16="http://schemas.microsoft.com/office/drawing/2014/chart" uri="{C3380CC4-5D6E-409C-BE32-E72D297353CC}">
              <c16:uniqueId val="{00000000-A5E8-4F36-A8E6-7B863A8AD0E9}"/>
            </c:ext>
          </c:extLst>
        </c:ser>
        <c:dLbls>
          <c:dLblPos val="outEnd"/>
          <c:showLegendKey val="0"/>
          <c:showVal val="1"/>
          <c:showCatName val="0"/>
          <c:showSerName val="0"/>
          <c:showPercent val="0"/>
          <c:showBubbleSize val="0"/>
        </c:dLbls>
        <c:gapWidth val="182"/>
        <c:axId val="982869664"/>
        <c:axId val="982871584"/>
      </c:barChart>
      <c:catAx>
        <c:axId val="98286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82871584"/>
        <c:crosses val="autoZero"/>
        <c:auto val="1"/>
        <c:lblAlgn val="ctr"/>
        <c:lblOffset val="100"/>
        <c:noMultiLvlLbl val="0"/>
      </c:catAx>
      <c:valAx>
        <c:axId val="982871584"/>
        <c:scaling>
          <c:orientation val="minMax"/>
        </c:scaling>
        <c:delete val="1"/>
        <c:axPos val="b"/>
        <c:numFmt formatCode="General" sourceLinked="1"/>
        <c:majorTickMark val="none"/>
        <c:minorTickMark val="none"/>
        <c:tickLblPos val="nextTo"/>
        <c:crossAx val="98286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Table!PivotTable1</c:name>
    <c:fmtId val="3"/>
  </c:pivotSource>
  <c:chart>
    <c:title>
      <c:tx>
        <c:rich>
          <a:bodyPr rot="0" spcFirstLastPara="1" vertOverflow="ellipsis" vert="horz" wrap="square" anchor="ctr" anchorCtr="1"/>
          <a:lstStyle/>
          <a:p>
            <a:pPr algn="ctr" rtl="0">
              <a:defRPr lang="en-US" sz="1400" b="1" i="1" u="none" strike="noStrike" kern="1200" spc="0" baseline="0">
                <a:solidFill>
                  <a:schemeClr val="tx1"/>
                </a:solidFill>
                <a:latin typeface="+mn-lt"/>
                <a:ea typeface="+mn-ea"/>
                <a:cs typeface="+mn-cs"/>
              </a:defRPr>
            </a:pPr>
            <a:r>
              <a:rPr lang="en-US" sz="1400" b="1" i="1" u="none" strike="noStrike" kern="1200" spc="0" baseline="0">
                <a:solidFill>
                  <a:schemeClr val="tx1"/>
                </a:solidFill>
                <a:latin typeface="+mn-lt"/>
                <a:ea typeface="+mn-ea"/>
                <a:cs typeface="+mn-cs"/>
              </a:rPr>
              <a:t>Revenue by Department</a:t>
            </a:r>
          </a:p>
        </c:rich>
      </c:tx>
      <c:layout>
        <c:manualLayout>
          <c:xMode val="edge"/>
          <c:yMode val="edge"/>
          <c:x val="0.38959711286089244"/>
          <c:y val="3.6016331291921846E-2"/>
        </c:manualLayout>
      </c:layout>
      <c:overlay val="0"/>
      <c:spPr>
        <a:solidFill>
          <a:schemeClr val="bg2"/>
        </a:solidFill>
        <a:ln>
          <a:noFill/>
        </a:ln>
        <a:effectLst/>
      </c:spPr>
      <c:txPr>
        <a:bodyPr rot="0" spcFirstLastPara="1" vertOverflow="ellipsis" vert="horz" wrap="square" anchor="ctr" anchorCtr="1"/>
        <a:lstStyle/>
        <a:p>
          <a:pPr algn="ctr" rtl="0">
            <a:defRPr lang="en-US" sz="14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'3- Pivot Table'!$E$7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Pivot Table'!$D$8:$D$15</c:f>
              <c:strCache>
                <c:ptCount val="7"/>
                <c:pt idx="0">
                  <c:v>Neurology</c:v>
                </c:pt>
                <c:pt idx="1">
                  <c:v>Oncology</c:v>
                </c:pt>
                <c:pt idx="2">
                  <c:v>Orthopedics</c:v>
                </c:pt>
                <c:pt idx="3">
                  <c:v>Cardiology</c:v>
                </c:pt>
                <c:pt idx="4">
                  <c:v>General</c:v>
                </c:pt>
                <c:pt idx="5">
                  <c:v>Emergency</c:v>
                </c:pt>
                <c:pt idx="6">
                  <c:v>Pediatrics</c:v>
                </c:pt>
              </c:strCache>
            </c:strRef>
          </c:cat>
          <c:val>
            <c:numRef>
              <c:f>'3- Pivot Table'!$E$8:$E$15</c:f>
              <c:numCache>
                <c:formatCode>_(* #,##0_);_(* \(#,##0\);_(* "-"??_);_(@_)</c:formatCode>
                <c:ptCount val="7"/>
                <c:pt idx="0">
                  <c:v>4275000</c:v>
                </c:pt>
                <c:pt idx="1">
                  <c:v>4333000</c:v>
                </c:pt>
                <c:pt idx="2">
                  <c:v>4558000</c:v>
                </c:pt>
                <c:pt idx="3">
                  <c:v>4640000</c:v>
                </c:pt>
                <c:pt idx="4">
                  <c:v>4688000</c:v>
                </c:pt>
                <c:pt idx="5">
                  <c:v>4942000</c:v>
                </c:pt>
                <c:pt idx="6">
                  <c:v>5045000</c:v>
                </c:pt>
              </c:numCache>
            </c:numRef>
          </c:val>
          <c:extLst>
            <c:ext xmlns:c16="http://schemas.microsoft.com/office/drawing/2014/chart" uri="{C3380CC4-5D6E-409C-BE32-E72D297353CC}">
              <c16:uniqueId val="{00000000-710F-4A2A-8779-B472DEB35082}"/>
            </c:ext>
          </c:extLst>
        </c:ser>
        <c:dLbls>
          <c:showLegendKey val="0"/>
          <c:showVal val="0"/>
          <c:showCatName val="0"/>
          <c:showSerName val="0"/>
          <c:showPercent val="0"/>
          <c:showBubbleSize val="0"/>
        </c:dLbls>
        <c:gapWidth val="219"/>
        <c:overlap val="-27"/>
        <c:axId val="586478880"/>
        <c:axId val="981312176"/>
      </c:barChart>
      <c:catAx>
        <c:axId val="58647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312176"/>
        <c:crosses val="autoZero"/>
        <c:auto val="1"/>
        <c:lblAlgn val="ctr"/>
        <c:lblOffset val="100"/>
        <c:noMultiLvlLbl val="0"/>
      </c:catAx>
      <c:valAx>
        <c:axId val="981312176"/>
        <c:scaling>
          <c:orientation val="minMax"/>
        </c:scaling>
        <c:delete val="1"/>
        <c:axPos val="l"/>
        <c:numFmt formatCode="_(* #,##0_);_(* \(#,##0\);_(* &quot;-&quot;??_);_(@_)" sourceLinked="1"/>
        <c:majorTickMark val="none"/>
        <c:minorTickMark val="none"/>
        <c:tickLblPos val="nextTo"/>
        <c:crossAx val="58647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Table!PivotTable4</c:name>
    <c:fmtId val="3"/>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sz="1400" b="1" i="1" u="none" strike="noStrike" baseline="0">
                <a:solidFill>
                  <a:schemeClr val="tx1"/>
                </a:solidFill>
              </a:rPr>
              <a:t>Payment Method Breakdown</a:t>
            </a:r>
          </a:p>
        </c:rich>
      </c:tx>
      <c:layout>
        <c:manualLayout>
          <c:xMode val="edge"/>
          <c:yMode val="edge"/>
          <c:x val="0.30268744531933506"/>
          <c:y val="3.138670166229221E-2"/>
        </c:manualLayout>
      </c:layout>
      <c:overlay val="0"/>
      <c:spPr>
        <a:solidFill>
          <a:schemeClr val="bg2"/>
        </a:solid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'3- Pivot Table'!$H$7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99-46DD-BA27-36B9134728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99-46DD-BA27-36B9134728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99-46DD-BA27-36B9134728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99-46DD-BA27-36B9134728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99-46DD-BA27-36B9134728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 Pivot Table'!$G$8:$G$13</c:f>
              <c:strCache>
                <c:ptCount val="5"/>
                <c:pt idx="0">
                  <c:v>Card</c:v>
                </c:pt>
                <c:pt idx="1">
                  <c:v>Cash</c:v>
                </c:pt>
                <c:pt idx="2">
                  <c:v>Insurance</c:v>
                </c:pt>
                <c:pt idx="3">
                  <c:v>Online Transfer</c:v>
                </c:pt>
                <c:pt idx="4">
                  <c:v>Unknown</c:v>
                </c:pt>
              </c:strCache>
            </c:strRef>
          </c:cat>
          <c:val>
            <c:numRef>
              <c:f>'3- Pivot Table'!$H$8:$H$13</c:f>
              <c:numCache>
                <c:formatCode>General</c:formatCode>
                <c:ptCount val="5"/>
                <c:pt idx="0">
                  <c:v>258</c:v>
                </c:pt>
                <c:pt idx="1">
                  <c:v>227</c:v>
                </c:pt>
                <c:pt idx="2">
                  <c:v>249</c:v>
                </c:pt>
                <c:pt idx="3">
                  <c:v>258</c:v>
                </c:pt>
                <c:pt idx="4">
                  <c:v>13</c:v>
                </c:pt>
              </c:numCache>
            </c:numRef>
          </c:val>
          <c:extLst>
            <c:ext xmlns:c16="http://schemas.microsoft.com/office/drawing/2014/chart" uri="{C3380CC4-5D6E-409C-BE32-E72D297353CC}">
              <c16:uniqueId val="{0000000A-3199-46DD-BA27-36B9134728D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Table!PivotTable9</c:name>
    <c:fmtId val="3"/>
  </c:pivotSource>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sz="1400" b="1" i="1" u="none" strike="noStrike" baseline="0">
                <a:solidFill>
                  <a:schemeClr val="tx1"/>
                </a:solidFill>
              </a:rPr>
              <a:t>Monthly Patient Count</a:t>
            </a:r>
            <a:endParaRPr lang="en-US" b="1" i="1">
              <a:solidFill>
                <a:schemeClr val="tx1"/>
              </a:solidFill>
            </a:endParaRPr>
          </a:p>
        </c:rich>
      </c:tx>
      <c:layout>
        <c:manualLayout>
          <c:xMode val="edge"/>
          <c:yMode val="edge"/>
          <c:x val="0.34424300087489063"/>
          <c:y val="3.178950237423963E-2"/>
        </c:manualLayout>
      </c:layout>
      <c:overlay val="0"/>
      <c:spPr>
        <a:solidFill>
          <a:schemeClr val="bg2"/>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 Pivot Table'!$B$20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 Pivot Table'!$B$21:$B$33</c:f>
              <c:numCache>
                <c:formatCode>General</c:formatCode>
                <c:ptCount val="12"/>
                <c:pt idx="0">
                  <c:v>108</c:v>
                </c:pt>
                <c:pt idx="1">
                  <c:v>102</c:v>
                </c:pt>
                <c:pt idx="2">
                  <c:v>81</c:v>
                </c:pt>
                <c:pt idx="3">
                  <c:v>93</c:v>
                </c:pt>
                <c:pt idx="4">
                  <c:v>85</c:v>
                </c:pt>
                <c:pt idx="5">
                  <c:v>85</c:v>
                </c:pt>
                <c:pt idx="6">
                  <c:v>102</c:v>
                </c:pt>
                <c:pt idx="7">
                  <c:v>108</c:v>
                </c:pt>
                <c:pt idx="8">
                  <c:v>99</c:v>
                </c:pt>
                <c:pt idx="9">
                  <c:v>82</c:v>
                </c:pt>
                <c:pt idx="10">
                  <c:v>32</c:v>
                </c:pt>
                <c:pt idx="11">
                  <c:v>28</c:v>
                </c:pt>
              </c:numCache>
            </c:numRef>
          </c:val>
          <c:smooth val="0"/>
          <c:extLst>
            <c:ext xmlns:c16="http://schemas.microsoft.com/office/drawing/2014/chart" uri="{C3380CC4-5D6E-409C-BE32-E72D297353CC}">
              <c16:uniqueId val="{00000000-34AB-4CA4-AC8A-855541F11890}"/>
            </c:ext>
          </c:extLst>
        </c:ser>
        <c:dLbls>
          <c:showLegendKey val="0"/>
          <c:showVal val="0"/>
          <c:showCatName val="0"/>
          <c:showSerName val="0"/>
          <c:showPercent val="0"/>
          <c:showBubbleSize val="0"/>
        </c:dLbls>
        <c:smooth val="0"/>
        <c:axId val="981325136"/>
        <c:axId val="981325616"/>
      </c:lineChart>
      <c:catAx>
        <c:axId val="9813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325616"/>
        <c:crosses val="autoZero"/>
        <c:auto val="1"/>
        <c:lblAlgn val="ctr"/>
        <c:lblOffset val="100"/>
        <c:noMultiLvlLbl val="0"/>
      </c:catAx>
      <c:valAx>
        <c:axId val="98132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32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Table!PivotTable8</c:name>
    <c:fmtId val="3"/>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b="1" i="1">
                <a:solidFill>
                  <a:schemeClr val="tx1"/>
                </a:solidFill>
              </a:rPr>
              <a:t>Doctor-wise Patient Count</a:t>
            </a:r>
          </a:p>
        </c:rich>
      </c:tx>
      <c:layout>
        <c:manualLayout>
          <c:xMode val="edge"/>
          <c:yMode val="edge"/>
          <c:x val="0.3357222222222222"/>
          <c:y val="3.138670166229221E-2"/>
        </c:manualLayout>
      </c:layout>
      <c:overlay val="0"/>
      <c:spPr>
        <a:solidFill>
          <a:schemeClr val="bg2"/>
        </a:solid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 Pivot Table'!$E$20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Pivot Table'!$D$21:$D$29</c:f>
              <c:strCache>
                <c:ptCount val="8"/>
                <c:pt idx="0">
                  <c:v>Dr. Laiba</c:v>
                </c:pt>
                <c:pt idx="1">
                  <c:v>Dr. Tariq</c:v>
                </c:pt>
                <c:pt idx="2">
                  <c:v>Dr. Khalid</c:v>
                </c:pt>
                <c:pt idx="3">
                  <c:v>Dr. Farah</c:v>
                </c:pt>
                <c:pt idx="4">
                  <c:v>Dr. Sana</c:v>
                </c:pt>
                <c:pt idx="5">
                  <c:v>Dr. Imran</c:v>
                </c:pt>
                <c:pt idx="6">
                  <c:v>Dr. Zubair</c:v>
                </c:pt>
                <c:pt idx="7">
                  <c:v>Dr. Ayesha</c:v>
                </c:pt>
              </c:strCache>
            </c:strRef>
          </c:cat>
          <c:val>
            <c:numRef>
              <c:f>'3- Pivot Table'!$E$21:$E$29</c:f>
              <c:numCache>
                <c:formatCode>General</c:formatCode>
                <c:ptCount val="8"/>
                <c:pt idx="0">
                  <c:v>2</c:v>
                </c:pt>
                <c:pt idx="1">
                  <c:v>116</c:v>
                </c:pt>
                <c:pt idx="2">
                  <c:v>133</c:v>
                </c:pt>
                <c:pt idx="3">
                  <c:v>139</c:v>
                </c:pt>
                <c:pt idx="4">
                  <c:v>145</c:v>
                </c:pt>
                <c:pt idx="5">
                  <c:v>155</c:v>
                </c:pt>
                <c:pt idx="6">
                  <c:v>156</c:v>
                </c:pt>
                <c:pt idx="7">
                  <c:v>159</c:v>
                </c:pt>
              </c:numCache>
            </c:numRef>
          </c:val>
          <c:extLst>
            <c:ext xmlns:c16="http://schemas.microsoft.com/office/drawing/2014/chart" uri="{C3380CC4-5D6E-409C-BE32-E72D297353CC}">
              <c16:uniqueId val="{00000000-B5BD-4870-94D0-A7607477C6CB}"/>
            </c:ext>
          </c:extLst>
        </c:ser>
        <c:dLbls>
          <c:dLblPos val="outEnd"/>
          <c:showLegendKey val="0"/>
          <c:showVal val="1"/>
          <c:showCatName val="0"/>
          <c:showSerName val="0"/>
          <c:showPercent val="0"/>
          <c:showBubbleSize val="0"/>
        </c:dLbls>
        <c:gapWidth val="182"/>
        <c:axId val="981298256"/>
        <c:axId val="981281936"/>
      </c:barChart>
      <c:catAx>
        <c:axId val="98129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281936"/>
        <c:crosses val="autoZero"/>
        <c:auto val="1"/>
        <c:lblAlgn val="ctr"/>
        <c:lblOffset val="100"/>
        <c:noMultiLvlLbl val="0"/>
      </c:catAx>
      <c:valAx>
        <c:axId val="981281936"/>
        <c:scaling>
          <c:orientation val="minMax"/>
        </c:scaling>
        <c:delete val="1"/>
        <c:axPos val="b"/>
        <c:numFmt formatCode="General" sourceLinked="1"/>
        <c:majorTickMark val="none"/>
        <c:minorTickMark val="none"/>
        <c:tickLblPos val="nextTo"/>
        <c:crossAx val="98129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Table!PivotTable5</c:name>
    <c:fmtId val="3"/>
  </c:pivotSource>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sz="1400" b="1" i="1" u="none" strike="noStrike" baseline="0">
                <a:solidFill>
                  <a:schemeClr val="tx1"/>
                </a:solidFill>
              </a:rPr>
              <a:t>Patient Status Summary</a:t>
            </a:r>
            <a:endParaRPr lang="en-US" b="1" i="1">
              <a:solidFill>
                <a:schemeClr val="tx1"/>
              </a:solidFill>
            </a:endParaRPr>
          </a:p>
        </c:rich>
      </c:tx>
      <c:layout>
        <c:manualLayout>
          <c:xMode val="edge"/>
          <c:yMode val="edge"/>
          <c:x val="0.32302077865266843"/>
          <c:y val="2.6757072032662588E-2"/>
        </c:manualLayout>
      </c:layout>
      <c:overlay val="0"/>
      <c:spPr>
        <a:solidFill>
          <a:schemeClr val="bg2"/>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C00000"/>
          </a:solidFill>
          <a:ln w="19050">
            <a:solidFill>
              <a:schemeClr val="lt1"/>
            </a:solidFill>
          </a:ln>
          <a:effectLst>
            <a:glow rad="127000">
              <a:schemeClr val="bg1"/>
            </a:glow>
          </a:effectLst>
        </c:spPr>
        <c:dLbl>
          <c:idx val="0"/>
          <c:layout>
            <c:manualLayout>
              <c:x val="0.1"/>
              <c:y val="-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dLbl>
          <c:idx val="0"/>
          <c:layout>
            <c:manualLayout>
              <c:x val="0.11388888888888889"/>
              <c:y val="6.222222222222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layout>
            <c:manualLayout>
              <c:x val="-0.1111111111111111"/>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tx2">
              <a:lumMod val="60000"/>
              <a:lumOff val="40000"/>
            </a:schemeClr>
          </a:solidFill>
          <a:ln w="19050">
            <a:solidFill>
              <a:schemeClr val="lt1"/>
            </a:solidFill>
          </a:ln>
          <a:effectLst/>
        </c:spPr>
        <c:dLbl>
          <c:idx val="0"/>
          <c:layout>
            <c:manualLayout>
              <c:x val="-0.1388888888888889"/>
              <c:y val="-7.5000174978127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layout>
            <c:manualLayout>
              <c:x val="0"/>
              <c:y val="-0.12888888888888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'3- Pivot Table'!$H$20</c:f>
              <c:strCache>
                <c:ptCount val="1"/>
                <c:pt idx="0">
                  <c:v>Total</c:v>
                </c:pt>
              </c:strCache>
            </c:strRef>
          </c:tx>
          <c:dPt>
            <c:idx val="0"/>
            <c:bubble3D val="0"/>
            <c:spPr>
              <a:solidFill>
                <a:srgbClr val="C00000"/>
              </a:solidFill>
              <a:ln w="19050">
                <a:solidFill>
                  <a:schemeClr val="lt1"/>
                </a:solidFill>
              </a:ln>
              <a:effectLst>
                <a:glow rad="127000">
                  <a:schemeClr val="bg1"/>
                </a:glow>
              </a:effectLst>
            </c:spPr>
            <c:extLst>
              <c:ext xmlns:c16="http://schemas.microsoft.com/office/drawing/2014/chart" uri="{C3380CC4-5D6E-409C-BE32-E72D297353CC}">
                <c16:uniqueId val="{00000001-B493-43D0-BDCB-70AD528E68D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B493-43D0-BDCB-70AD528E68D8}"/>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B493-43D0-BDCB-70AD528E68D8}"/>
              </c:ext>
            </c:extLst>
          </c:dPt>
          <c:dPt>
            <c:idx val="3"/>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7-B493-43D0-BDCB-70AD528E68D8}"/>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B493-43D0-BDCB-70AD528E68D8}"/>
              </c:ext>
            </c:extLst>
          </c:dPt>
          <c:dLbls>
            <c:dLbl>
              <c:idx val="0"/>
              <c:layout>
                <c:manualLayout>
                  <c:x val="0.1"/>
                  <c:y val="-0.0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93-43D0-BDCB-70AD528E68D8}"/>
                </c:ext>
              </c:extLst>
            </c:dLbl>
            <c:dLbl>
              <c:idx val="1"/>
              <c:layout>
                <c:manualLayout>
                  <c:x val="0.11388888888888889"/>
                  <c:y val="6.22222222222222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93-43D0-BDCB-70AD528E68D8}"/>
                </c:ext>
              </c:extLst>
            </c:dLbl>
            <c:dLbl>
              <c:idx val="2"/>
              <c:layout>
                <c:manualLayout>
                  <c:x val="-0.1111111111111111"/>
                  <c:y val="0.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93-43D0-BDCB-70AD528E68D8}"/>
                </c:ext>
              </c:extLst>
            </c:dLbl>
            <c:dLbl>
              <c:idx val="3"/>
              <c:layout>
                <c:manualLayout>
                  <c:x val="-0.1388888888888889"/>
                  <c:y val="-7.500017497812773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93-43D0-BDCB-70AD528E68D8}"/>
                </c:ext>
              </c:extLst>
            </c:dLbl>
            <c:dLbl>
              <c:idx val="4"/>
              <c:layout>
                <c:manualLayout>
                  <c:x val="0"/>
                  <c:y val="-0.1288888888888889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93-43D0-BDCB-70AD528E68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 Pivot Table'!$G$21:$G$26</c:f>
              <c:strCache>
                <c:ptCount val="5"/>
                <c:pt idx="0">
                  <c:v>Critical</c:v>
                </c:pt>
                <c:pt idx="1">
                  <c:v>Discharged</c:v>
                </c:pt>
                <c:pt idx="2">
                  <c:v>Recovered</c:v>
                </c:pt>
                <c:pt idx="3">
                  <c:v>Under Treatment</c:v>
                </c:pt>
                <c:pt idx="4">
                  <c:v>Unknown</c:v>
                </c:pt>
              </c:strCache>
            </c:strRef>
          </c:cat>
          <c:val>
            <c:numRef>
              <c:f>'3- Pivot Table'!$H$21:$H$26</c:f>
              <c:numCache>
                <c:formatCode>General</c:formatCode>
                <c:ptCount val="5"/>
                <c:pt idx="0">
                  <c:v>259</c:v>
                </c:pt>
                <c:pt idx="1">
                  <c:v>235</c:v>
                </c:pt>
                <c:pt idx="2">
                  <c:v>239</c:v>
                </c:pt>
                <c:pt idx="3">
                  <c:v>262</c:v>
                </c:pt>
                <c:pt idx="4">
                  <c:v>10</c:v>
                </c:pt>
              </c:numCache>
            </c:numRef>
          </c:val>
          <c:extLst>
            <c:ext xmlns:c16="http://schemas.microsoft.com/office/drawing/2014/chart" uri="{C3380CC4-5D6E-409C-BE32-E72D297353CC}">
              <c16:uniqueId val="{0000000A-B493-43D0-BDCB-70AD528E68D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Table!PivotTable12</c:name>
    <c:fmtId val="16"/>
  </c:pivotSource>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sz="1400" b="1" i="1" u="none" strike="noStrike" baseline="0">
                <a:solidFill>
                  <a:schemeClr val="tx1"/>
                </a:solidFill>
              </a:rPr>
              <a:t>Age Group by Department</a:t>
            </a:r>
            <a:endParaRPr lang="en-US" b="1" i="1">
              <a:solidFill>
                <a:schemeClr val="tx1"/>
              </a:solidFill>
            </a:endParaRPr>
          </a:p>
        </c:rich>
      </c:tx>
      <c:layout>
        <c:manualLayout>
          <c:xMode val="edge"/>
          <c:yMode val="edge"/>
          <c:x val="0.34353455818022749"/>
          <c:y val="3.6950873565046796E-2"/>
        </c:manualLayout>
      </c:layout>
      <c:overlay val="0"/>
      <c:spPr>
        <a:solidFill>
          <a:schemeClr val="bg2"/>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 Pivot Table'!$B$38:$B$39</c:f>
              <c:strCache>
                <c:ptCount val="1"/>
                <c:pt idx="0">
                  <c:v>Cardiology</c:v>
                </c:pt>
              </c:strCache>
            </c:strRef>
          </c:tx>
          <c:spPr>
            <a:solidFill>
              <a:schemeClr val="accent1"/>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Table'!$B$40:$B$45</c:f>
              <c:numCache>
                <c:formatCode>General</c:formatCode>
                <c:ptCount val="5"/>
                <c:pt idx="0">
                  <c:v>5</c:v>
                </c:pt>
                <c:pt idx="1">
                  <c:v>37</c:v>
                </c:pt>
                <c:pt idx="2">
                  <c:v>15</c:v>
                </c:pt>
                <c:pt idx="3">
                  <c:v>39</c:v>
                </c:pt>
                <c:pt idx="4">
                  <c:v>37</c:v>
                </c:pt>
              </c:numCache>
            </c:numRef>
          </c:val>
          <c:extLst>
            <c:ext xmlns:c16="http://schemas.microsoft.com/office/drawing/2014/chart" uri="{C3380CC4-5D6E-409C-BE32-E72D297353CC}">
              <c16:uniqueId val="{00000000-78A5-432F-BDBA-1A8E994C58AC}"/>
            </c:ext>
          </c:extLst>
        </c:ser>
        <c:ser>
          <c:idx val="1"/>
          <c:order val="1"/>
          <c:tx>
            <c:strRef>
              <c:f>'3- Pivot Table'!$C$38:$C$39</c:f>
              <c:strCache>
                <c:ptCount val="1"/>
                <c:pt idx="0">
                  <c:v>Emergency</c:v>
                </c:pt>
              </c:strCache>
            </c:strRef>
          </c:tx>
          <c:spPr>
            <a:solidFill>
              <a:schemeClr val="accent2"/>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Table'!$C$40:$C$45</c:f>
              <c:numCache>
                <c:formatCode>General</c:formatCode>
                <c:ptCount val="5"/>
                <c:pt idx="0">
                  <c:v>12</c:v>
                </c:pt>
                <c:pt idx="1">
                  <c:v>27</c:v>
                </c:pt>
                <c:pt idx="2">
                  <c:v>20</c:v>
                </c:pt>
                <c:pt idx="3">
                  <c:v>31</c:v>
                </c:pt>
                <c:pt idx="4">
                  <c:v>46</c:v>
                </c:pt>
              </c:numCache>
            </c:numRef>
          </c:val>
          <c:extLst>
            <c:ext xmlns:c16="http://schemas.microsoft.com/office/drawing/2014/chart" uri="{C3380CC4-5D6E-409C-BE32-E72D297353CC}">
              <c16:uniqueId val="{00000001-78A5-432F-BDBA-1A8E994C58AC}"/>
            </c:ext>
          </c:extLst>
        </c:ser>
        <c:ser>
          <c:idx val="2"/>
          <c:order val="2"/>
          <c:tx>
            <c:strRef>
              <c:f>'3- Pivot Table'!$D$38:$D$39</c:f>
              <c:strCache>
                <c:ptCount val="1"/>
                <c:pt idx="0">
                  <c:v>General</c:v>
                </c:pt>
              </c:strCache>
            </c:strRef>
          </c:tx>
          <c:spPr>
            <a:solidFill>
              <a:schemeClr val="accent3"/>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Table'!$D$40:$D$45</c:f>
              <c:numCache>
                <c:formatCode>General</c:formatCode>
                <c:ptCount val="5"/>
                <c:pt idx="0">
                  <c:v>4</c:v>
                </c:pt>
                <c:pt idx="1">
                  <c:v>37</c:v>
                </c:pt>
                <c:pt idx="2">
                  <c:v>34</c:v>
                </c:pt>
                <c:pt idx="3">
                  <c:v>31</c:v>
                </c:pt>
                <c:pt idx="4">
                  <c:v>50</c:v>
                </c:pt>
              </c:numCache>
            </c:numRef>
          </c:val>
          <c:extLst>
            <c:ext xmlns:c16="http://schemas.microsoft.com/office/drawing/2014/chart" uri="{C3380CC4-5D6E-409C-BE32-E72D297353CC}">
              <c16:uniqueId val="{00000002-78A5-432F-BDBA-1A8E994C58AC}"/>
            </c:ext>
          </c:extLst>
        </c:ser>
        <c:ser>
          <c:idx val="3"/>
          <c:order val="3"/>
          <c:tx>
            <c:strRef>
              <c:f>'3- Pivot Table'!$E$38:$E$39</c:f>
              <c:strCache>
                <c:ptCount val="1"/>
                <c:pt idx="0">
                  <c:v>Neurology</c:v>
                </c:pt>
              </c:strCache>
            </c:strRef>
          </c:tx>
          <c:spPr>
            <a:solidFill>
              <a:schemeClr val="accent4"/>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Table'!$E$40:$E$45</c:f>
              <c:numCache>
                <c:formatCode>General</c:formatCode>
                <c:ptCount val="5"/>
                <c:pt idx="0">
                  <c:v>9</c:v>
                </c:pt>
                <c:pt idx="1">
                  <c:v>21</c:v>
                </c:pt>
                <c:pt idx="2">
                  <c:v>28</c:v>
                </c:pt>
                <c:pt idx="3">
                  <c:v>33</c:v>
                </c:pt>
                <c:pt idx="4">
                  <c:v>47</c:v>
                </c:pt>
              </c:numCache>
            </c:numRef>
          </c:val>
          <c:extLst>
            <c:ext xmlns:c16="http://schemas.microsoft.com/office/drawing/2014/chart" uri="{C3380CC4-5D6E-409C-BE32-E72D297353CC}">
              <c16:uniqueId val="{00000003-78A5-432F-BDBA-1A8E994C58AC}"/>
            </c:ext>
          </c:extLst>
        </c:ser>
        <c:ser>
          <c:idx val="4"/>
          <c:order val="4"/>
          <c:tx>
            <c:strRef>
              <c:f>'3- Pivot Table'!$F$38:$F$39</c:f>
              <c:strCache>
                <c:ptCount val="1"/>
                <c:pt idx="0">
                  <c:v>Oncology</c:v>
                </c:pt>
              </c:strCache>
            </c:strRef>
          </c:tx>
          <c:spPr>
            <a:solidFill>
              <a:schemeClr val="accent5"/>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Table'!$F$40:$F$45</c:f>
              <c:numCache>
                <c:formatCode>General</c:formatCode>
                <c:ptCount val="5"/>
                <c:pt idx="0">
                  <c:v>7</c:v>
                </c:pt>
                <c:pt idx="1">
                  <c:v>21</c:v>
                </c:pt>
                <c:pt idx="2">
                  <c:v>23</c:v>
                </c:pt>
                <c:pt idx="3">
                  <c:v>33</c:v>
                </c:pt>
                <c:pt idx="4">
                  <c:v>51</c:v>
                </c:pt>
              </c:numCache>
            </c:numRef>
          </c:val>
          <c:extLst>
            <c:ext xmlns:c16="http://schemas.microsoft.com/office/drawing/2014/chart" uri="{C3380CC4-5D6E-409C-BE32-E72D297353CC}">
              <c16:uniqueId val="{00000004-78A5-432F-BDBA-1A8E994C58AC}"/>
            </c:ext>
          </c:extLst>
        </c:ser>
        <c:ser>
          <c:idx val="5"/>
          <c:order val="5"/>
          <c:tx>
            <c:strRef>
              <c:f>'3- Pivot Table'!$G$38:$G$39</c:f>
              <c:strCache>
                <c:ptCount val="1"/>
                <c:pt idx="0">
                  <c:v>Orthopedics</c:v>
                </c:pt>
              </c:strCache>
            </c:strRef>
          </c:tx>
          <c:spPr>
            <a:solidFill>
              <a:schemeClr val="accent6"/>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Table'!$G$40:$G$45</c:f>
              <c:numCache>
                <c:formatCode>General</c:formatCode>
                <c:ptCount val="5"/>
                <c:pt idx="0">
                  <c:v>6</c:v>
                </c:pt>
                <c:pt idx="1">
                  <c:v>32</c:v>
                </c:pt>
                <c:pt idx="2">
                  <c:v>33</c:v>
                </c:pt>
                <c:pt idx="3">
                  <c:v>32</c:v>
                </c:pt>
                <c:pt idx="4">
                  <c:v>46</c:v>
                </c:pt>
              </c:numCache>
            </c:numRef>
          </c:val>
          <c:extLst>
            <c:ext xmlns:c16="http://schemas.microsoft.com/office/drawing/2014/chart" uri="{C3380CC4-5D6E-409C-BE32-E72D297353CC}">
              <c16:uniqueId val="{00000005-78A5-432F-BDBA-1A8E994C58AC}"/>
            </c:ext>
          </c:extLst>
        </c:ser>
        <c:ser>
          <c:idx val="6"/>
          <c:order val="6"/>
          <c:tx>
            <c:strRef>
              <c:f>'3- Pivot Table'!$H$38:$H$39</c:f>
              <c:strCache>
                <c:ptCount val="1"/>
                <c:pt idx="0">
                  <c:v>Pediatrics</c:v>
                </c:pt>
              </c:strCache>
            </c:strRef>
          </c:tx>
          <c:spPr>
            <a:solidFill>
              <a:schemeClr val="accent1">
                <a:lumMod val="60000"/>
              </a:schemeClr>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Table'!$H$40:$H$45</c:f>
              <c:numCache>
                <c:formatCode>General</c:formatCode>
                <c:ptCount val="5"/>
                <c:pt idx="0">
                  <c:v>8</c:v>
                </c:pt>
                <c:pt idx="1">
                  <c:v>29</c:v>
                </c:pt>
                <c:pt idx="2">
                  <c:v>30</c:v>
                </c:pt>
                <c:pt idx="3">
                  <c:v>46</c:v>
                </c:pt>
                <c:pt idx="4">
                  <c:v>45</c:v>
                </c:pt>
              </c:numCache>
            </c:numRef>
          </c:val>
          <c:extLst>
            <c:ext xmlns:c16="http://schemas.microsoft.com/office/drawing/2014/chart" uri="{C3380CC4-5D6E-409C-BE32-E72D297353CC}">
              <c16:uniqueId val="{00000006-78A5-432F-BDBA-1A8E994C58AC}"/>
            </c:ext>
          </c:extLst>
        </c:ser>
        <c:dLbls>
          <c:showLegendKey val="0"/>
          <c:showVal val="0"/>
          <c:showCatName val="0"/>
          <c:showSerName val="0"/>
          <c:showPercent val="0"/>
          <c:showBubbleSize val="0"/>
        </c:dLbls>
        <c:gapWidth val="219"/>
        <c:axId val="981326576"/>
        <c:axId val="981330416"/>
      </c:barChart>
      <c:catAx>
        <c:axId val="98132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330416"/>
        <c:crosses val="autoZero"/>
        <c:auto val="1"/>
        <c:lblAlgn val="ctr"/>
        <c:lblOffset val="100"/>
        <c:noMultiLvlLbl val="0"/>
      </c:catAx>
      <c:valAx>
        <c:axId val="98133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32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Table!PivotTable10</c:name>
    <c:fmtId val="10"/>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sz="1400" b="1" i="1" u="none" strike="noStrike" baseline="0">
                <a:solidFill>
                  <a:schemeClr val="tx1"/>
                </a:solidFill>
              </a:rPr>
              <a:t>Revenue by Dept &amp; Payment Method</a:t>
            </a:r>
            <a:endParaRPr lang="en-US" b="1" i="1">
              <a:solidFill>
                <a:schemeClr val="tx1"/>
              </a:solidFill>
            </a:endParaRPr>
          </a:p>
        </c:rich>
      </c:tx>
      <c:layout>
        <c:manualLayout>
          <c:xMode val="edge"/>
          <c:yMode val="edge"/>
          <c:x val="0.33361638219135653"/>
          <c:y val="3.6016331291921846E-2"/>
        </c:manualLayout>
      </c:layout>
      <c:overlay val="0"/>
      <c:spPr>
        <a:solidFill>
          <a:schemeClr val="bg2"/>
        </a:solid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Pivot Table'!$B$51:$B$52</c:f>
              <c:strCache>
                <c:ptCount val="1"/>
                <c:pt idx="0">
                  <c:v>Card</c:v>
                </c:pt>
              </c:strCache>
            </c:strRef>
          </c:tx>
          <c:spPr>
            <a:solidFill>
              <a:schemeClr val="accent1"/>
            </a:solidFill>
            <a:ln>
              <a:noFill/>
            </a:ln>
            <a:effectLst/>
          </c:spPr>
          <c:invertIfNegative val="0"/>
          <c:cat>
            <c:strRef>
              <c:f>'3- Pivot Table'!$A$53:$A$60</c:f>
              <c:strCache>
                <c:ptCount val="7"/>
                <c:pt idx="0">
                  <c:v>Cardiology</c:v>
                </c:pt>
                <c:pt idx="1">
                  <c:v>Emergency</c:v>
                </c:pt>
                <c:pt idx="2">
                  <c:v>General</c:v>
                </c:pt>
                <c:pt idx="3">
                  <c:v>Neurology</c:v>
                </c:pt>
                <c:pt idx="4">
                  <c:v>Oncology</c:v>
                </c:pt>
                <c:pt idx="5">
                  <c:v>Orthopedics</c:v>
                </c:pt>
                <c:pt idx="6">
                  <c:v>Pediatrics</c:v>
                </c:pt>
              </c:strCache>
            </c:strRef>
          </c:cat>
          <c:val>
            <c:numRef>
              <c:f>'3- Pivot Table'!$B$53:$B$60</c:f>
              <c:numCache>
                <c:formatCode>#,##0</c:formatCode>
                <c:ptCount val="7"/>
                <c:pt idx="0">
                  <c:v>1695000</c:v>
                </c:pt>
                <c:pt idx="1">
                  <c:v>1069000</c:v>
                </c:pt>
                <c:pt idx="2">
                  <c:v>660000</c:v>
                </c:pt>
                <c:pt idx="3">
                  <c:v>953000</c:v>
                </c:pt>
                <c:pt idx="4">
                  <c:v>1251000</c:v>
                </c:pt>
                <c:pt idx="5">
                  <c:v>1112000</c:v>
                </c:pt>
                <c:pt idx="6">
                  <c:v>1614000</c:v>
                </c:pt>
              </c:numCache>
            </c:numRef>
          </c:val>
          <c:extLst>
            <c:ext xmlns:c16="http://schemas.microsoft.com/office/drawing/2014/chart" uri="{C3380CC4-5D6E-409C-BE32-E72D297353CC}">
              <c16:uniqueId val="{00000000-10C3-4F26-87CC-16A33C727CF0}"/>
            </c:ext>
          </c:extLst>
        </c:ser>
        <c:ser>
          <c:idx val="1"/>
          <c:order val="1"/>
          <c:tx>
            <c:strRef>
              <c:f>'3- Pivot Table'!$C$51:$C$52</c:f>
              <c:strCache>
                <c:ptCount val="1"/>
                <c:pt idx="0">
                  <c:v>Cash</c:v>
                </c:pt>
              </c:strCache>
            </c:strRef>
          </c:tx>
          <c:spPr>
            <a:solidFill>
              <a:schemeClr val="accent2"/>
            </a:solidFill>
            <a:ln>
              <a:noFill/>
            </a:ln>
            <a:effectLst/>
          </c:spPr>
          <c:invertIfNegative val="0"/>
          <c:cat>
            <c:strRef>
              <c:f>'3- Pivot Table'!$A$53:$A$60</c:f>
              <c:strCache>
                <c:ptCount val="7"/>
                <c:pt idx="0">
                  <c:v>Cardiology</c:v>
                </c:pt>
                <c:pt idx="1">
                  <c:v>Emergency</c:v>
                </c:pt>
                <c:pt idx="2">
                  <c:v>General</c:v>
                </c:pt>
                <c:pt idx="3">
                  <c:v>Neurology</c:v>
                </c:pt>
                <c:pt idx="4">
                  <c:v>Oncology</c:v>
                </c:pt>
                <c:pt idx="5">
                  <c:v>Orthopedics</c:v>
                </c:pt>
                <c:pt idx="6">
                  <c:v>Pediatrics</c:v>
                </c:pt>
              </c:strCache>
            </c:strRef>
          </c:cat>
          <c:val>
            <c:numRef>
              <c:f>'3- Pivot Table'!$C$53:$C$60</c:f>
              <c:numCache>
                <c:formatCode>#,##0</c:formatCode>
                <c:ptCount val="7"/>
                <c:pt idx="0">
                  <c:v>957000</c:v>
                </c:pt>
                <c:pt idx="1">
                  <c:v>1137000</c:v>
                </c:pt>
                <c:pt idx="2">
                  <c:v>1169000</c:v>
                </c:pt>
                <c:pt idx="3">
                  <c:v>1218000</c:v>
                </c:pt>
                <c:pt idx="4">
                  <c:v>874000</c:v>
                </c:pt>
                <c:pt idx="5">
                  <c:v>970000</c:v>
                </c:pt>
                <c:pt idx="6">
                  <c:v>846000</c:v>
                </c:pt>
              </c:numCache>
            </c:numRef>
          </c:val>
          <c:extLst>
            <c:ext xmlns:c16="http://schemas.microsoft.com/office/drawing/2014/chart" uri="{C3380CC4-5D6E-409C-BE32-E72D297353CC}">
              <c16:uniqueId val="{0000000E-6F92-413C-B902-3179A2421041}"/>
            </c:ext>
          </c:extLst>
        </c:ser>
        <c:ser>
          <c:idx val="2"/>
          <c:order val="2"/>
          <c:tx>
            <c:strRef>
              <c:f>'3- Pivot Table'!$D$51:$D$52</c:f>
              <c:strCache>
                <c:ptCount val="1"/>
                <c:pt idx="0">
                  <c:v>Insurance</c:v>
                </c:pt>
              </c:strCache>
            </c:strRef>
          </c:tx>
          <c:spPr>
            <a:solidFill>
              <a:schemeClr val="accent3"/>
            </a:solidFill>
            <a:ln>
              <a:noFill/>
            </a:ln>
            <a:effectLst/>
          </c:spPr>
          <c:invertIfNegative val="0"/>
          <c:cat>
            <c:strRef>
              <c:f>'3- Pivot Table'!$A$53:$A$60</c:f>
              <c:strCache>
                <c:ptCount val="7"/>
                <c:pt idx="0">
                  <c:v>Cardiology</c:v>
                </c:pt>
                <c:pt idx="1">
                  <c:v>Emergency</c:v>
                </c:pt>
                <c:pt idx="2">
                  <c:v>General</c:v>
                </c:pt>
                <c:pt idx="3">
                  <c:v>Neurology</c:v>
                </c:pt>
                <c:pt idx="4">
                  <c:v>Oncology</c:v>
                </c:pt>
                <c:pt idx="5">
                  <c:v>Orthopedics</c:v>
                </c:pt>
                <c:pt idx="6">
                  <c:v>Pediatrics</c:v>
                </c:pt>
              </c:strCache>
            </c:strRef>
          </c:cat>
          <c:val>
            <c:numRef>
              <c:f>'3- Pivot Table'!$D$53:$D$60</c:f>
              <c:numCache>
                <c:formatCode>#,##0</c:formatCode>
                <c:ptCount val="7"/>
                <c:pt idx="0">
                  <c:v>872000</c:v>
                </c:pt>
                <c:pt idx="1">
                  <c:v>1043000</c:v>
                </c:pt>
                <c:pt idx="2">
                  <c:v>1497000</c:v>
                </c:pt>
                <c:pt idx="3">
                  <c:v>1049000</c:v>
                </c:pt>
                <c:pt idx="4">
                  <c:v>1097000</c:v>
                </c:pt>
                <c:pt idx="5">
                  <c:v>1071000</c:v>
                </c:pt>
                <c:pt idx="6">
                  <c:v>1326000</c:v>
                </c:pt>
              </c:numCache>
            </c:numRef>
          </c:val>
          <c:extLst>
            <c:ext xmlns:c16="http://schemas.microsoft.com/office/drawing/2014/chart" uri="{C3380CC4-5D6E-409C-BE32-E72D297353CC}">
              <c16:uniqueId val="{00000003-A51D-470C-8EF2-535C1F390931}"/>
            </c:ext>
          </c:extLst>
        </c:ser>
        <c:ser>
          <c:idx val="3"/>
          <c:order val="3"/>
          <c:tx>
            <c:strRef>
              <c:f>'3- Pivot Table'!$E$51:$E$52</c:f>
              <c:strCache>
                <c:ptCount val="1"/>
                <c:pt idx="0">
                  <c:v>Online Transfer</c:v>
                </c:pt>
              </c:strCache>
            </c:strRef>
          </c:tx>
          <c:spPr>
            <a:solidFill>
              <a:schemeClr val="accent4"/>
            </a:solidFill>
            <a:ln>
              <a:noFill/>
            </a:ln>
            <a:effectLst/>
          </c:spPr>
          <c:invertIfNegative val="0"/>
          <c:cat>
            <c:strRef>
              <c:f>'3- Pivot Table'!$A$53:$A$60</c:f>
              <c:strCache>
                <c:ptCount val="7"/>
                <c:pt idx="0">
                  <c:v>Cardiology</c:v>
                </c:pt>
                <c:pt idx="1">
                  <c:v>Emergency</c:v>
                </c:pt>
                <c:pt idx="2">
                  <c:v>General</c:v>
                </c:pt>
                <c:pt idx="3">
                  <c:v>Neurology</c:v>
                </c:pt>
                <c:pt idx="4">
                  <c:v>Oncology</c:v>
                </c:pt>
                <c:pt idx="5">
                  <c:v>Orthopedics</c:v>
                </c:pt>
                <c:pt idx="6">
                  <c:v>Pediatrics</c:v>
                </c:pt>
              </c:strCache>
            </c:strRef>
          </c:cat>
          <c:val>
            <c:numRef>
              <c:f>'3- Pivot Table'!$E$53:$E$60</c:f>
              <c:numCache>
                <c:formatCode>#,##0</c:formatCode>
                <c:ptCount val="7"/>
                <c:pt idx="0">
                  <c:v>1014000</c:v>
                </c:pt>
                <c:pt idx="1">
                  <c:v>1688000</c:v>
                </c:pt>
                <c:pt idx="2">
                  <c:v>1362000</c:v>
                </c:pt>
                <c:pt idx="3">
                  <c:v>1047000</c:v>
                </c:pt>
                <c:pt idx="4">
                  <c:v>1079000</c:v>
                </c:pt>
                <c:pt idx="5">
                  <c:v>1270000</c:v>
                </c:pt>
                <c:pt idx="6">
                  <c:v>1243000</c:v>
                </c:pt>
              </c:numCache>
            </c:numRef>
          </c:val>
          <c:extLst>
            <c:ext xmlns:c16="http://schemas.microsoft.com/office/drawing/2014/chart" uri="{C3380CC4-5D6E-409C-BE32-E72D297353CC}">
              <c16:uniqueId val="{00000004-A51D-470C-8EF2-535C1F390931}"/>
            </c:ext>
          </c:extLst>
        </c:ser>
        <c:ser>
          <c:idx val="4"/>
          <c:order val="4"/>
          <c:tx>
            <c:strRef>
              <c:f>'3- Pivot Table'!$F$51:$F$52</c:f>
              <c:strCache>
                <c:ptCount val="1"/>
                <c:pt idx="0">
                  <c:v>Unknown</c:v>
                </c:pt>
              </c:strCache>
            </c:strRef>
          </c:tx>
          <c:spPr>
            <a:solidFill>
              <a:schemeClr val="accent5"/>
            </a:solidFill>
            <a:ln>
              <a:noFill/>
            </a:ln>
            <a:effectLst/>
          </c:spPr>
          <c:invertIfNegative val="0"/>
          <c:cat>
            <c:strRef>
              <c:f>'3- Pivot Table'!$A$53:$A$60</c:f>
              <c:strCache>
                <c:ptCount val="7"/>
                <c:pt idx="0">
                  <c:v>Cardiology</c:v>
                </c:pt>
                <c:pt idx="1">
                  <c:v>Emergency</c:v>
                </c:pt>
                <c:pt idx="2">
                  <c:v>General</c:v>
                </c:pt>
                <c:pt idx="3">
                  <c:v>Neurology</c:v>
                </c:pt>
                <c:pt idx="4">
                  <c:v>Oncology</c:v>
                </c:pt>
                <c:pt idx="5">
                  <c:v>Orthopedics</c:v>
                </c:pt>
                <c:pt idx="6">
                  <c:v>Pediatrics</c:v>
                </c:pt>
              </c:strCache>
            </c:strRef>
          </c:cat>
          <c:val>
            <c:numRef>
              <c:f>'3- Pivot Table'!$F$53:$F$60</c:f>
              <c:numCache>
                <c:formatCode>#,##0</c:formatCode>
                <c:ptCount val="7"/>
                <c:pt idx="0">
                  <c:v>102000</c:v>
                </c:pt>
                <c:pt idx="1">
                  <c:v>5000</c:v>
                </c:pt>
                <c:pt idx="3">
                  <c:v>8000</c:v>
                </c:pt>
                <c:pt idx="4">
                  <c:v>32000</c:v>
                </c:pt>
                <c:pt idx="5">
                  <c:v>135000</c:v>
                </c:pt>
                <c:pt idx="6">
                  <c:v>16000</c:v>
                </c:pt>
              </c:numCache>
            </c:numRef>
          </c:val>
          <c:extLst>
            <c:ext xmlns:c16="http://schemas.microsoft.com/office/drawing/2014/chart" uri="{C3380CC4-5D6E-409C-BE32-E72D297353CC}">
              <c16:uniqueId val="{00000005-A51D-470C-8EF2-535C1F390931}"/>
            </c:ext>
          </c:extLst>
        </c:ser>
        <c:dLbls>
          <c:showLegendKey val="0"/>
          <c:showVal val="0"/>
          <c:showCatName val="0"/>
          <c:showSerName val="0"/>
          <c:showPercent val="0"/>
          <c:showBubbleSize val="0"/>
        </c:dLbls>
        <c:gapWidth val="219"/>
        <c:overlap val="-27"/>
        <c:axId val="1254243984"/>
        <c:axId val="1254251184"/>
      </c:barChart>
      <c:catAx>
        <c:axId val="12542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51184"/>
        <c:crosses val="autoZero"/>
        <c:auto val="1"/>
        <c:lblAlgn val="ctr"/>
        <c:lblOffset val="100"/>
        <c:noMultiLvlLbl val="0"/>
      </c:catAx>
      <c:valAx>
        <c:axId val="1254251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4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Table!PivotTable11</c:name>
    <c:fmtId val="15"/>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sz="1400" b="1" i="1" u="none" strike="noStrike" baseline="0">
                <a:solidFill>
                  <a:schemeClr val="tx1"/>
                </a:solidFill>
              </a:rPr>
              <a:t>Treatment Cost by Gender and Department</a:t>
            </a:r>
          </a:p>
        </c:rich>
      </c:tx>
      <c:layout>
        <c:manualLayout>
          <c:xMode val="edge"/>
          <c:yMode val="edge"/>
          <c:x val="0.32884437802938871"/>
          <c:y val="4.0345297746872552E-2"/>
        </c:manualLayout>
      </c:layout>
      <c:overlay val="0"/>
      <c:spPr>
        <a:solidFill>
          <a:schemeClr val="bg2"/>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'3- Pivot Table'!$B$64:$B$65</c:f>
              <c:strCache>
                <c:ptCount val="1"/>
                <c:pt idx="0">
                  <c:v>Unknown</c:v>
                </c:pt>
              </c:strCache>
            </c:strRef>
          </c:tx>
          <c:spPr>
            <a:solidFill>
              <a:schemeClr val="accent1"/>
            </a:solidFill>
            <a:ln>
              <a:noFill/>
            </a:ln>
            <a:effectLst/>
          </c:spPr>
          <c:invertIfNegative val="0"/>
          <c:cat>
            <c:strRef>
              <c:f>'3- Pivot Table'!$A$66:$A$73</c:f>
              <c:strCache>
                <c:ptCount val="7"/>
                <c:pt idx="0">
                  <c:v>Cardiology</c:v>
                </c:pt>
                <c:pt idx="1">
                  <c:v>Emergency</c:v>
                </c:pt>
                <c:pt idx="2">
                  <c:v>General</c:v>
                </c:pt>
                <c:pt idx="3">
                  <c:v>Neurology</c:v>
                </c:pt>
                <c:pt idx="4">
                  <c:v>Oncology</c:v>
                </c:pt>
                <c:pt idx="5">
                  <c:v>Orthopedics</c:v>
                </c:pt>
                <c:pt idx="6">
                  <c:v>Pediatrics</c:v>
                </c:pt>
              </c:strCache>
            </c:strRef>
          </c:cat>
          <c:val>
            <c:numRef>
              <c:f>'3- Pivot Table'!$B$66:$B$73</c:f>
              <c:numCache>
                <c:formatCode>#,##0</c:formatCode>
                <c:ptCount val="7"/>
                <c:pt idx="0">
                  <c:v>15000</c:v>
                </c:pt>
                <c:pt idx="1">
                  <c:v>37500</c:v>
                </c:pt>
                <c:pt idx="2">
                  <c:v>6500</c:v>
                </c:pt>
                <c:pt idx="3">
                  <c:v>39250</c:v>
                </c:pt>
                <c:pt idx="4">
                  <c:v>8000</c:v>
                </c:pt>
                <c:pt idx="5">
                  <c:v>38750</c:v>
                </c:pt>
                <c:pt idx="6">
                  <c:v>52500</c:v>
                </c:pt>
              </c:numCache>
            </c:numRef>
          </c:val>
          <c:extLst>
            <c:ext xmlns:c16="http://schemas.microsoft.com/office/drawing/2014/chart" uri="{C3380CC4-5D6E-409C-BE32-E72D297353CC}">
              <c16:uniqueId val="{00000004-9566-4872-BC2F-A6E152711B69}"/>
            </c:ext>
          </c:extLst>
        </c:ser>
        <c:ser>
          <c:idx val="1"/>
          <c:order val="1"/>
          <c:tx>
            <c:strRef>
              <c:f>'3- Pivot Table'!$C$64:$C$65</c:f>
              <c:strCache>
                <c:ptCount val="1"/>
                <c:pt idx="0">
                  <c:v>Male</c:v>
                </c:pt>
              </c:strCache>
            </c:strRef>
          </c:tx>
          <c:spPr>
            <a:solidFill>
              <a:schemeClr val="accent2"/>
            </a:solidFill>
            <a:ln>
              <a:noFill/>
            </a:ln>
            <a:effectLst/>
          </c:spPr>
          <c:invertIfNegative val="0"/>
          <c:cat>
            <c:strRef>
              <c:f>'3- Pivot Table'!$A$66:$A$73</c:f>
              <c:strCache>
                <c:ptCount val="7"/>
                <c:pt idx="0">
                  <c:v>Cardiology</c:v>
                </c:pt>
                <c:pt idx="1">
                  <c:v>Emergency</c:v>
                </c:pt>
                <c:pt idx="2">
                  <c:v>General</c:v>
                </c:pt>
                <c:pt idx="3">
                  <c:v>Neurology</c:v>
                </c:pt>
                <c:pt idx="4">
                  <c:v>Oncology</c:v>
                </c:pt>
                <c:pt idx="5">
                  <c:v>Orthopedics</c:v>
                </c:pt>
                <c:pt idx="6">
                  <c:v>Pediatrics</c:v>
                </c:pt>
              </c:strCache>
            </c:strRef>
          </c:cat>
          <c:val>
            <c:numRef>
              <c:f>'3- Pivot Table'!$C$66:$C$73</c:f>
              <c:numCache>
                <c:formatCode>#,##0</c:formatCode>
                <c:ptCount val="7"/>
                <c:pt idx="0">
                  <c:v>34588.23529411765</c:v>
                </c:pt>
                <c:pt idx="1">
                  <c:v>35680</c:v>
                </c:pt>
                <c:pt idx="2">
                  <c:v>33562.5</c:v>
                </c:pt>
                <c:pt idx="3">
                  <c:v>28305.555555555555</c:v>
                </c:pt>
                <c:pt idx="4">
                  <c:v>36725.490196078434</c:v>
                </c:pt>
                <c:pt idx="5">
                  <c:v>30333.333333333332</c:v>
                </c:pt>
                <c:pt idx="6">
                  <c:v>31123.595505617977</c:v>
                </c:pt>
              </c:numCache>
            </c:numRef>
          </c:val>
          <c:extLst>
            <c:ext xmlns:c16="http://schemas.microsoft.com/office/drawing/2014/chart" uri="{C3380CC4-5D6E-409C-BE32-E72D297353CC}">
              <c16:uniqueId val="{00000006-9566-4872-BC2F-A6E152711B69}"/>
            </c:ext>
          </c:extLst>
        </c:ser>
        <c:ser>
          <c:idx val="2"/>
          <c:order val="2"/>
          <c:tx>
            <c:strRef>
              <c:f>'3- Pivot Table'!$D$64:$D$65</c:f>
              <c:strCache>
                <c:ptCount val="1"/>
                <c:pt idx="0">
                  <c:v>Female</c:v>
                </c:pt>
              </c:strCache>
            </c:strRef>
          </c:tx>
          <c:spPr>
            <a:solidFill>
              <a:schemeClr val="accent3"/>
            </a:solidFill>
            <a:ln>
              <a:noFill/>
            </a:ln>
            <a:effectLst/>
          </c:spPr>
          <c:invertIfNegative val="0"/>
          <c:cat>
            <c:strRef>
              <c:f>'3- Pivot Table'!$A$66:$A$73</c:f>
              <c:strCache>
                <c:ptCount val="7"/>
                <c:pt idx="0">
                  <c:v>Cardiology</c:v>
                </c:pt>
                <c:pt idx="1">
                  <c:v>Emergency</c:v>
                </c:pt>
                <c:pt idx="2">
                  <c:v>General</c:v>
                </c:pt>
                <c:pt idx="3">
                  <c:v>Neurology</c:v>
                </c:pt>
                <c:pt idx="4">
                  <c:v>Oncology</c:v>
                </c:pt>
                <c:pt idx="5">
                  <c:v>Orthopedics</c:v>
                </c:pt>
                <c:pt idx="6">
                  <c:v>Pediatrics</c:v>
                </c:pt>
              </c:strCache>
            </c:strRef>
          </c:cat>
          <c:val>
            <c:numRef>
              <c:f>'3- Pivot Table'!$D$66:$D$73</c:f>
              <c:numCache>
                <c:formatCode>#,##0</c:formatCode>
                <c:ptCount val="7"/>
                <c:pt idx="0">
                  <c:v>35841.269841269845</c:v>
                </c:pt>
                <c:pt idx="1">
                  <c:v>37135.593220338982</c:v>
                </c:pt>
                <c:pt idx="2">
                  <c:v>26891.891891891893</c:v>
                </c:pt>
                <c:pt idx="3">
                  <c:v>33548.387096774197</c:v>
                </c:pt>
                <c:pt idx="4">
                  <c:v>29804.878048780487</c:v>
                </c:pt>
                <c:pt idx="5">
                  <c:v>30388.235294117647</c:v>
                </c:pt>
                <c:pt idx="6">
                  <c:v>32388.059701492537</c:v>
                </c:pt>
              </c:numCache>
            </c:numRef>
          </c:val>
          <c:extLst>
            <c:ext xmlns:c16="http://schemas.microsoft.com/office/drawing/2014/chart" uri="{C3380CC4-5D6E-409C-BE32-E72D297353CC}">
              <c16:uniqueId val="{00000008-9566-4872-BC2F-A6E152711B69}"/>
            </c:ext>
          </c:extLst>
        </c:ser>
        <c:dLbls>
          <c:showLegendKey val="0"/>
          <c:showVal val="0"/>
          <c:showCatName val="0"/>
          <c:showSerName val="0"/>
          <c:showPercent val="0"/>
          <c:showBubbleSize val="0"/>
        </c:dLbls>
        <c:gapWidth val="219"/>
        <c:overlap val="-27"/>
        <c:axId val="1254243984"/>
        <c:axId val="1254251184"/>
      </c:barChart>
      <c:catAx>
        <c:axId val="12542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51184"/>
        <c:crosses val="autoZero"/>
        <c:auto val="1"/>
        <c:lblAlgn val="ctr"/>
        <c:lblOffset val="100"/>
        <c:noMultiLvlLbl val="0"/>
      </c:catAx>
      <c:valAx>
        <c:axId val="1254251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439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[CityCareHospital_Project.xlsx]3- Pivot Table!PivotTable3</c:name>
    <c:fmtId val="8"/>
  </c:pivotSource>
  <c:chart>
    <c:title>
      <c:tx>
        <c:rich>
          <a:bodyPr rot="0" spcFirstLastPara="1" vertOverflow="ellipsis" vert="horz" wrap="square" anchor="ctr" anchorCtr="1"/>
          <a:lstStyle/>
          <a:p>
            <a:pPr>
              <a:defRPr sz="1400" b="1" i="1" u="none" strike="noStrike" kern="1200" spc="0" baseline="0">
                <a:solidFill>
                  <a:schemeClr val="bg2"/>
                </a:solidFill>
                <a:latin typeface="+mn-lt"/>
                <a:ea typeface="+mn-ea"/>
                <a:cs typeface="+mn-cs"/>
              </a:defRPr>
            </a:pPr>
            <a:r>
              <a:rPr lang="en-US" sz="1400" b="1" i="1" u="none" strike="noStrike" baseline="0">
                <a:solidFill>
                  <a:schemeClr val="bg2"/>
                </a:solidFill>
              </a:rPr>
              <a:t>Patients by City</a:t>
            </a:r>
            <a:endParaRPr lang="en-US" b="1" i="1" u="none">
              <a:solidFill>
                <a:schemeClr val="bg2"/>
              </a:solidFill>
            </a:endParaRPr>
          </a:p>
        </c:rich>
      </c:tx>
      <c:layout>
        <c:manualLayout>
          <c:xMode val="edge"/>
          <c:yMode val="edge"/>
          <c:x val="0.37041138574255761"/>
          <c:y val="3.1386676891889086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pivotFmt>
    </c:pivotFmts>
    <c:plotArea>
      <c:layout/>
      <c:barChart>
        <c:barDir val="bar"/>
        <c:grouping val="clustered"/>
        <c:varyColors val="0"/>
        <c:ser>
          <c:idx val="0"/>
          <c:order val="0"/>
          <c:tx>
            <c:strRef>
              <c:f>'3- Pivot Table'!$B$7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Pivot Table'!$A$8:$A$16</c:f>
              <c:strCache>
                <c:ptCount val="8"/>
                <c:pt idx="0">
                  <c:v>Unknown</c:v>
                </c:pt>
                <c:pt idx="1">
                  <c:v>Karachi</c:v>
                </c:pt>
                <c:pt idx="2">
                  <c:v>Quetta</c:v>
                </c:pt>
                <c:pt idx="3">
                  <c:v>Peshawar</c:v>
                </c:pt>
                <c:pt idx="4">
                  <c:v>Islamabad</c:v>
                </c:pt>
                <c:pt idx="5">
                  <c:v>Lahore</c:v>
                </c:pt>
                <c:pt idx="6">
                  <c:v>Faisalabad</c:v>
                </c:pt>
                <c:pt idx="7">
                  <c:v>Multan</c:v>
                </c:pt>
              </c:strCache>
            </c:strRef>
          </c:cat>
          <c:val>
            <c:numRef>
              <c:f>'3- Pivot Table'!$B$8:$B$16</c:f>
              <c:numCache>
                <c:formatCode>General</c:formatCode>
                <c:ptCount val="8"/>
                <c:pt idx="0">
                  <c:v>8</c:v>
                </c:pt>
                <c:pt idx="1">
                  <c:v>128</c:v>
                </c:pt>
                <c:pt idx="2">
                  <c:v>133</c:v>
                </c:pt>
                <c:pt idx="3">
                  <c:v>135</c:v>
                </c:pt>
                <c:pt idx="4">
                  <c:v>140</c:v>
                </c:pt>
                <c:pt idx="5">
                  <c:v>153</c:v>
                </c:pt>
                <c:pt idx="6">
                  <c:v>153</c:v>
                </c:pt>
                <c:pt idx="7">
                  <c:v>155</c:v>
                </c:pt>
              </c:numCache>
            </c:numRef>
          </c:val>
          <c:extLst>
            <c:ext xmlns:c16="http://schemas.microsoft.com/office/drawing/2014/chart" uri="{C3380CC4-5D6E-409C-BE32-E72D297353CC}">
              <c16:uniqueId val="{00000000-E43E-4D85-B9F5-E716BB2F868A}"/>
            </c:ext>
          </c:extLst>
        </c:ser>
        <c:dLbls>
          <c:dLblPos val="outEnd"/>
          <c:showLegendKey val="0"/>
          <c:showVal val="1"/>
          <c:showCatName val="0"/>
          <c:showSerName val="0"/>
          <c:showPercent val="0"/>
          <c:showBubbleSize val="0"/>
        </c:dLbls>
        <c:gapWidth val="182"/>
        <c:axId val="982869664"/>
        <c:axId val="982871584"/>
      </c:barChart>
      <c:catAx>
        <c:axId val="98286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2871584"/>
        <c:crosses val="autoZero"/>
        <c:auto val="1"/>
        <c:lblAlgn val="ctr"/>
        <c:lblOffset val="100"/>
        <c:noMultiLvlLbl val="0"/>
      </c:catAx>
      <c:valAx>
        <c:axId val="982871584"/>
        <c:scaling>
          <c:orientation val="minMax"/>
        </c:scaling>
        <c:delete val="1"/>
        <c:axPos val="b"/>
        <c:numFmt formatCode="General" sourceLinked="1"/>
        <c:majorTickMark val="none"/>
        <c:minorTickMark val="none"/>
        <c:tickLblPos val="nextTo"/>
        <c:crossAx val="98286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Table!PivotTable1</c:name>
    <c:fmtId val="10"/>
  </c:pivotSource>
  <c:chart>
    <c:title>
      <c:tx>
        <c:rich>
          <a:bodyPr rot="0" spcFirstLastPara="1" vertOverflow="ellipsis" vert="horz" wrap="square" anchor="ctr" anchorCtr="1"/>
          <a:lstStyle/>
          <a:p>
            <a:pPr>
              <a:defRPr lang="en-US" sz="1200" b="1" i="1" u="none" strike="noStrike" kern="1200" spc="0" baseline="0">
                <a:solidFill>
                  <a:schemeClr val="bg2"/>
                </a:solidFill>
                <a:latin typeface="+mn-lt"/>
                <a:ea typeface="+mn-ea"/>
                <a:cs typeface="+mn-cs"/>
              </a:defRPr>
            </a:pPr>
            <a:r>
              <a:rPr lang="en-US" sz="1400" b="1" i="1">
                <a:solidFill>
                  <a:schemeClr val="bg2"/>
                </a:solidFill>
              </a:rPr>
              <a:t>Revenue by Department</a:t>
            </a:r>
          </a:p>
        </c:rich>
      </c:tx>
      <c:layout>
        <c:manualLayout>
          <c:xMode val="edge"/>
          <c:yMode val="edge"/>
          <c:x val="0.37553658021050723"/>
          <c:y val="1.8324662542182225E-2"/>
        </c:manualLayout>
      </c:layout>
      <c:overlay val="0"/>
      <c:spPr>
        <a:noFill/>
        <a:ln>
          <a:noFill/>
        </a:ln>
        <a:effectLst/>
      </c:spPr>
      <c:txPr>
        <a:bodyPr rot="0" spcFirstLastPara="1" vertOverflow="ellipsis" vert="horz" wrap="square" anchor="ctr" anchorCtr="1"/>
        <a:lstStyle/>
        <a:p>
          <a:pPr>
            <a:defRPr lang="en-US" sz="1200" b="1" i="1"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'3- Pivot Table'!$E$7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Pivot Table'!$D$8:$D$15</c:f>
              <c:strCache>
                <c:ptCount val="7"/>
                <c:pt idx="0">
                  <c:v>Neurology</c:v>
                </c:pt>
                <c:pt idx="1">
                  <c:v>Oncology</c:v>
                </c:pt>
                <c:pt idx="2">
                  <c:v>Orthopedics</c:v>
                </c:pt>
                <c:pt idx="3">
                  <c:v>Cardiology</c:v>
                </c:pt>
                <c:pt idx="4">
                  <c:v>General</c:v>
                </c:pt>
                <c:pt idx="5">
                  <c:v>Emergency</c:v>
                </c:pt>
                <c:pt idx="6">
                  <c:v>Pediatrics</c:v>
                </c:pt>
              </c:strCache>
            </c:strRef>
          </c:cat>
          <c:val>
            <c:numRef>
              <c:f>'3- Pivot Table'!$E$8:$E$15</c:f>
              <c:numCache>
                <c:formatCode>_(* #,##0_);_(* \(#,##0\);_(* "-"??_);_(@_)</c:formatCode>
                <c:ptCount val="7"/>
                <c:pt idx="0">
                  <c:v>4275000</c:v>
                </c:pt>
                <c:pt idx="1">
                  <c:v>4333000</c:v>
                </c:pt>
                <c:pt idx="2">
                  <c:v>4558000</c:v>
                </c:pt>
                <c:pt idx="3">
                  <c:v>4640000</c:v>
                </c:pt>
                <c:pt idx="4">
                  <c:v>4688000</c:v>
                </c:pt>
                <c:pt idx="5">
                  <c:v>4942000</c:v>
                </c:pt>
                <c:pt idx="6">
                  <c:v>5045000</c:v>
                </c:pt>
              </c:numCache>
            </c:numRef>
          </c:val>
          <c:extLst>
            <c:ext xmlns:c16="http://schemas.microsoft.com/office/drawing/2014/chart" uri="{C3380CC4-5D6E-409C-BE32-E72D297353CC}">
              <c16:uniqueId val="{00000000-579E-4F57-BD55-86BEE675514A}"/>
            </c:ext>
          </c:extLst>
        </c:ser>
        <c:dLbls>
          <c:showLegendKey val="0"/>
          <c:showVal val="0"/>
          <c:showCatName val="0"/>
          <c:showSerName val="0"/>
          <c:showPercent val="0"/>
          <c:showBubbleSize val="0"/>
        </c:dLbls>
        <c:gapWidth val="219"/>
        <c:overlap val="-27"/>
        <c:axId val="586478880"/>
        <c:axId val="981312176"/>
      </c:barChart>
      <c:catAx>
        <c:axId val="58647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981312176"/>
        <c:crosses val="autoZero"/>
        <c:auto val="1"/>
        <c:lblAlgn val="ctr"/>
        <c:lblOffset val="100"/>
        <c:noMultiLvlLbl val="0"/>
      </c:catAx>
      <c:valAx>
        <c:axId val="981312176"/>
        <c:scaling>
          <c:orientation val="minMax"/>
        </c:scaling>
        <c:delete val="1"/>
        <c:axPos val="l"/>
        <c:numFmt formatCode="_(* #,##0_);_(* \(#,##0\);_(* &quot;-&quot;??_);_(@_)" sourceLinked="1"/>
        <c:majorTickMark val="none"/>
        <c:minorTickMark val="none"/>
        <c:tickLblPos val="nextTo"/>
        <c:crossAx val="58647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Table!PivotTable9</c:name>
    <c:fmtId val="6"/>
  </c:pivotSource>
  <c:chart>
    <c:title>
      <c:tx>
        <c:rich>
          <a:bodyPr rot="0" spcFirstLastPara="1" vertOverflow="ellipsis" vert="horz" wrap="square" anchor="ctr" anchorCtr="1"/>
          <a:lstStyle/>
          <a:p>
            <a:pPr>
              <a:defRPr sz="1400" b="0" i="1" u="none" strike="noStrike" kern="1200" spc="0" baseline="0">
                <a:solidFill>
                  <a:schemeClr val="bg2"/>
                </a:solidFill>
                <a:latin typeface="+mn-lt"/>
                <a:ea typeface="+mn-ea"/>
                <a:cs typeface="+mn-cs"/>
              </a:defRPr>
            </a:pPr>
            <a:r>
              <a:rPr lang="en-US" sz="1400" b="1" i="1" u="none" strike="noStrike" baseline="0">
                <a:solidFill>
                  <a:schemeClr val="bg2"/>
                </a:solidFill>
              </a:rPr>
              <a:t>Monthly Patient Count</a:t>
            </a:r>
            <a:endParaRPr lang="en-US" b="1" i="1">
              <a:solidFill>
                <a:schemeClr val="bg2"/>
              </a:solidFill>
            </a:endParaRPr>
          </a:p>
        </c:rich>
      </c:tx>
      <c:layout>
        <c:manualLayout>
          <c:xMode val="edge"/>
          <c:yMode val="edge"/>
          <c:x val="0.34642908920521037"/>
          <c:y val="3.4685279113740641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 Pivot Table'!$B$20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 Pivot Table'!$B$21:$B$33</c:f>
              <c:numCache>
                <c:formatCode>General</c:formatCode>
                <c:ptCount val="12"/>
                <c:pt idx="0">
                  <c:v>108</c:v>
                </c:pt>
                <c:pt idx="1">
                  <c:v>102</c:v>
                </c:pt>
                <c:pt idx="2">
                  <c:v>81</c:v>
                </c:pt>
                <c:pt idx="3">
                  <c:v>93</c:v>
                </c:pt>
                <c:pt idx="4">
                  <c:v>85</c:v>
                </c:pt>
                <c:pt idx="5">
                  <c:v>85</c:v>
                </c:pt>
                <c:pt idx="6">
                  <c:v>102</c:v>
                </c:pt>
                <c:pt idx="7">
                  <c:v>108</c:v>
                </c:pt>
                <c:pt idx="8">
                  <c:v>99</c:v>
                </c:pt>
                <c:pt idx="9">
                  <c:v>82</c:v>
                </c:pt>
                <c:pt idx="10">
                  <c:v>32</c:v>
                </c:pt>
                <c:pt idx="11">
                  <c:v>28</c:v>
                </c:pt>
              </c:numCache>
            </c:numRef>
          </c:val>
          <c:smooth val="0"/>
          <c:extLst>
            <c:ext xmlns:c16="http://schemas.microsoft.com/office/drawing/2014/chart" uri="{C3380CC4-5D6E-409C-BE32-E72D297353CC}">
              <c16:uniqueId val="{00000000-F703-4DA6-9C2A-48EDED35CC4F}"/>
            </c:ext>
          </c:extLst>
        </c:ser>
        <c:dLbls>
          <c:showLegendKey val="0"/>
          <c:showVal val="0"/>
          <c:showCatName val="0"/>
          <c:showSerName val="0"/>
          <c:showPercent val="0"/>
          <c:showBubbleSize val="0"/>
        </c:dLbls>
        <c:smooth val="0"/>
        <c:axId val="981325136"/>
        <c:axId val="981325616"/>
      </c:lineChart>
      <c:catAx>
        <c:axId val="9813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1325616"/>
        <c:crosses val="autoZero"/>
        <c:auto val="1"/>
        <c:lblAlgn val="ctr"/>
        <c:lblOffset val="100"/>
        <c:noMultiLvlLbl val="0"/>
      </c:catAx>
      <c:valAx>
        <c:axId val="98132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132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Table!PivotTable4</c:name>
    <c:fmtId val="6"/>
  </c:pivotSource>
  <c:chart>
    <c:title>
      <c:tx>
        <c:rich>
          <a:bodyPr rot="0" spcFirstLastPara="1" vertOverflow="ellipsis" vert="horz" wrap="square" anchor="ctr" anchorCtr="1"/>
          <a:lstStyle/>
          <a:p>
            <a:pPr>
              <a:defRPr sz="1400" b="0" i="1" u="none" strike="noStrike" kern="1200" spc="0" baseline="0">
                <a:solidFill>
                  <a:schemeClr val="bg2"/>
                </a:solidFill>
                <a:latin typeface="+mn-lt"/>
                <a:ea typeface="+mn-ea"/>
                <a:cs typeface="+mn-cs"/>
              </a:defRPr>
            </a:pPr>
            <a:r>
              <a:rPr lang="en-US" sz="1400" b="1" i="1" u="none" strike="noStrike" baseline="0">
                <a:solidFill>
                  <a:schemeClr val="bg2"/>
                </a:solidFill>
              </a:rPr>
              <a:t>Payment Method Breakdown</a:t>
            </a:r>
          </a:p>
        </c:rich>
      </c:tx>
      <c:layout>
        <c:manualLayout>
          <c:xMode val="edge"/>
          <c:yMode val="edge"/>
          <c:x val="0.32510792118063431"/>
          <c:y val="8.5151439191892067E-3"/>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w="19050">
            <a:noFill/>
          </a:ln>
          <a:effectLst/>
        </c:spPr>
        <c:dLbl>
          <c:idx val="0"/>
          <c:layout>
            <c:manualLayout>
              <c:x val="7.6207895137936285E-2"/>
              <c:y val="-5.8816957113986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75000"/>
            </a:schemeClr>
          </a:solidFill>
          <a:ln w="19050">
            <a:noFill/>
          </a:ln>
          <a:effectLst/>
        </c:spPr>
        <c:dLbl>
          <c:idx val="0"/>
          <c:layout>
            <c:manualLayout>
              <c:x val="7.6207895137936174E-2"/>
              <c:y val="6.61690767532344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60000"/>
              <a:lumOff val="40000"/>
            </a:schemeClr>
          </a:solidFill>
          <a:ln w="19050">
            <a:noFill/>
          </a:ln>
          <a:effectLst/>
        </c:spPr>
        <c:dLbl>
          <c:idx val="0"/>
          <c:layout>
            <c:manualLayout>
              <c:x val="-9.7546105776558478E-2"/>
              <c:y val="7.352119639248277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noFill/>
          </a:ln>
          <a:effectLst/>
        </c:spPr>
        <c:dLbl>
          <c:idx val="0"/>
          <c:layout>
            <c:manualLayout>
              <c:x val="-8.5352842554488675E-2"/>
              <c:y val="-5.1464837474737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92D050"/>
          </a:solidFill>
          <a:ln w="19050">
            <a:noFill/>
          </a:ln>
          <a:effectLst/>
        </c:spPr>
      </c:pivotFmt>
    </c:pivotFmts>
    <c:plotArea>
      <c:layout>
        <c:manualLayout>
          <c:layoutTarget val="inner"/>
          <c:xMode val="edge"/>
          <c:yMode val="edge"/>
          <c:x val="0.23405064764709624"/>
          <c:y val="0.22078878402309141"/>
          <c:w val="0.32785524580346526"/>
          <c:h val="0.77921121597690857"/>
        </c:manualLayout>
      </c:layout>
      <c:doughnutChart>
        <c:varyColors val="1"/>
        <c:ser>
          <c:idx val="0"/>
          <c:order val="0"/>
          <c:tx>
            <c:strRef>
              <c:f>'3- Pivot Table'!$H$7</c:f>
              <c:strCache>
                <c:ptCount val="1"/>
                <c:pt idx="0">
                  <c:v>Total</c:v>
                </c:pt>
              </c:strCache>
            </c:strRef>
          </c:tx>
          <c:dPt>
            <c:idx val="0"/>
            <c:bubble3D val="0"/>
            <c:spPr>
              <a:solidFill>
                <a:srgbClr val="FF0000"/>
              </a:solidFill>
              <a:ln w="19050">
                <a:noFill/>
              </a:ln>
              <a:effectLst/>
            </c:spPr>
            <c:extLst>
              <c:ext xmlns:c16="http://schemas.microsoft.com/office/drawing/2014/chart" uri="{C3380CC4-5D6E-409C-BE32-E72D297353CC}">
                <c16:uniqueId val="{00000001-DA94-4EDB-A2E3-6729128ECDCF}"/>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DA94-4EDB-A2E3-6729128ECDCF}"/>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DA94-4EDB-A2E3-6729128ECDCF}"/>
              </c:ext>
            </c:extLst>
          </c:dPt>
          <c:dPt>
            <c:idx val="3"/>
            <c:bubble3D val="0"/>
            <c:spPr>
              <a:solidFill>
                <a:schemeClr val="accent4"/>
              </a:solidFill>
              <a:ln w="19050">
                <a:noFill/>
              </a:ln>
              <a:effectLst/>
            </c:spPr>
            <c:extLst>
              <c:ext xmlns:c16="http://schemas.microsoft.com/office/drawing/2014/chart" uri="{C3380CC4-5D6E-409C-BE32-E72D297353CC}">
                <c16:uniqueId val="{00000007-DA94-4EDB-A2E3-6729128ECDCF}"/>
              </c:ext>
            </c:extLst>
          </c:dPt>
          <c:dPt>
            <c:idx val="4"/>
            <c:bubble3D val="0"/>
            <c:spPr>
              <a:solidFill>
                <a:srgbClr val="92D050"/>
              </a:solidFill>
              <a:ln w="19050">
                <a:noFill/>
              </a:ln>
              <a:effectLst/>
            </c:spPr>
            <c:extLst>
              <c:ext xmlns:c16="http://schemas.microsoft.com/office/drawing/2014/chart" uri="{C3380CC4-5D6E-409C-BE32-E72D297353CC}">
                <c16:uniqueId val="{00000009-DA94-4EDB-A2E3-6729128ECDCF}"/>
              </c:ext>
            </c:extLst>
          </c:dPt>
          <c:dLbls>
            <c:dLbl>
              <c:idx val="0"/>
              <c:layout>
                <c:manualLayout>
                  <c:x val="7.6207895137936285E-2"/>
                  <c:y val="-5.881695711398625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A94-4EDB-A2E3-6729128ECDCF}"/>
                </c:ext>
              </c:extLst>
            </c:dLbl>
            <c:dLbl>
              <c:idx val="1"/>
              <c:layout>
                <c:manualLayout>
                  <c:x val="7.6207895137936174E-2"/>
                  <c:y val="6.61690767532344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94-4EDB-A2E3-6729128ECDCF}"/>
                </c:ext>
              </c:extLst>
            </c:dLbl>
            <c:dLbl>
              <c:idx val="2"/>
              <c:layout>
                <c:manualLayout>
                  <c:x val="-9.7546105776558478E-2"/>
                  <c:y val="7.352119639248277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A94-4EDB-A2E3-6729128ECDCF}"/>
                </c:ext>
              </c:extLst>
            </c:dLbl>
            <c:dLbl>
              <c:idx val="3"/>
              <c:layout>
                <c:manualLayout>
                  <c:x val="-8.5352842554488675E-2"/>
                  <c:y val="-5.14648374747379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A94-4EDB-A2E3-6729128ECD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'3- Pivot Table'!$G$8:$G$13</c:f>
              <c:strCache>
                <c:ptCount val="5"/>
                <c:pt idx="0">
                  <c:v>Card</c:v>
                </c:pt>
                <c:pt idx="1">
                  <c:v>Cash</c:v>
                </c:pt>
                <c:pt idx="2">
                  <c:v>Insurance</c:v>
                </c:pt>
                <c:pt idx="3">
                  <c:v>Online Transfer</c:v>
                </c:pt>
                <c:pt idx="4">
                  <c:v>Unknown</c:v>
                </c:pt>
              </c:strCache>
            </c:strRef>
          </c:cat>
          <c:val>
            <c:numRef>
              <c:f>'3- Pivot Table'!$H$8:$H$13</c:f>
              <c:numCache>
                <c:formatCode>General</c:formatCode>
                <c:ptCount val="5"/>
                <c:pt idx="0">
                  <c:v>258</c:v>
                </c:pt>
                <c:pt idx="1">
                  <c:v>227</c:v>
                </c:pt>
                <c:pt idx="2">
                  <c:v>249</c:v>
                </c:pt>
                <c:pt idx="3">
                  <c:v>258</c:v>
                </c:pt>
                <c:pt idx="4">
                  <c:v>13</c:v>
                </c:pt>
              </c:numCache>
            </c:numRef>
          </c:val>
          <c:extLst>
            <c:ext xmlns:c16="http://schemas.microsoft.com/office/drawing/2014/chart" uri="{C3380CC4-5D6E-409C-BE32-E72D297353CC}">
              <c16:uniqueId val="{0000000A-DA94-4EDB-A2E3-6729128ECDC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8640751181822435"/>
          <c:y val="0.22376147176699218"/>
          <c:w val="0.25097192069098356"/>
          <c:h val="0.6825742607501593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Patient Status Summary</a:t>
            </a:r>
            <a:endParaRPr lang="en-US" b="1"/>
          </a:p>
        </c:rich>
      </c:tx>
      <c:layout>
        <c:manualLayout>
          <c:xMode val="edge"/>
          <c:yMode val="edge"/>
          <c:x val="0.36809991986833457"/>
          <c:y val="3.19209581695370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C00000"/>
          </a:solidFill>
          <a:ln w="19050">
            <a:solidFill>
              <a:schemeClr val="lt1"/>
            </a:solidFill>
          </a:ln>
          <a:effectLst>
            <a:glow rad="127000">
              <a:schemeClr val="bg1"/>
            </a:glow>
          </a:effectLst>
        </c:spPr>
        <c:dLbl>
          <c:idx val="0"/>
          <c:layout>
            <c:manualLayout>
              <c:x val="0.1"/>
              <c:y val="-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dLbl>
          <c:idx val="0"/>
          <c:layout>
            <c:manualLayout>
              <c:x val="0.11388888888888889"/>
              <c:y val="6.222222222222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layout>
            <c:manualLayout>
              <c:x val="-0.1111111111111111"/>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tx2">
              <a:lumMod val="60000"/>
              <a:lumOff val="40000"/>
            </a:schemeClr>
          </a:solidFill>
          <a:ln w="19050">
            <a:solidFill>
              <a:schemeClr val="lt1"/>
            </a:solidFill>
          </a:ln>
          <a:effectLst/>
        </c:spPr>
        <c:dLbl>
          <c:idx val="0"/>
          <c:layout>
            <c:manualLayout>
              <c:x val="-0.1388888888888889"/>
              <c:y val="-7.5000174978127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layout>
            <c:manualLayout>
              <c:x val="0"/>
              <c:y val="-0.12888888888888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C00000"/>
          </a:solidFill>
          <a:ln w="19050">
            <a:solidFill>
              <a:schemeClr val="lt1"/>
            </a:solidFill>
          </a:ln>
          <a:effectLst>
            <a:glow rad="127000">
              <a:schemeClr val="bg1"/>
            </a:glow>
          </a:effectLst>
        </c:spPr>
        <c:dLbl>
          <c:idx val="0"/>
          <c:layout>
            <c:manualLayout>
              <c:x val="0.1"/>
              <c:y val="-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rgbClr val="00B050"/>
          </a:solidFill>
          <a:ln w="19050">
            <a:solidFill>
              <a:schemeClr val="lt1"/>
            </a:solidFill>
          </a:ln>
          <a:effectLst/>
        </c:spPr>
        <c:dLbl>
          <c:idx val="0"/>
          <c:layout>
            <c:manualLayout>
              <c:x val="0.11388888888888889"/>
              <c:y val="6.222222222222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92D050"/>
          </a:solidFill>
          <a:ln w="19050">
            <a:solidFill>
              <a:schemeClr val="lt1"/>
            </a:solidFill>
          </a:ln>
          <a:effectLst/>
        </c:spPr>
        <c:dLbl>
          <c:idx val="0"/>
          <c:layout>
            <c:manualLayout>
              <c:x val="-0.1111111111111111"/>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tx2">
              <a:lumMod val="60000"/>
              <a:lumOff val="40000"/>
            </a:schemeClr>
          </a:solidFill>
          <a:ln w="19050">
            <a:solidFill>
              <a:schemeClr val="lt1"/>
            </a:solidFill>
          </a:ln>
          <a:effectLst/>
        </c:spPr>
        <c:dLbl>
          <c:idx val="0"/>
          <c:layout>
            <c:manualLayout>
              <c:x val="-0.1388888888888889"/>
              <c:y val="-7.5000174978127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w="19050">
            <a:solidFill>
              <a:schemeClr val="lt1"/>
            </a:solidFill>
          </a:ln>
          <a:effectLst/>
        </c:spPr>
        <c:dLbl>
          <c:idx val="0"/>
          <c:layout>
            <c:manualLayout>
              <c:x val="0"/>
              <c:y val="-0.12888888888888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w="19050">
            <a:noFill/>
          </a:ln>
          <a:effectLst/>
        </c:spPr>
        <c:dLbl>
          <c:idx val="0"/>
          <c:layout>
            <c:manualLayout>
              <c:x val="7.2577696526508223E-2"/>
              <c:y val="-5.03278093940039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B050"/>
          </a:solidFill>
          <a:ln w="19050">
            <a:noFill/>
          </a:ln>
          <a:effectLst/>
        </c:spPr>
        <c:dLbl>
          <c:idx val="0"/>
          <c:layout>
            <c:manualLayout>
              <c:x val="8.6466625401258115E-2"/>
              <c:y val="5.4188982806880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2D050"/>
          </a:solidFill>
          <a:ln w="19050">
            <a:noFill/>
          </a:ln>
          <a:effectLst/>
        </c:spPr>
        <c:dLbl>
          <c:idx val="0"/>
          <c:layout>
            <c:manualLayout>
              <c:x val="-6.5407351960346818E-2"/>
              <c:y val="4.9016083885374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F0"/>
          </a:solidFill>
          <a:ln w="19050">
            <a:noFill/>
          </a:ln>
          <a:effectLst/>
        </c:spPr>
        <c:dLbl>
          <c:idx val="0"/>
          <c:layout>
            <c:manualLayout>
              <c:x val="-6.2715743713023103E-2"/>
              <c:y val="-6.46722150026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95000"/>
            </a:schemeClr>
          </a:solidFill>
          <a:ln w="19050">
            <a:noFill/>
          </a:ln>
          <a:effectLst/>
        </c:spPr>
      </c:pivotFmt>
    </c:pivotFmts>
    <c:plotArea>
      <c:layout/>
      <c:doughnutChart>
        <c:varyColors val="1"/>
        <c:ser>
          <c:idx val="0"/>
          <c:order val="0"/>
          <c:tx>
            <c:strRef>
              <c:f>'3- Pivot Table'!$H$20</c:f>
              <c:strCache>
                <c:ptCount val="1"/>
                <c:pt idx="0">
                  <c:v>Total</c:v>
                </c:pt>
              </c:strCache>
            </c:strRef>
          </c:tx>
          <c:dPt>
            <c:idx val="0"/>
            <c:bubble3D val="0"/>
            <c:spPr>
              <a:solidFill>
                <a:srgbClr val="FF0000"/>
              </a:solidFill>
              <a:ln w="19050">
                <a:noFill/>
              </a:ln>
              <a:effectLst/>
            </c:spPr>
            <c:extLst>
              <c:ext xmlns:c16="http://schemas.microsoft.com/office/drawing/2014/chart" uri="{C3380CC4-5D6E-409C-BE32-E72D297353CC}">
                <c16:uniqueId val="{00000001-C0F9-4786-AE8E-3D7AE4A21202}"/>
              </c:ext>
            </c:extLst>
          </c:dPt>
          <c:dPt>
            <c:idx val="1"/>
            <c:bubble3D val="0"/>
            <c:spPr>
              <a:solidFill>
                <a:srgbClr val="00B050"/>
              </a:solidFill>
              <a:ln w="19050">
                <a:noFill/>
              </a:ln>
              <a:effectLst/>
            </c:spPr>
            <c:extLst>
              <c:ext xmlns:c16="http://schemas.microsoft.com/office/drawing/2014/chart" uri="{C3380CC4-5D6E-409C-BE32-E72D297353CC}">
                <c16:uniqueId val="{00000003-C0F9-4786-AE8E-3D7AE4A21202}"/>
              </c:ext>
            </c:extLst>
          </c:dPt>
          <c:dPt>
            <c:idx val="2"/>
            <c:bubble3D val="0"/>
            <c:spPr>
              <a:solidFill>
                <a:srgbClr val="92D050"/>
              </a:solidFill>
              <a:ln w="19050">
                <a:noFill/>
              </a:ln>
              <a:effectLst/>
            </c:spPr>
            <c:extLst>
              <c:ext xmlns:c16="http://schemas.microsoft.com/office/drawing/2014/chart" uri="{C3380CC4-5D6E-409C-BE32-E72D297353CC}">
                <c16:uniqueId val="{00000005-C0F9-4786-AE8E-3D7AE4A21202}"/>
              </c:ext>
            </c:extLst>
          </c:dPt>
          <c:dPt>
            <c:idx val="3"/>
            <c:bubble3D val="0"/>
            <c:spPr>
              <a:solidFill>
                <a:srgbClr val="00B0F0"/>
              </a:solidFill>
              <a:ln w="19050">
                <a:noFill/>
              </a:ln>
              <a:effectLst/>
            </c:spPr>
            <c:extLst>
              <c:ext xmlns:c16="http://schemas.microsoft.com/office/drawing/2014/chart" uri="{C3380CC4-5D6E-409C-BE32-E72D297353CC}">
                <c16:uniqueId val="{00000007-C0F9-4786-AE8E-3D7AE4A21202}"/>
              </c:ext>
            </c:extLst>
          </c:dPt>
          <c:dPt>
            <c:idx val="4"/>
            <c:bubble3D val="0"/>
            <c:spPr>
              <a:solidFill>
                <a:schemeClr val="bg1">
                  <a:lumMod val="95000"/>
                </a:schemeClr>
              </a:solidFill>
              <a:ln w="19050">
                <a:noFill/>
              </a:ln>
              <a:effectLst/>
            </c:spPr>
            <c:extLst>
              <c:ext xmlns:c16="http://schemas.microsoft.com/office/drawing/2014/chart" uri="{C3380CC4-5D6E-409C-BE32-E72D297353CC}">
                <c16:uniqueId val="{00000009-C0F9-4786-AE8E-3D7AE4A21202}"/>
              </c:ext>
            </c:extLst>
          </c:dPt>
          <c:dLbls>
            <c:dLbl>
              <c:idx val="0"/>
              <c:layout>
                <c:manualLayout>
                  <c:x val="7.2577696526508223E-2"/>
                  <c:y val="-5.0327809394003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F9-4786-AE8E-3D7AE4A21202}"/>
                </c:ext>
              </c:extLst>
            </c:dLbl>
            <c:dLbl>
              <c:idx val="1"/>
              <c:layout>
                <c:manualLayout>
                  <c:x val="8.6466625401258115E-2"/>
                  <c:y val="5.41889828068802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F9-4786-AE8E-3D7AE4A21202}"/>
                </c:ext>
              </c:extLst>
            </c:dLbl>
            <c:dLbl>
              <c:idx val="2"/>
              <c:layout>
                <c:manualLayout>
                  <c:x val="-6.5407351960346818E-2"/>
                  <c:y val="4.9016083885374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F9-4786-AE8E-3D7AE4A21202}"/>
                </c:ext>
              </c:extLst>
            </c:dLbl>
            <c:dLbl>
              <c:idx val="3"/>
              <c:layout>
                <c:manualLayout>
                  <c:x val="-6.2715743713023103E-2"/>
                  <c:y val="-6.467221500262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F9-4786-AE8E-3D7AE4A212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'3- Pivot Table'!$G$21:$G$26</c:f>
              <c:strCache>
                <c:ptCount val="5"/>
                <c:pt idx="0">
                  <c:v>Critical</c:v>
                </c:pt>
                <c:pt idx="1">
                  <c:v>Discharged</c:v>
                </c:pt>
                <c:pt idx="2">
                  <c:v>Recovered</c:v>
                </c:pt>
                <c:pt idx="3">
                  <c:v>Under Treatment</c:v>
                </c:pt>
                <c:pt idx="4">
                  <c:v>Unknown</c:v>
                </c:pt>
              </c:strCache>
            </c:strRef>
          </c:cat>
          <c:val>
            <c:numRef>
              <c:f>'3- Pivot Table'!$H$21:$H$26</c:f>
              <c:numCache>
                <c:formatCode>General</c:formatCode>
                <c:ptCount val="5"/>
                <c:pt idx="0">
                  <c:v>259</c:v>
                </c:pt>
                <c:pt idx="1">
                  <c:v>235</c:v>
                </c:pt>
                <c:pt idx="2">
                  <c:v>239</c:v>
                </c:pt>
                <c:pt idx="3">
                  <c:v>262</c:v>
                </c:pt>
                <c:pt idx="4">
                  <c:v>10</c:v>
                </c:pt>
              </c:numCache>
            </c:numRef>
          </c:val>
          <c:extLst>
            <c:ext xmlns:c16="http://schemas.microsoft.com/office/drawing/2014/chart" uri="{C3380CC4-5D6E-409C-BE32-E72D297353CC}">
              <c16:uniqueId val="{0000000A-C0F9-4786-AE8E-3D7AE4A21202}"/>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[CityCareHospital_Project.xlsx]3- Pivot Table!PivotTable12</c:name>
    <c:fmtId val="21"/>
  </c:pivotSource>
  <c:chart>
    <c:title>
      <c:tx>
        <c:rich>
          <a:bodyPr rot="0" spcFirstLastPara="1" vertOverflow="ellipsis" vert="horz" wrap="square" anchor="ctr" anchorCtr="1"/>
          <a:lstStyle/>
          <a:p>
            <a:pPr>
              <a:defRPr sz="1400" b="0" i="1" u="none" strike="noStrike" kern="1200" spc="0" baseline="0">
                <a:solidFill>
                  <a:schemeClr val="bg2"/>
                </a:solidFill>
                <a:latin typeface="+mn-lt"/>
                <a:ea typeface="+mn-ea"/>
                <a:cs typeface="+mn-cs"/>
              </a:defRPr>
            </a:pPr>
            <a:r>
              <a:rPr lang="en-US" sz="1400" b="1" i="1" u="none" strike="noStrike" baseline="0">
                <a:solidFill>
                  <a:schemeClr val="bg2"/>
                </a:solidFill>
              </a:rPr>
              <a:t>Age Group by Department</a:t>
            </a:r>
            <a:endParaRPr lang="en-US" b="1" i="1">
              <a:solidFill>
                <a:schemeClr val="bg2"/>
              </a:solidFill>
            </a:endParaRPr>
          </a:p>
        </c:rich>
      </c:tx>
      <c:layout>
        <c:manualLayout>
          <c:xMode val="edge"/>
          <c:yMode val="edge"/>
          <c:x val="0.3256046267087277"/>
          <c:y val="2.5228437894194346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bg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 Pivot Table'!$B$38:$B$39</c:f>
              <c:strCache>
                <c:ptCount val="1"/>
                <c:pt idx="0">
                  <c:v>Cardiology</c:v>
                </c:pt>
              </c:strCache>
            </c:strRef>
          </c:tx>
          <c:spPr>
            <a:solidFill>
              <a:schemeClr val="accent1"/>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Table'!$B$40:$B$45</c:f>
              <c:numCache>
                <c:formatCode>General</c:formatCode>
                <c:ptCount val="5"/>
                <c:pt idx="0">
                  <c:v>5</c:v>
                </c:pt>
                <c:pt idx="1">
                  <c:v>37</c:v>
                </c:pt>
                <c:pt idx="2">
                  <c:v>15</c:v>
                </c:pt>
                <c:pt idx="3">
                  <c:v>39</c:v>
                </c:pt>
                <c:pt idx="4">
                  <c:v>37</c:v>
                </c:pt>
              </c:numCache>
            </c:numRef>
          </c:val>
          <c:extLst>
            <c:ext xmlns:c16="http://schemas.microsoft.com/office/drawing/2014/chart" uri="{C3380CC4-5D6E-409C-BE32-E72D297353CC}">
              <c16:uniqueId val="{00000000-7CF1-423D-B7DE-7E339FF1F3C2}"/>
            </c:ext>
          </c:extLst>
        </c:ser>
        <c:ser>
          <c:idx val="1"/>
          <c:order val="1"/>
          <c:tx>
            <c:strRef>
              <c:f>'3- Pivot Table'!$C$38:$C$39</c:f>
              <c:strCache>
                <c:ptCount val="1"/>
                <c:pt idx="0">
                  <c:v>Emergency</c:v>
                </c:pt>
              </c:strCache>
            </c:strRef>
          </c:tx>
          <c:spPr>
            <a:solidFill>
              <a:srgbClr val="FF0000"/>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Table'!$C$40:$C$45</c:f>
              <c:numCache>
                <c:formatCode>General</c:formatCode>
                <c:ptCount val="5"/>
                <c:pt idx="0">
                  <c:v>12</c:v>
                </c:pt>
                <c:pt idx="1">
                  <c:v>27</c:v>
                </c:pt>
                <c:pt idx="2">
                  <c:v>20</c:v>
                </c:pt>
                <c:pt idx="3">
                  <c:v>31</c:v>
                </c:pt>
                <c:pt idx="4">
                  <c:v>46</c:v>
                </c:pt>
              </c:numCache>
            </c:numRef>
          </c:val>
          <c:extLst>
            <c:ext xmlns:c16="http://schemas.microsoft.com/office/drawing/2014/chart" uri="{C3380CC4-5D6E-409C-BE32-E72D297353CC}">
              <c16:uniqueId val="{00000001-7CF1-423D-B7DE-7E339FF1F3C2}"/>
            </c:ext>
          </c:extLst>
        </c:ser>
        <c:ser>
          <c:idx val="2"/>
          <c:order val="2"/>
          <c:tx>
            <c:strRef>
              <c:f>'3- Pivot Table'!$D$38:$D$39</c:f>
              <c:strCache>
                <c:ptCount val="1"/>
                <c:pt idx="0">
                  <c:v>General</c:v>
                </c:pt>
              </c:strCache>
            </c:strRef>
          </c:tx>
          <c:spPr>
            <a:solidFill>
              <a:schemeClr val="bg1"/>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Table'!$D$40:$D$45</c:f>
              <c:numCache>
                <c:formatCode>General</c:formatCode>
                <c:ptCount val="5"/>
                <c:pt idx="0">
                  <c:v>4</c:v>
                </c:pt>
                <c:pt idx="1">
                  <c:v>37</c:v>
                </c:pt>
                <c:pt idx="2">
                  <c:v>34</c:v>
                </c:pt>
                <c:pt idx="3">
                  <c:v>31</c:v>
                </c:pt>
                <c:pt idx="4">
                  <c:v>50</c:v>
                </c:pt>
              </c:numCache>
            </c:numRef>
          </c:val>
          <c:extLst>
            <c:ext xmlns:c16="http://schemas.microsoft.com/office/drawing/2014/chart" uri="{C3380CC4-5D6E-409C-BE32-E72D297353CC}">
              <c16:uniqueId val="{00000002-7CF1-423D-B7DE-7E339FF1F3C2}"/>
            </c:ext>
          </c:extLst>
        </c:ser>
        <c:ser>
          <c:idx val="3"/>
          <c:order val="3"/>
          <c:tx>
            <c:strRef>
              <c:f>'3- Pivot Table'!$E$38:$E$39</c:f>
              <c:strCache>
                <c:ptCount val="1"/>
                <c:pt idx="0">
                  <c:v>Neurology</c:v>
                </c:pt>
              </c:strCache>
            </c:strRef>
          </c:tx>
          <c:spPr>
            <a:solidFill>
              <a:schemeClr val="accent2">
                <a:lumMod val="60000"/>
                <a:lumOff val="40000"/>
              </a:schemeClr>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Table'!$E$40:$E$45</c:f>
              <c:numCache>
                <c:formatCode>General</c:formatCode>
                <c:ptCount val="5"/>
                <c:pt idx="0">
                  <c:v>9</c:v>
                </c:pt>
                <c:pt idx="1">
                  <c:v>21</c:v>
                </c:pt>
                <c:pt idx="2">
                  <c:v>28</c:v>
                </c:pt>
                <c:pt idx="3">
                  <c:v>33</c:v>
                </c:pt>
                <c:pt idx="4">
                  <c:v>47</c:v>
                </c:pt>
              </c:numCache>
            </c:numRef>
          </c:val>
          <c:extLst>
            <c:ext xmlns:c16="http://schemas.microsoft.com/office/drawing/2014/chart" uri="{C3380CC4-5D6E-409C-BE32-E72D297353CC}">
              <c16:uniqueId val="{00000003-7CF1-423D-B7DE-7E339FF1F3C2}"/>
            </c:ext>
          </c:extLst>
        </c:ser>
        <c:ser>
          <c:idx val="4"/>
          <c:order val="4"/>
          <c:tx>
            <c:strRef>
              <c:f>'3- Pivot Table'!$F$38:$F$39</c:f>
              <c:strCache>
                <c:ptCount val="1"/>
                <c:pt idx="0">
                  <c:v>Oncology</c:v>
                </c:pt>
              </c:strCache>
            </c:strRef>
          </c:tx>
          <c:spPr>
            <a:solidFill>
              <a:schemeClr val="accent5">
                <a:lumMod val="75000"/>
              </a:schemeClr>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Table'!$F$40:$F$45</c:f>
              <c:numCache>
                <c:formatCode>General</c:formatCode>
                <c:ptCount val="5"/>
                <c:pt idx="0">
                  <c:v>7</c:v>
                </c:pt>
                <c:pt idx="1">
                  <c:v>21</c:v>
                </c:pt>
                <c:pt idx="2">
                  <c:v>23</c:v>
                </c:pt>
                <c:pt idx="3">
                  <c:v>33</c:v>
                </c:pt>
                <c:pt idx="4">
                  <c:v>51</c:v>
                </c:pt>
              </c:numCache>
            </c:numRef>
          </c:val>
          <c:extLst>
            <c:ext xmlns:c16="http://schemas.microsoft.com/office/drawing/2014/chart" uri="{C3380CC4-5D6E-409C-BE32-E72D297353CC}">
              <c16:uniqueId val="{00000004-7CF1-423D-B7DE-7E339FF1F3C2}"/>
            </c:ext>
          </c:extLst>
        </c:ser>
        <c:ser>
          <c:idx val="5"/>
          <c:order val="5"/>
          <c:tx>
            <c:strRef>
              <c:f>'3- Pivot Table'!$G$38:$G$39</c:f>
              <c:strCache>
                <c:ptCount val="1"/>
                <c:pt idx="0">
                  <c:v>Orthopedics</c:v>
                </c:pt>
              </c:strCache>
            </c:strRef>
          </c:tx>
          <c:spPr>
            <a:solidFill>
              <a:srgbClr val="92D050"/>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Table'!$G$40:$G$45</c:f>
              <c:numCache>
                <c:formatCode>General</c:formatCode>
                <c:ptCount val="5"/>
                <c:pt idx="0">
                  <c:v>6</c:v>
                </c:pt>
                <c:pt idx="1">
                  <c:v>32</c:v>
                </c:pt>
                <c:pt idx="2">
                  <c:v>33</c:v>
                </c:pt>
                <c:pt idx="3">
                  <c:v>32</c:v>
                </c:pt>
                <c:pt idx="4">
                  <c:v>46</c:v>
                </c:pt>
              </c:numCache>
            </c:numRef>
          </c:val>
          <c:extLst>
            <c:ext xmlns:c16="http://schemas.microsoft.com/office/drawing/2014/chart" uri="{C3380CC4-5D6E-409C-BE32-E72D297353CC}">
              <c16:uniqueId val="{00000005-7CF1-423D-B7DE-7E339FF1F3C2}"/>
            </c:ext>
          </c:extLst>
        </c:ser>
        <c:ser>
          <c:idx val="6"/>
          <c:order val="6"/>
          <c:tx>
            <c:strRef>
              <c:f>'3- Pivot Table'!$H$38:$H$39</c:f>
              <c:strCache>
                <c:ptCount val="1"/>
                <c:pt idx="0">
                  <c:v>Pediatrics</c:v>
                </c:pt>
              </c:strCache>
            </c:strRef>
          </c:tx>
          <c:spPr>
            <a:solidFill>
              <a:srgbClr val="FF5050"/>
            </a:solidFill>
            <a:ln>
              <a:noFill/>
            </a:ln>
            <a:effectLst/>
          </c:spPr>
          <c:invertIfNegative val="0"/>
          <c:cat>
            <c:strRef>
              <c:f>'3- Pivot Table'!$A$40:$A$45</c:f>
              <c:strCache>
                <c:ptCount val="5"/>
                <c:pt idx="0">
                  <c:v>Unknown</c:v>
                </c:pt>
                <c:pt idx="1">
                  <c:v>Middle Age</c:v>
                </c:pt>
                <c:pt idx="2">
                  <c:v>Child</c:v>
                </c:pt>
                <c:pt idx="3">
                  <c:v>Young Adult</c:v>
                </c:pt>
                <c:pt idx="4">
                  <c:v>Senior</c:v>
                </c:pt>
              </c:strCache>
            </c:strRef>
          </c:cat>
          <c:val>
            <c:numRef>
              <c:f>'3- Pivot Table'!$H$40:$H$45</c:f>
              <c:numCache>
                <c:formatCode>General</c:formatCode>
                <c:ptCount val="5"/>
                <c:pt idx="0">
                  <c:v>8</c:v>
                </c:pt>
                <c:pt idx="1">
                  <c:v>29</c:v>
                </c:pt>
                <c:pt idx="2">
                  <c:v>30</c:v>
                </c:pt>
                <c:pt idx="3">
                  <c:v>46</c:v>
                </c:pt>
                <c:pt idx="4">
                  <c:v>45</c:v>
                </c:pt>
              </c:numCache>
            </c:numRef>
          </c:val>
          <c:extLst>
            <c:ext xmlns:c16="http://schemas.microsoft.com/office/drawing/2014/chart" uri="{C3380CC4-5D6E-409C-BE32-E72D297353CC}">
              <c16:uniqueId val="{00000006-7CF1-423D-B7DE-7E339FF1F3C2}"/>
            </c:ext>
          </c:extLst>
        </c:ser>
        <c:dLbls>
          <c:showLegendKey val="0"/>
          <c:showVal val="0"/>
          <c:showCatName val="0"/>
          <c:showSerName val="0"/>
          <c:showPercent val="0"/>
          <c:showBubbleSize val="0"/>
        </c:dLbls>
        <c:gapWidth val="219"/>
        <c:axId val="981326576"/>
        <c:axId val="981330416"/>
      </c:barChart>
      <c:catAx>
        <c:axId val="98132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1330416"/>
        <c:crosses val="autoZero"/>
        <c:auto val="1"/>
        <c:lblAlgn val="ctr"/>
        <c:lblOffset val="100"/>
        <c:noMultiLvlLbl val="0"/>
      </c:catAx>
      <c:valAx>
        <c:axId val="98133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132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99060</xdr:colOff>
      <xdr:row>4</xdr:row>
      <xdr:rowOff>45720</xdr:rowOff>
    </xdr:from>
    <xdr:to>
      <xdr:col>7</xdr:col>
      <xdr:colOff>403860</xdr:colOff>
      <xdr:row>19</xdr:row>
      <xdr:rowOff>45720</xdr:rowOff>
    </xdr:to>
    <xdr:graphicFrame macro="">
      <xdr:nvGraphicFramePr>
        <xdr:cNvPr id="2" name="Chart 1">
          <a:extLst>
            <a:ext uri="{FF2B5EF4-FFF2-40B4-BE49-F238E27FC236}">
              <a16:creationId xmlns:a16="http://schemas.microsoft.com/office/drawing/2014/main" id="{3E286729-E7D6-46E7-BD9A-646ABFDDA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4</xdr:row>
      <xdr:rowOff>30480</xdr:rowOff>
    </xdr:from>
    <xdr:to>
      <xdr:col>15</xdr:col>
      <xdr:colOff>396240</xdr:colOff>
      <xdr:row>19</xdr:row>
      <xdr:rowOff>30480</xdr:rowOff>
    </xdr:to>
    <xdr:graphicFrame macro="">
      <xdr:nvGraphicFramePr>
        <xdr:cNvPr id="3" name="Chart 2">
          <a:extLst>
            <a:ext uri="{FF2B5EF4-FFF2-40B4-BE49-F238E27FC236}">
              <a16:creationId xmlns:a16="http://schemas.microsoft.com/office/drawing/2014/main" id="{3465CC5F-6270-405A-9CC7-533660A05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45720</xdr:rowOff>
    </xdr:from>
    <xdr:to>
      <xdr:col>7</xdr:col>
      <xdr:colOff>342900</xdr:colOff>
      <xdr:row>35</xdr:row>
      <xdr:rowOff>45720</xdr:rowOff>
    </xdr:to>
    <xdr:graphicFrame macro="">
      <xdr:nvGraphicFramePr>
        <xdr:cNvPr id="4" name="Chart 3">
          <a:extLst>
            <a:ext uri="{FF2B5EF4-FFF2-40B4-BE49-F238E27FC236}">
              <a16:creationId xmlns:a16="http://schemas.microsoft.com/office/drawing/2014/main" id="{A304B59F-4133-406A-9FCF-C04EF40CF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175260</xdr:colOff>
      <xdr:row>4</xdr:row>
      <xdr:rowOff>22861</xdr:rowOff>
    </xdr:from>
    <xdr:to>
      <xdr:col>24</xdr:col>
      <xdr:colOff>480060</xdr:colOff>
      <xdr:row>19</xdr:row>
      <xdr:rowOff>30481</xdr:rowOff>
    </xdr:to>
    <xdr:graphicFrame macro="">
      <xdr:nvGraphicFramePr>
        <xdr:cNvPr id="5" name="Chart 4">
          <a:extLst>
            <a:ext uri="{FF2B5EF4-FFF2-40B4-BE49-F238E27FC236}">
              <a16:creationId xmlns:a16="http://schemas.microsoft.com/office/drawing/2014/main" id="{ECD4F82B-E8B1-4C6B-A902-0CC70B4CB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68580</xdr:colOff>
      <xdr:row>20</xdr:row>
      <xdr:rowOff>45720</xdr:rowOff>
    </xdr:from>
    <xdr:to>
      <xdr:col>15</xdr:col>
      <xdr:colOff>373380</xdr:colOff>
      <xdr:row>35</xdr:row>
      <xdr:rowOff>114300</xdr:rowOff>
    </xdr:to>
    <xdr:graphicFrame macro="">
      <xdr:nvGraphicFramePr>
        <xdr:cNvPr id="6" name="Chart 5">
          <a:extLst>
            <a:ext uri="{FF2B5EF4-FFF2-40B4-BE49-F238E27FC236}">
              <a16:creationId xmlns:a16="http://schemas.microsoft.com/office/drawing/2014/main" id="{AE196C3A-964D-4792-A291-19E4E0183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167640</xdr:colOff>
      <xdr:row>20</xdr:row>
      <xdr:rowOff>60960</xdr:rowOff>
    </xdr:from>
    <xdr:to>
      <xdr:col>24</xdr:col>
      <xdr:colOff>495300</xdr:colOff>
      <xdr:row>35</xdr:row>
      <xdr:rowOff>152400</xdr:rowOff>
    </xdr:to>
    <xdr:graphicFrame macro="">
      <xdr:nvGraphicFramePr>
        <xdr:cNvPr id="7" name="Chart 6">
          <a:extLst>
            <a:ext uri="{FF2B5EF4-FFF2-40B4-BE49-F238E27FC236}">
              <a16:creationId xmlns:a16="http://schemas.microsoft.com/office/drawing/2014/main" id="{C208A881-502F-4BC9-B4D0-082F901A0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53340</xdr:colOff>
      <xdr:row>37</xdr:row>
      <xdr:rowOff>68580</xdr:rowOff>
    </xdr:from>
    <xdr:to>
      <xdr:col>7</xdr:col>
      <xdr:colOff>358140</xdr:colOff>
      <xdr:row>53</xdr:row>
      <xdr:rowOff>160020</xdr:rowOff>
    </xdr:to>
    <xdr:graphicFrame macro="">
      <xdr:nvGraphicFramePr>
        <xdr:cNvPr id="9" name="Chart 8">
          <a:extLst>
            <a:ext uri="{FF2B5EF4-FFF2-40B4-BE49-F238E27FC236}">
              <a16:creationId xmlns:a16="http://schemas.microsoft.com/office/drawing/2014/main" id="{1476EC9B-16BF-4714-9B0D-3AF790881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22860</xdr:colOff>
      <xdr:row>37</xdr:row>
      <xdr:rowOff>91440</xdr:rowOff>
    </xdr:from>
    <xdr:to>
      <xdr:col>15</xdr:col>
      <xdr:colOff>365760</xdr:colOff>
      <xdr:row>53</xdr:row>
      <xdr:rowOff>160020</xdr:rowOff>
    </xdr:to>
    <xdr:graphicFrame macro="">
      <xdr:nvGraphicFramePr>
        <xdr:cNvPr id="10" name="Chart 9">
          <a:extLst>
            <a:ext uri="{FF2B5EF4-FFF2-40B4-BE49-F238E27FC236}">
              <a16:creationId xmlns:a16="http://schemas.microsoft.com/office/drawing/2014/main" id="{D11BC482-C8D1-45F0-AD98-863AB9CCE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182880</xdr:colOff>
      <xdr:row>37</xdr:row>
      <xdr:rowOff>152400</xdr:rowOff>
    </xdr:from>
    <xdr:to>
      <xdr:col>24</xdr:col>
      <xdr:colOff>525780</xdr:colOff>
      <xdr:row>53</xdr:row>
      <xdr:rowOff>160020</xdr:rowOff>
    </xdr:to>
    <xdr:graphicFrame macro="">
      <xdr:nvGraphicFramePr>
        <xdr:cNvPr id="8" name="Chart 7">
          <a:extLst>
            <a:ext uri="{FF2B5EF4-FFF2-40B4-BE49-F238E27FC236}">
              <a16:creationId xmlns:a16="http://schemas.microsoft.com/office/drawing/2014/main" id="{84CE1F16-E959-461C-B3F1-55581701E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53341</xdr:colOff>
      <xdr:row>16</xdr:row>
      <xdr:rowOff>17145</xdr:rowOff>
    </xdr:from>
    <xdr:to>
      <xdr:col>6</xdr:col>
      <xdr:colOff>53341</xdr:colOff>
      <xdr:row>25</xdr:row>
      <xdr:rowOff>53340</xdr:rowOff>
    </xdr:to>
    <xdr:graphicFrame macro="">
      <xdr:nvGraphicFramePr>
        <xdr:cNvPr id="2" name="Chart 1">
          <a:extLst>
            <a:ext uri="{FF2B5EF4-FFF2-40B4-BE49-F238E27FC236}">
              <a16:creationId xmlns:a16="http://schemas.microsoft.com/office/drawing/2014/main" id="{1C0A00FE-E40F-45C4-8E2B-96259D75C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352425</xdr:colOff>
      <xdr:row>16</xdr:row>
      <xdr:rowOff>15240</xdr:rowOff>
    </xdr:from>
    <xdr:to>
      <xdr:col>13</xdr:col>
      <xdr:colOff>478155</xdr:colOff>
      <xdr:row>25</xdr:row>
      <xdr:rowOff>76200</xdr:rowOff>
    </xdr:to>
    <xdr:graphicFrame macro="">
      <xdr:nvGraphicFramePr>
        <xdr:cNvPr id="3" name="Chart 2">
          <a:extLst>
            <a:ext uri="{FF2B5EF4-FFF2-40B4-BE49-F238E27FC236}">
              <a16:creationId xmlns:a16="http://schemas.microsoft.com/office/drawing/2014/main" id="{367C478C-990D-4013-BC09-D5692752D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xdr:colOff>
      <xdr:row>28</xdr:row>
      <xdr:rowOff>47625</xdr:rowOff>
    </xdr:from>
    <xdr:to>
      <xdr:col>6</xdr:col>
      <xdr:colOff>38100</xdr:colOff>
      <xdr:row>41</xdr:row>
      <xdr:rowOff>68580</xdr:rowOff>
    </xdr:to>
    <xdr:graphicFrame macro="">
      <xdr:nvGraphicFramePr>
        <xdr:cNvPr id="4" name="Chart 3">
          <a:extLst>
            <a:ext uri="{FF2B5EF4-FFF2-40B4-BE49-F238E27FC236}">
              <a16:creationId xmlns:a16="http://schemas.microsoft.com/office/drawing/2014/main" id="{7D9B2270-2455-490B-8A2E-35725D659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243839</xdr:colOff>
      <xdr:row>15</xdr:row>
      <xdr:rowOff>167642</xdr:rowOff>
    </xdr:from>
    <xdr:to>
      <xdr:col>20</xdr:col>
      <xdr:colOff>470534</xdr:colOff>
      <xdr:row>25</xdr:row>
      <xdr:rowOff>66235</xdr:rowOff>
    </xdr:to>
    <xdr:graphicFrame macro="">
      <xdr:nvGraphicFramePr>
        <xdr:cNvPr id="5" name="Chart 4">
          <a:extLst>
            <a:ext uri="{FF2B5EF4-FFF2-40B4-BE49-F238E27FC236}">
              <a16:creationId xmlns:a16="http://schemas.microsoft.com/office/drawing/2014/main" id="{2E38991E-F589-4F78-902A-75631AB2D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274320</xdr:colOff>
      <xdr:row>28</xdr:row>
      <xdr:rowOff>9525</xdr:rowOff>
    </xdr:from>
    <xdr:to>
      <xdr:col>20</xdr:col>
      <xdr:colOff>502920</xdr:colOff>
      <xdr:row>41</xdr:row>
      <xdr:rowOff>91441</xdr:rowOff>
    </xdr:to>
    <xdr:graphicFrame macro="">
      <xdr:nvGraphicFramePr>
        <xdr:cNvPr id="6" name="Chart 5">
          <a:extLst>
            <a:ext uri="{FF2B5EF4-FFF2-40B4-BE49-F238E27FC236}">
              <a16:creationId xmlns:a16="http://schemas.microsoft.com/office/drawing/2014/main" id="{6A956BEA-F5DE-4B1A-9F1C-704BDFA7B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388620</xdr:colOff>
      <xdr:row>28</xdr:row>
      <xdr:rowOff>62865</xdr:rowOff>
    </xdr:from>
    <xdr:to>
      <xdr:col>13</xdr:col>
      <xdr:colOff>472440</xdr:colOff>
      <xdr:row>41</xdr:row>
      <xdr:rowOff>91440</xdr:rowOff>
    </xdr:to>
    <xdr:graphicFrame macro="">
      <xdr:nvGraphicFramePr>
        <xdr:cNvPr id="7" name="Chart 6">
          <a:extLst>
            <a:ext uri="{FF2B5EF4-FFF2-40B4-BE49-F238E27FC236}">
              <a16:creationId xmlns:a16="http://schemas.microsoft.com/office/drawing/2014/main" id="{31C033E4-FB48-4563-8C91-476E4E09D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268605</xdr:colOff>
      <xdr:row>1</xdr:row>
      <xdr:rowOff>17145</xdr:rowOff>
    </xdr:from>
    <xdr:to>
      <xdr:col>14</xdr:col>
      <xdr:colOff>268605</xdr:colOff>
      <xdr:row>10</xdr:row>
      <xdr:rowOff>15240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FB669D8C-40EA-470F-A389-93EE034D46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041005" y="200025"/>
              <a:ext cx="1874520" cy="1735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371475</xdr:colOff>
      <xdr:row>1</xdr:row>
      <xdr:rowOff>9525</xdr:rowOff>
    </xdr:from>
    <xdr:to>
      <xdr:col>11</xdr:col>
      <xdr:colOff>196215</xdr:colOff>
      <xdr:row>10</xdr:row>
      <xdr:rowOff>22860</xdr:rowOff>
    </xdr:to>
    <mc:AlternateContent xmlns:mc="http://schemas.openxmlformats.org/markup-compatibility/2006" xmlns:a14="http://schemas.microsoft.com/office/drawing/2010/main">
      <mc:Choice Requires="a14">
        <xdr:graphicFrame macro="">
          <xdr:nvGraphicFramePr>
            <xdr:cNvPr id="9" name="Doctor 1">
              <a:extLst>
                <a:ext uri="{FF2B5EF4-FFF2-40B4-BE49-F238E27FC236}">
                  <a16:creationId xmlns:a16="http://schemas.microsoft.com/office/drawing/2014/main" id="{2010FB9D-B49E-4672-9430-139BB605380A}"/>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mlns="">
        <xdr:sp macro="" textlink="">
          <xdr:nvSpPr>
            <xdr:cNvPr id="0" name=""/>
            <xdr:cNvSpPr>
              <a:spLocks noTextEdit="1"/>
            </xdr:cNvSpPr>
          </xdr:nvSpPr>
          <xdr:spPr>
            <a:xfrm>
              <a:off x="6094095" y="192405"/>
              <a:ext cx="1874520" cy="1750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386715</xdr:colOff>
      <xdr:row>1</xdr:row>
      <xdr:rowOff>22861</xdr:rowOff>
    </xdr:from>
    <xdr:to>
      <xdr:col>17</xdr:col>
      <xdr:colOff>196215</xdr:colOff>
      <xdr:row>10</xdr:row>
      <xdr:rowOff>1</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BAFB6AAA-B387-4F41-A3CA-8DD2DF27BD6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33635" y="205741"/>
              <a:ext cx="187452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312420</xdr:colOff>
      <xdr:row>1</xdr:row>
      <xdr:rowOff>30481</xdr:rowOff>
    </xdr:from>
    <xdr:to>
      <xdr:col>20</xdr:col>
      <xdr:colOff>312420</xdr:colOff>
      <xdr:row>10</xdr:row>
      <xdr:rowOff>1</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59E46774-45A2-40F9-A2D5-9C88A820E72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024360" y="213361"/>
              <a:ext cx="187452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8.734411111109" createdVersion="8" refreshedVersion="8" minRefreshableVersion="3" recordCount="1005" xr:uid="{CC45F5BF-18E5-4C9C-9316-D232B241E738}">
  <cacheSource type="worksheet">
    <worksheetSource ref="D8:O1013" sheet="2- Clean Data"/>
  </cacheSource>
  <cacheFields count="12">
    <cacheField name="Patient Name" numFmtId="0">
      <sharedItems/>
    </cacheField>
    <cacheField name="Age" numFmtId="0">
      <sharedItems containsMixedTypes="1" containsNumber="1" containsInteger="1" minValue="1" maxValue="90"/>
    </cacheField>
    <cacheField name="Age Group" numFmtId="0">
      <sharedItems count="5">
        <s v="Young Adult"/>
        <s v="Senior"/>
        <s v="Child"/>
        <s v="Middle Age"/>
        <s v="Unknown"/>
      </sharedItems>
    </cacheField>
    <cacheField name="Gender" numFmtId="0">
      <sharedItems/>
    </cacheField>
    <cacheField name="City" numFmtId="0">
      <sharedItems/>
    </cacheField>
    <cacheField name="Department" numFmtId="0">
      <sharedItems count="7">
        <s v="Orthopedics"/>
        <s v="Oncology"/>
        <s v="Neurology"/>
        <s v="General"/>
        <s v="Pediatrics"/>
        <s v="Emergency"/>
        <s v="Cardiology"/>
      </sharedItems>
    </cacheField>
    <cacheField name="Doctor" numFmtId="0">
      <sharedItems/>
    </cacheField>
    <cacheField name="Admission date" numFmtId="164">
      <sharedItems containsSemiMixedTypes="0" containsNonDate="0" containsDate="1" containsString="0" minDate="2024-01-01T00:00:00" maxDate="2024-12-11T00:00:00"/>
    </cacheField>
    <cacheField name="Discharge date" numFmtId="164">
      <sharedItems containsSemiMixedTypes="0" containsNonDate="0" containsDate="1" containsString="0" minDate="2024-01-05T00:00:00" maxDate="2024-11-25T00:00:00"/>
    </cacheField>
    <cacheField name="Treatment Cost (PKR)" numFmtId="0">
      <sharedItems containsSemiMixedTypes="0" containsString="0" containsNumber="1" containsInteger="1" minValue="0" maxValue="100000"/>
    </cacheField>
    <cacheField name="Payment Method"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8.735253819446" missingItemsLimit="0" createdVersion="8" refreshedVersion="8" minRefreshableVersion="3" recordCount="1005" xr:uid="{A162862F-F63E-43D0-83C7-F44600532F60}">
  <cacheSource type="worksheet">
    <worksheetSource ref="C8:O1013" sheet="2- Clean Data"/>
  </cacheSource>
  <cacheFields count="14">
    <cacheField name="Patient ID" numFmtId="0">
      <sharedItems/>
    </cacheField>
    <cacheField name="Patient Name" numFmtId="0">
      <sharedItems count="488">
        <s v="Tariq Siddiqui"/>
        <s v="Hassan Ansari"/>
        <s v="Nadia Sheikh"/>
        <s v="Bilal Nawaz"/>
        <s v="Sara Mirza"/>
        <s v="Fatima Khan"/>
        <s v="Amna Niazi"/>
        <s v="Fatima Hassan"/>
        <s v="Fariha Qureshi"/>
        <s v="Asad Ahmed"/>
        <s v="Zara Ahmed"/>
        <s v="Mehwish Akhtar"/>
        <s v="Ahmed Iqbal"/>
        <s v="Hina Niazi"/>
        <s v="Sana Khan"/>
        <s v="Saima Qureshi"/>
        <s v="Imran Butt"/>
        <s v="Farhan Nawaz"/>
        <s v="Sara Ansari"/>
        <s v="Tariq Sheikh"/>
        <s v="Sana Chaudhry"/>
        <s v="Ahmed Nawaz"/>
        <s v="Zubair Khan"/>
        <s v="Omer Nawaz"/>
        <s v="Usman Nawaz"/>
        <s v="Kamran Ahmed"/>
        <s v="Tariq Hassan"/>
        <s v="Fariha Nawaz"/>
        <s v="Hamid Khan"/>
        <s v="Hassan Qureshi"/>
        <s v="Usman Sheikh"/>
        <s v="Uzma Ahmed"/>
        <s v="Uzma Niazi"/>
        <s v="Sobia Raza"/>
        <s v="Nida Qureshi"/>
        <s v="Bilal Akhtar"/>
        <s v="Hassan Ahmed"/>
        <s v="Saima Mirza"/>
        <s v="Sara Khan"/>
        <s v="Nida Nawaz"/>
        <s v="Kamran Mirza"/>
        <s v="Bilal Butt"/>
        <s v="Omer Siddiqui"/>
        <s v="Uzma Butt"/>
        <s v="Fatima Akhtar"/>
        <s v="Waqas Butt"/>
        <s v="Ahmed Chaudhry"/>
        <s v="Saima Niazi"/>
        <s v="Waqas Abbasi"/>
        <s v="Fariha Iqbal"/>
        <s v="Kamran Siddiqui"/>
        <s v="Hassan Ali"/>
        <s v="Ahmed Niazi"/>
        <s v="Zubair Chaudhry"/>
        <s v="Ali Niazi"/>
        <s v="Waqas Mirza"/>
        <s v="Nadia Akhtar"/>
        <s v="Hina Nawaz"/>
        <s v="Usman Ali"/>
        <s v="UzMalea Chaudhry"/>
        <s v="Nida Ansari"/>
        <s v="Nida Javed"/>
        <s v="Uzma Mirza"/>
        <s v="Saima Khan"/>
        <s v="Sobia Qureshi"/>
        <s v="Amna Ahmed"/>
        <s v="Amna Bhatti"/>
        <s v="Nadia Chaudhry"/>
        <s v="Rabia Khan"/>
        <s v="Imran Qureshi"/>
        <s v="Ali Malik"/>
        <s v="Asad Malik"/>
        <s v="Fariha Siddiqui"/>
        <s v="Zubair Qureshi"/>
        <s v="Saima Ahmed"/>
        <s v="Zubair Nawaz"/>
        <s v="Rabia Bhatti"/>
        <s v="Lubna Abbasi"/>
        <s v="Sana Javed"/>
        <s v="Uzma Nawaz"/>
        <s v="Sana Ahmed"/>
        <s v="Farhan Chaudhry"/>
        <s v="Fatima Sheikh"/>
        <s v="Zara Javed"/>
        <s v="Lubna Niazi"/>
        <s v="Sana Mirza"/>
        <s v="Waqas Nawaz"/>
        <s v="Tariq Akhtar"/>
        <s v="Waqas Khan"/>
        <s v="Nadia Ahmed"/>
        <s v="Asad Chaudhry"/>
        <s v="Ali Bhatti"/>
        <s v="Uzma Ansari"/>
        <s v="Hamid Raza"/>
        <s v="Hassan Chaudhry"/>
        <s v="Ahmed Ali"/>
        <s v="Tariq Niazi"/>
        <s v="Zara Butt"/>
        <s v="Amna Siddiqui"/>
        <s v="Usman Malik"/>
        <s v="Bilal Chaudhry"/>
        <s v="Mehwish Mirza"/>
        <s v="Tariq Iqbal"/>
        <s v="Fatima Niazi"/>
        <s v="Sobia Ali"/>
        <s v="Tariq Abbasi"/>
        <s v="Hamid Niazi"/>
        <s v="Usman Qureshi"/>
        <s v="Asad Ansari"/>
        <s v="Farhan Javed"/>
        <s v="Rabia Iqbal"/>
        <s v="Omer Raza"/>
        <s v="Bilal Mirza"/>
        <s v="Ahmed Bhatti"/>
        <s v="Mehwish Ahmed"/>
        <s v="Asad Javed"/>
        <s v="Omer Iqbal"/>
        <s v="Danish Ahmed"/>
        <s v="Hina Iqbal"/>
        <s v="Sana Bhatti"/>
        <s v="Kamran Butt"/>
        <s v="Imran Hassan"/>
        <s v="Kamran Iqbal"/>
        <s v="Danish Javed"/>
        <s v="Imran Raza"/>
        <s v="Saima Ali"/>
        <s v="Lubna Bhatti"/>
        <s v="Farhan Butt"/>
        <s v="Hamid Nawaz"/>
        <s v="Amna Butt"/>
        <s v="Nadia Bhatti"/>
        <s v="Farhan Niazi"/>
        <s v="Fatima Ahmed"/>
        <s v="Hamid Mirza"/>
        <s v="Ahmed Raza"/>
        <s v="Danish Nawaz"/>
        <s v="Mehwish Butt"/>
        <s v="Lubna Malik"/>
        <s v="Danish Chaudhry"/>
        <s v="Fariha Niazi"/>
        <s v="Usman Mirza"/>
        <s v="Hassan Nawaz"/>
        <s v="Amna Akhtar"/>
        <s v="Femaleatima Malik"/>
        <s v="Tariq Khan"/>
        <s v="Ali Iqbal"/>
        <s v="Ali Akhtar"/>
        <s v="Uzma Malik"/>
        <s v="Uzma Khan"/>
        <s v="Fatima Qureshi"/>
        <s v="Fatima Ali"/>
        <s v="Mehwish Qureshi"/>
        <s v="Usman Iqbal"/>
        <s v="Zubair Javed"/>
        <s v="Hassan Abbasi"/>
        <s v="Danish Mirza"/>
        <s v="Hina Abbasi"/>
        <s v="Sobia Chaudhry"/>
        <s v="Hamid Ahmed"/>
        <s v="Fariha Bhatti"/>
        <s v="Ahmed Mirza"/>
        <s v="Waqas Qureshi"/>
        <s v="Mehwish Niazi"/>
        <s v="Sana Ansari"/>
        <s v="Nadia Nawaz"/>
        <s v="Asad Mirza"/>
        <s v="Rabia Chaudhry"/>
        <s v="Farhan Hassan"/>
        <s v="Imran Bhatti"/>
        <s v="Uzma Chaudhry"/>
        <s v="Farhan Bhatti"/>
        <s v="Usman Khan"/>
        <s v="Imran Javed"/>
        <s v="Tariq Ali"/>
        <s v="Hina Mirza"/>
        <s v="Sana Butt"/>
        <s v="Bilal Qureshi"/>
        <s v="Imran Niazi"/>
        <s v="Farhan Malik"/>
        <s v="Sobia Ansari"/>
        <s v="Femaleatima Ali"/>
        <s v="Nadia Niazi"/>
        <s v="Asad Ali"/>
        <s v="Hamid Ansari"/>
        <s v="Omer Khan"/>
        <s v="Waqas Sheikh"/>
        <s v="Nadia Qureshi"/>
        <s v="Sana Raza"/>
        <s v="Asad Niazi"/>
        <s v="Sara Akhtar"/>
        <s v="Hina Sheikh"/>
        <s v="Zara Ali"/>
        <s v="Zubair Ahmed"/>
        <s v="Sara Bhatti"/>
        <s v="Hamid Sheikh"/>
        <s v="Zubair Mirza"/>
        <s v="Fatima Iqbal"/>
        <s v="Nida Ali"/>
        <s v="Uzma Raza"/>
        <s v="Danish Butt"/>
        <s v="Saima Butt"/>
        <s v="Nida Ahmed"/>
        <s v="Sobia Iqbal"/>
        <s v="Sobia Siddiqui"/>
        <s v="Zara Chaudhry"/>
        <s v="Hassan Iqbal"/>
        <s v="Hassan Mirza"/>
        <s v="Kamran Niazi"/>
        <s v="Kamran Malik"/>
        <s v="Imran Sheikh"/>
        <s v="Usman Abbasi"/>
        <s v="Hassan Butt"/>
        <s v="Bilal Hassan"/>
        <s v="Hamid Akhtar"/>
        <s v="Waqas Iqbal"/>
        <s v="Hina Malik"/>
        <s v="Sana Abbasi"/>
        <s v="Nida Iqbal"/>
        <s v="Fariha Butt"/>
        <s v="Sara Ahmed"/>
        <s v="Imran Akhtar"/>
        <s v="Fatima Malik"/>
        <s v="Nadia Iqbal"/>
        <s v="Nida Hassan"/>
        <s v="Waqas Raza"/>
        <s v="Kamran Ansari"/>
        <s v="Omer Bhatti"/>
        <s v="Sana Niazi"/>
        <s v="Usman Javed"/>
        <s v="Mehwish Siddiqui"/>
        <s v="Saima Siddiqui"/>
        <s v="Uzma Hassan"/>
        <s v="Nida Chaudhry"/>
        <s v="Imran Ansari"/>
        <s v="Hina Khan"/>
        <s v="Farhan Khan"/>
        <s v="Sara Iqbal"/>
        <s v="Fatima Bhatti"/>
        <s v="Amna Sheikh"/>
        <s v="Mehwish Nawaz"/>
        <s v="Rabia Hassan"/>
        <s v="Tariq Javed"/>
        <s v="Imran Nawaz"/>
        <s v="Bilal Siddiqui"/>
        <s v="Ali Ali"/>
        <s v="Zara Abbasi"/>
        <s v="Nida Siddiqui"/>
        <s v="Saima Hassan"/>
        <s v="Zara Nawaz"/>
        <s v="Ali Siddiqui"/>
        <s v="Sara Malik"/>
        <s v="Zara Malik"/>
        <s v="Danish Hassan"/>
        <s v="Sana Sheikh"/>
        <s v="Zara Siddiqui"/>
        <s v="Amna Mirza"/>
        <s v="Sara Sheikh"/>
        <s v="Hamid Bhatti"/>
        <s v="Amna Nawaz"/>
        <s v="Waqas Siddiqui"/>
        <s v="Bilal Sheikh"/>
        <s v="Imran Malik"/>
        <s v="Ali Sheikh"/>
        <s v="Saima Ansari"/>
        <s v="Bilal Niazi"/>
        <s v="Bilal Bhatti"/>
        <s v="Farhan Ansari"/>
        <s v="Zubair Sheikh"/>
        <s v="Fariha Chaudhry"/>
        <s v="Usman Ahmed"/>
        <s v="Hassan Malik"/>
        <s v="Sara Abbasi"/>
        <s v="Kamran Sheikh"/>
        <s v="Sana Akhtar"/>
        <s v="Farhan Sheikh"/>
        <s v="Hamid Abbasi"/>
        <s v="Lubna Raza"/>
        <s v="Uzma Sheikh"/>
        <s v="Ahmed Malik"/>
        <s v="Nadia Maleirza"/>
        <s v="Waqas Chaudhry"/>
        <s v="Sana Nawaz"/>
        <s v="Zubair Raza"/>
        <s v="Sobia Nawaz"/>
        <s v="Fariha Raza"/>
        <s v="Ali Ahmed"/>
        <s v="Fariha Javed"/>
        <s v="Danish Abbasi"/>
        <s v="Nadia Ansari"/>
        <s v="Usman Butt"/>
        <s v="Mehwish Abbasi"/>
        <s v="Sobia Mirza"/>
        <s v="Hassan Akhtar"/>
        <s v="Lubna Qureshi"/>
        <s v="Zara Khan"/>
        <s v="Sara Chaudhry"/>
        <s v="Kamran Raza"/>
        <s v="Ali Chaudhry"/>
        <s v="Sana Qureshi"/>
        <s v="Waqas Javed"/>
        <s v="Zara Hassan"/>
        <s v="Sara Butt"/>
        <s v="Tariq Ansari"/>
        <s v="Farhan Akhtar"/>
        <s v="Lubna Akhtar"/>
        <s v="Zara Mirza"/>
        <s v="AMalena Ansari"/>
        <s v="Sana Siddiqui"/>
        <s v="Femaleariha Raza"/>
        <s v="Mehwish Hassan"/>
        <s v="Amna Hassan"/>
        <s v="Kamran Chaudhry"/>
        <s v="Hamid Qureshi"/>
        <s v="Nadia Ali"/>
        <s v="Sobia AhMaleed"/>
        <s v="Zubair Iqbal"/>
        <s v="Amna Qureshi"/>
        <s v="Nida Bhatti"/>
        <s v="Bilal Ansari"/>
        <s v="Omer Ali"/>
        <s v="Asad Bhatti"/>
        <s v="Hina Butt"/>
        <s v="UzMalea Iqbal"/>
        <s v="Uzma Iqbal"/>
        <s v="Nadia Siddiqui"/>
        <s v="Tariq Bhatti"/>
        <s v="Omer Niazi"/>
        <s v="Mehwish Javed"/>
        <s v="Sobia Malik"/>
        <s v="Tariq Chaudhry"/>
        <s v="Farhan Qureshi"/>
        <s v="Hamid Butt"/>
        <s v="Amna Khan"/>
        <s v="Farhan Mirza"/>
        <s v="Kamran Qureshi"/>
        <s v="Zara Ansari"/>
        <s v="Fatima Nawaz"/>
        <s v="Bilal Javed"/>
        <s v="Uzma Abbasi"/>
        <s v="Hassan Javed"/>
        <s v="Bilal Iqbal"/>
        <s v="Mehwish Chaudhry"/>
        <s v="Zubair Ali"/>
        <s v="Mehwish Ali"/>
        <s v="Hamid Javed"/>
        <s v="Nadia Hassan"/>
        <s v="Sobia Khan"/>
        <s v="Rabia Niazi"/>
        <s v="Nadia Javed"/>
        <s v="Nida Butt"/>
        <s v="Lubna Ansari"/>
        <s v="Fatima Ansari"/>
        <s v="Amna Ansari"/>
        <s v="Ali Raza"/>
        <s v="Lubna Chaudhry"/>
        <s v="Saima Iqbal"/>
        <s v="Rabia Javed"/>
        <s v="AhMaleed Iqbal"/>
        <s v="Mehwish Bhatti"/>
        <s v="Sana Ali"/>
        <s v="Asad Butt"/>
        <s v="Sara Niazi"/>
        <s v="Nadia Mirza"/>
        <s v="Nida Akhtar"/>
        <s v="Sana Iqbal"/>
        <s v="Ali Abbasi"/>
        <s v="Fariha Hassan"/>
        <s v="Waqas Malik"/>
        <s v="Fariha Ahmed"/>
        <s v="Tariq Qureshi"/>
        <s v="Ahmed Siddiqui"/>
        <s v="Hina Raza"/>
        <s v="Kamran Akhtar"/>
        <s v="Sana Malik"/>
        <s v="Sara Hassan"/>
        <s v="Hamid Ali"/>
        <s v="Bilal Malik"/>
        <s v="Asad Iqbal"/>
        <s v="Ali Javed"/>
        <s v="Asad Nawaz"/>
        <s v="Imran Ali"/>
        <s v="Fariha Sheikh"/>
        <s v="Amna Ali"/>
        <s v="Nida Abbasi"/>
        <s v="Imran Ahmed"/>
        <s v="Kamran Javed"/>
        <s v="Rabia Ahmed"/>
        <s v="Asad Akhtar"/>
        <s v="Waqas Ahmed"/>
        <s v="Imran Chaudhry"/>
        <s v="Saima Malik"/>
        <s v="Omer Akhtar"/>
        <s v="Saima Nawaz"/>
        <s v="Sara Raza"/>
        <s v="Rabia Mirza"/>
        <s v="Ali Mirza"/>
        <s v="Nida Raza"/>
        <s v="Zara Raza"/>
        <s v="Omer Sheikh"/>
        <s v="Nadia Raza"/>
        <s v="Lubna Iqbal"/>
        <s v="Amna Abbasi"/>
        <s v="Nida Sheikh"/>
        <s v="Rabia Nawaz"/>
        <s v="Hassan Bhatti"/>
        <s v="Zubair Malik"/>
        <s v="Waqas Ansari"/>
        <s v="Danish Qureshi"/>
        <s v="Danish Raza"/>
        <s v="Danish Akhtar"/>
        <s v="Hamid Hassan"/>
        <s v="Ali Hassan"/>
        <s v="Lubna Nawaz"/>
        <s v="Ali Ansari"/>
        <s v="Asad Khan"/>
        <s v="Mehwish Iqbal"/>
        <s v="Omer Mirza"/>
        <s v="Mehwish Raza"/>
        <s v="Danish Khan"/>
        <s v="Danish Bhatti"/>
        <s v="Sobia Butt"/>
        <s v="Rabia Ansari"/>
        <s v="Danish Ali"/>
        <s v="UsMalean Niazi"/>
        <s v="Hamid Malik"/>
        <s v="Usman Siddiqui"/>
        <s v="Fatima Mirza"/>
        <s v="Farhan Abbasi"/>
        <s v="Nadia Malik"/>
        <s v="Kamran Ali"/>
        <s v="Bilal Ali"/>
        <s v="Sobia Akhtar"/>
        <s v="Sara Siddiqui"/>
        <s v="Tariq Ahmed"/>
        <s v="Fatima Abbasi"/>
        <s v="Tariq Butt"/>
        <s v="Usman Raza"/>
        <s v="Waqas Niazi"/>
        <s v="Rabia Siddiqui"/>
        <s v="Sobia Sheikh"/>
        <s v="Kamran Khan"/>
        <s v="Sara Ali"/>
        <s v="Rabia Sheikh"/>
        <s v="Nida Khan"/>
        <s v="Waqas Akhtar"/>
        <s v="Lubna Khan"/>
        <s v="Fariha Abbasi"/>
        <s v="Mehwish Sheikh"/>
        <s v="Sobia Niazi"/>
        <s v="Zubair Niazi"/>
        <s v="Zara Iqbal"/>
        <s v="Asad Sheikh"/>
        <s v="Tariq Nawaz"/>
        <s v="Hina Bhatti"/>
        <s v="Bilal Abbasi"/>
        <s v="Imran Siddiqui"/>
        <s v="Farhan Raza"/>
        <s v="Uzma Qureshi"/>
        <s v="Saima Raza"/>
        <s v="Nida Malik"/>
        <s v="Zara Bhatti"/>
        <s v="Imran Khan"/>
        <s v="Lubna Siddiqui"/>
        <s v="Asad Raza"/>
        <s v="Tariq Raza"/>
        <s v="Lubna Mirza"/>
        <s v="Fariha Malik"/>
        <s v="Hassan Hassan"/>
        <s v="Hassan Siddiqui"/>
        <s v="Uzma Akhtar"/>
        <s v="Waqas Ali"/>
        <s v="Fatima Javed"/>
        <s v="Fatima Chaudhry"/>
        <s v="Omer Qureshi"/>
        <s v="Amna Malik"/>
        <s v="Sara Javed"/>
        <s v="Imran Mirza"/>
        <s v="Bilal Ahmed"/>
        <s v="Usman Akhtar"/>
        <s v="Zara Niazi"/>
        <s v="Zubair Siddiqui"/>
        <s v="Hina Qureshi"/>
        <s v="Zubair Butt"/>
        <s v="Sana Hassan"/>
        <s v="Saima Bhatti"/>
        <s v="Ali Qureshi"/>
        <s v="Kamran Bhatti"/>
        <s v="Zubair Ansari"/>
      </sharedItems>
    </cacheField>
    <cacheField name="Age" numFmtId="0">
      <sharedItems containsMixedTypes="1" containsNumber="1" containsInteger="1" minValue="1" maxValue="90"/>
    </cacheField>
    <cacheField name="Age Group" numFmtId="0">
      <sharedItems count="5">
        <s v="Young Adult"/>
        <s v="Senior"/>
        <s v="Child"/>
        <s v="Middle Age"/>
        <s v="Unknown"/>
      </sharedItems>
    </cacheField>
    <cacheField name="Gender" numFmtId="0">
      <sharedItems count="3">
        <s v="Male"/>
        <s v="Female"/>
        <s v="Unknown"/>
      </sharedItems>
    </cacheField>
    <cacheField name="City" numFmtId="0">
      <sharedItems count="8">
        <s v="Lahore"/>
        <s v="Faisalabad"/>
        <s v="Karachi"/>
        <s v="Multan"/>
        <s v="Islamabad"/>
        <s v="Peshawar"/>
        <s v="Quetta"/>
        <s v="Unknown"/>
      </sharedItems>
    </cacheField>
    <cacheField name="Department" numFmtId="0">
      <sharedItems count="7">
        <s v="Orthopedics"/>
        <s v="Oncology"/>
        <s v="Neurology"/>
        <s v="General"/>
        <s v="Pediatrics"/>
        <s v="Emergency"/>
        <s v="Cardiology"/>
      </sharedItems>
    </cacheField>
    <cacheField name="Doctor" numFmtId="0">
      <sharedItems count="8">
        <s v="Dr. Ayesha"/>
        <s v="Dr. Tariq"/>
        <s v="Dr. Imran"/>
        <s v="Dr. Farah"/>
        <s v="Dr. Sana"/>
        <s v="Dr. Zubair"/>
        <s v="Dr. Khalid"/>
        <s v="Dr. Laiba"/>
      </sharedItems>
    </cacheField>
    <cacheField name="Admission date" numFmtId="164">
      <sharedItems containsSemiMixedTypes="0" containsNonDate="0" containsDate="1" containsString="0" minDate="2024-01-01T00:00:00" maxDate="2024-12-11T00:00:00" count="295">
        <d v="2024-02-14T00:00:00"/>
        <d v="2024-07-17T00:00:00"/>
        <d v="2024-11-02T00:00:00"/>
        <d v="2024-08-14T00:00:00"/>
        <d v="2024-07-26T00:00:00"/>
        <d v="2024-01-29T00:00:00"/>
        <d v="2024-07-28T00:00:00"/>
        <d v="2024-04-05T00:00:00"/>
        <d v="2024-07-23T00:00:00"/>
        <d v="2024-06-08T00:00:00"/>
        <d v="2024-06-03T00:00:00"/>
        <d v="2024-08-13T00:00:00"/>
        <d v="2024-08-04T00:00:00"/>
        <d v="2024-02-27T00:00:00"/>
        <d v="2024-08-15T00:00:00"/>
        <d v="2024-02-23T00:00:00"/>
        <d v="2024-10-21T00:00:00"/>
        <d v="2024-08-16T00:00:00"/>
        <d v="2024-07-14T00:00:00"/>
        <d v="2024-06-17T00:00:00"/>
        <d v="2024-12-06T00:00:00"/>
        <d v="2024-04-27T00:00:00"/>
        <d v="2024-05-19T00:00:00"/>
        <d v="2024-02-11T00:00:00"/>
        <d v="2024-07-13T00:00:00"/>
        <d v="2024-02-26T00:00:00"/>
        <d v="2024-02-06T00:00:00"/>
        <d v="2024-07-02T00:00:00"/>
        <d v="2024-11-07T00:00:00"/>
        <d v="2024-04-26T00:00:00"/>
        <d v="2024-02-18T00:00:00"/>
        <d v="2024-10-23T00:00:00"/>
        <d v="2024-04-29T00:00:00"/>
        <d v="2024-10-20T00:00:00"/>
        <d v="2024-03-29T00:00:00"/>
        <d v="2024-07-21T00:00:00"/>
        <d v="2024-01-16T00:00:00"/>
        <d v="2024-10-05T00:00:00"/>
        <d v="2024-05-06T00:00:00"/>
        <d v="2024-04-18T00:00:00"/>
        <d v="2024-08-07T00:00:00"/>
        <d v="2024-01-18T00:00:00"/>
        <d v="2024-08-20T00:00:00"/>
        <d v="2024-07-01T00:00:00"/>
        <d v="2024-04-04T00:00:00"/>
        <d v="2024-03-22T00:00:00"/>
        <d v="2024-05-28T00:00:00"/>
        <d v="2024-05-25T00:00:00"/>
        <d v="2024-05-08T00:00:00"/>
        <d v="2024-12-05T00:00:00"/>
        <d v="2024-01-06T00:00:00"/>
        <d v="2024-01-23T00:00:00"/>
        <d v="2024-06-26T00:00:00"/>
        <d v="2024-01-24T00:00:00"/>
        <d v="2024-02-21T00:00:00"/>
        <d v="2024-03-30T00:00:00"/>
        <d v="2024-12-07T00:00:00"/>
        <d v="2024-09-06T00:00:00"/>
        <d v="2024-07-03T00:00:00"/>
        <d v="2024-07-15T00:00:00"/>
        <d v="2024-09-16T00:00:00"/>
        <d v="2024-01-10T00:00:00"/>
        <d v="2024-08-22T00:00:00"/>
        <d v="2024-08-10T00:00:00"/>
        <d v="2024-07-20T00:00:00"/>
        <d v="2024-07-18T00:00:00"/>
        <d v="2024-08-05T00:00:00"/>
        <d v="2024-07-24T00:00:00"/>
        <d v="2024-09-03T00:00:00"/>
        <d v="2024-10-27T00:00:00"/>
        <d v="2024-04-20T00:00:00"/>
        <d v="2024-05-14T00:00:00"/>
        <d v="2024-10-08T00:00:00"/>
        <d v="2024-04-03T00:00:00"/>
        <d v="2024-01-31T00:00:00"/>
        <d v="2024-06-04T00:00:00"/>
        <d v="2024-04-15T00:00:00"/>
        <d v="2024-06-21T00:00:00"/>
        <d v="2024-10-09T00:00:00"/>
        <d v="2024-07-10T00:00:00"/>
        <d v="2024-05-15T00:00:00"/>
        <d v="2024-10-10T00:00:00"/>
        <d v="2024-11-09T00:00:00"/>
        <d v="2024-03-15T00:00:00"/>
        <d v="2024-09-05T00:00:00"/>
        <d v="2024-03-07T00:00:00"/>
        <d v="2024-10-04T00:00:00"/>
        <d v="2024-01-09T00:00:00"/>
        <d v="2024-09-07T00:00:00"/>
        <d v="2024-09-19T00:00:00"/>
        <d v="2024-05-05T00:00:00"/>
        <d v="2024-09-25T00:00:00"/>
        <d v="2024-11-04T00:00:00"/>
        <d v="2024-08-25T00:00:00"/>
        <d v="2024-02-22T00:00:00"/>
        <d v="2024-01-15T00:00:00"/>
        <d v="2024-03-20T00:00:00"/>
        <d v="2024-10-26T00:00:00"/>
        <d v="2024-02-24T00:00:00"/>
        <d v="2024-10-03T00:00:00"/>
        <d v="2024-08-02T00:00:00"/>
        <d v="2024-09-29T00:00:00"/>
        <d v="2024-05-07T00:00:00"/>
        <d v="2024-01-07T00:00:00"/>
        <d v="2024-06-01T00:00:00"/>
        <d v="2024-09-13T00:00:00"/>
        <d v="2024-08-19T00:00:00"/>
        <d v="2024-01-20T00:00:00"/>
        <d v="2024-01-28T00:00:00"/>
        <d v="2024-08-09T00:00:00"/>
        <d v="2024-01-21T00:00:00"/>
        <d v="2024-10-19T00:00:00"/>
        <d v="2024-01-02T00:00:00"/>
        <d v="2024-10-24T00:00:00"/>
        <d v="2024-01-25T00:00:00"/>
        <d v="2024-07-27T00:00:00"/>
        <d v="2024-06-27T00:00:00"/>
        <d v="2024-10-13T00:00:00"/>
        <d v="2024-02-19T00:00:00"/>
        <d v="2024-03-03T00:00:00"/>
        <d v="2024-09-09T00:00:00"/>
        <d v="2024-06-06T00:00:00"/>
        <d v="2024-01-14T00:00:00"/>
        <d v="2024-01-01T00:00:00"/>
        <d v="2024-01-03T00:00:00"/>
        <d v="2024-01-08T00:00:00"/>
        <d v="2024-07-06T00:00:00"/>
        <d v="2024-08-03T00:00:00"/>
        <d v="2024-01-17T00:00:00"/>
        <d v="2024-05-22T00:00:00"/>
        <d v="2024-04-01T00:00:00"/>
        <d v="2024-09-02T00:00:00"/>
        <d v="2024-10-18T00:00:00"/>
        <d v="2024-06-02T00:00:00"/>
        <d v="2024-09-15T00:00:00"/>
        <d v="2024-02-05T00:00:00"/>
        <d v="2024-12-02T00:00:00"/>
        <d v="2024-06-25T00:00:00"/>
        <d v="2024-02-09T00:00:00"/>
        <d v="2024-05-27T00:00:00"/>
        <d v="2024-07-16T00:00:00"/>
        <d v="2024-03-08T00:00:00"/>
        <d v="2024-01-19T00:00:00"/>
        <d v="2024-11-10T00:00:00"/>
        <d v="2024-01-26T00:00:00"/>
        <d v="2024-05-31T00:00:00"/>
        <d v="2024-02-03T00:00:00"/>
        <d v="2024-03-01T00:00:00"/>
        <d v="2024-08-31T00:00:00"/>
        <d v="2024-06-07T00:00:00"/>
        <d v="2024-05-18T00:00:00"/>
        <d v="2024-07-29T00:00:00"/>
        <d v="2024-10-06T00:00:00"/>
        <d v="2024-03-04T00:00:00"/>
        <d v="2024-08-26T00:00:00"/>
        <d v="2024-09-28T00:00:00"/>
        <d v="2024-09-27T00:00:00"/>
        <d v="2024-03-23T00:00:00"/>
        <d v="2024-02-17T00:00:00"/>
        <d v="2024-06-16T00:00:00"/>
        <d v="2024-01-04T00:00:00"/>
        <d v="2024-05-10T00:00:00"/>
        <d v="2024-02-07T00:00:00"/>
        <d v="2024-10-25T00:00:00"/>
        <d v="2024-10-02T00:00:00"/>
        <d v="2024-04-22T00:00:00"/>
        <d v="2024-07-25T00:00:00"/>
        <d v="2024-07-31T00:00:00"/>
        <d v="2024-04-07T00:00:00"/>
        <d v="2024-10-22T00:00:00"/>
        <d v="2024-01-27T00:00:00"/>
        <d v="2024-02-10T00:00:00"/>
        <d v="2024-09-26T00:00:00"/>
        <d v="2024-10-01T00:00:00"/>
        <d v="2024-09-22T00:00:00"/>
        <d v="2024-02-01T00:00:00"/>
        <d v="2024-07-11T00:00:00"/>
        <d v="2024-07-30T00:00:00"/>
        <d v="2024-07-07T00:00:00"/>
        <d v="2024-09-08T00:00:00"/>
        <d v="2024-04-13T00:00:00"/>
        <d v="2024-02-25T00:00:00"/>
        <d v="2024-03-21T00:00:00"/>
        <d v="2024-07-09T00:00:00"/>
        <d v="2024-09-18T00:00:00"/>
        <d v="2024-03-27T00:00:00"/>
        <d v="2024-03-28T00:00:00"/>
        <d v="2024-06-19T00:00:00"/>
        <d v="2024-05-13T00:00:00"/>
        <d v="2024-03-16T00:00:00"/>
        <d v="2024-06-05T00:00:00"/>
        <d v="2024-08-28T00:00:00"/>
        <d v="2024-05-17T00:00:00"/>
        <d v="2024-10-07T00:00:00"/>
        <d v="2024-06-09T00:00:00"/>
        <d v="2024-07-08T00:00:00"/>
        <d v="2024-11-03T00:00:00"/>
        <d v="2024-06-10T00:00:00"/>
        <d v="2024-02-16T00:00:00"/>
        <d v="2024-05-24T00:00:00"/>
        <d v="2024-03-17T00:00:00"/>
        <d v="2024-08-17T00:00:00"/>
        <d v="2024-11-05T00:00:00"/>
        <d v="2024-12-04T00:00:00"/>
        <d v="2024-09-12T00:00:00"/>
        <d v="2024-02-20T00:00:00"/>
        <d v="2024-05-30T00:00:00"/>
        <d v="2024-05-04T00:00:00"/>
        <d v="2024-05-23T00:00:00"/>
        <d v="2024-04-02T00:00:00"/>
        <d v="2024-06-22T00:00:00"/>
        <d v="2024-05-21T00:00:00"/>
        <d v="2024-07-12T00:00:00"/>
        <d v="2024-01-22T00:00:00"/>
        <d v="2024-05-03T00:00:00"/>
        <d v="2024-04-24T00:00:00"/>
        <d v="2024-07-05T00:00:00"/>
        <d v="2024-11-08T00:00:00"/>
        <d v="2024-04-25T00:00:00"/>
        <d v="2024-06-18T00:00:00"/>
        <d v="2024-02-08T00:00:00"/>
        <d v="2024-02-28T00:00:00"/>
        <d v="2024-04-06T00:00:00"/>
        <d v="2024-04-30T00:00:00"/>
        <d v="2024-01-13T00:00:00"/>
        <d v="2024-04-23T00:00:00"/>
        <d v="2024-02-15T00:00:00"/>
        <d v="2024-08-06T00:00:00"/>
        <d v="2024-05-20T00:00:00"/>
        <d v="2024-09-23T00:00:00"/>
        <d v="2024-07-22T00:00:00"/>
        <d v="2024-09-30T00:00:00"/>
        <d v="2024-10-16T00:00:00"/>
        <d v="2024-03-05T00:00:00"/>
        <d v="2024-08-23T00:00:00"/>
        <d v="2024-03-14T00:00:00"/>
        <d v="2024-06-23T00:00:00"/>
        <d v="2024-06-28T00:00:00"/>
        <d v="2024-08-29T00:00:00"/>
        <d v="2024-04-28T00:00:00"/>
        <d v="2024-08-27T00:00:00"/>
        <d v="2024-09-01T00:00:00"/>
        <d v="2024-04-16T00:00:00"/>
        <d v="2024-03-13T00:00:00"/>
        <d v="2024-12-03T00:00:00"/>
        <d v="2024-09-17T00:00:00"/>
        <d v="2024-06-24T00:00:00"/>
        <d v="2024-09-20T00:00:00"/>
        <d v="2024-03-19T00:00:00"/>
        <d v="2024-11-01T00:00:00"/>
        <d v="2024-09-10T00:00:00"/>
        <d v="2024-08-08T00:00:00"/>
        <d v="2024-02-04T00:00:00"/>
        <d v="2024-09-04T00:00:00"/>
        <d v="2024-01-30T00:00:00"/>
        <d v="2024-08-01T00:00:00"/>
        <d v="2024-05-09T00:00:00"/>
        <d v="2024-08-24T00:00:00"/>
        <d v="2024-02-13T00:00:00"/>
        <d v="2024-10-14T00:00:00"/>
        <d v="2024-09-14T00:00:00"/>
        <d v="2024-07-19T00:00:00"/>
        <d v="2024-12-10T00:00:00"/>
        <d v="2024-04-10T00:00:00"/>
        <d v="2024-09-24T00:00:00"/>
        <d v="2024-12-01T00:00:00"/>
        <d v="2024-12-08T00:00:00"/>
        <d v="2024-09-21T00:00:00"/>
        <d v="2024-06-15T00:00:00"/>
        <d v="2024-04-21T00:00:00"/>
        <d v="2024-04-14T00:00:00"/>
        <d v="2024-03-26T00:00:00"/>
        <d v="2024-05-29T00:00:00"/>
        <d v="2024-10-15T00:00:00"/>
        <d v="2024-04-17T00:00:00"/>
        <d v="2024-03-10T00:00:00"/>
        <d v="2024-05-02T00:00:00"/>
        <d v="2024-03-24T00:00:00"/>
        <d v="2024-05-01T00:00:00"/>
        <d v="2024-11-06T00:00:00"/>
        <d v="2024-01-05T00:00:00"/>
        <d v="2024-08-21T00:00:00"/>
        <d v="2024-06-13T00:00:00"/>
        <d v="2024-10-11T00:00:00"/>
        <d v="2024-05-26T00:00:00"/>
        <d v="2024-03-09T00:00:00"/>
        <d v="2024-03-18T00:00:00"/>
        <d v="2024-10-17T00:00:00"/>
        <d v="2024-03-25T00:00:00"/>
        <d v="2024-08-18T00:00:00"/>
        <d v="2024-02-29T00:00:00"/>
        <d v="2024-03-31T00:00:00"/>
        <d v="2024-05-16T00:00:00"/>
        <d v="2024-04-08T00:00:00"/>
        <d v="2024-04-19T00:00:00"/>
      </sharedItems>
      <fieldGroup par="13"/>
    </cacheField>
    <cacheField name="Discharge date" numFmtId="164">
      <sharedItems containsSemiMixedTypes="0" containsNonDate="0" containsDate="1" containsString="0" minDate="2024-01-05T00:00:00" maxDate="2024-11-25T00:00:00"/>
    </cacheField>
    <cacheField name="Treatment Cost (PKR)" numFmtId="0">
      <sharedItems containsSemiMixedTypes="0" containsString="0" containsNumber="1" containsInteger="1" minValue="0" maxValue="100000"/>
    </cacheField>
    <cacheField name="Payment Method" numFmtId="0">
      <sharedItems count="5">
        <s v="Cash"/>
        <s v="Insurance"/>
        <s v="Online Transfer"/>
        <s v="Card"/>
        <s v="Unknown"/>
      </sharedItems>
    </cacheField>
    <cacheField name="Status" numFmtId="0">
      <sharedItems count="5">
        <s v="Discharged"/>
        <s v="Recovered"/>
        <s v="Under Treatment"/>
        <s v="Unknown"/>
        <s v="Critical"/>
      </sharedItems>
    </cacheField>
    <cacheField name="Months (Admission date)" numFmtId="0" databaseField="0">
      <fieldGroup base="8">
        <rangePr groupBy="months" startDate="2024-01-01T00:00:00" endDate="2024-12-11T00:00:00"/>
        <groupItems count="14">
          <s v="&lt;01/01/2024"/>
          <s v="Jan"/>
          <s v="Feb"/>
          <s v="Mar"/>
          <s v="Apr"/>
          <s v="May"/>
          <s v="Jun"/>
          <s v="Jul"/>
          <s v="Aug"/>
          <s v="Sep"/>
          <s v="Oct"/>
          <s v="Nov"/>
          <s v="Dec"/>
          <s v="&gt;11/12/2024"/>
        </groupItems>
      </fieldGroup>
    </cacheField>
  </cacheFields>
  <extLst>
    <ext xmlns:x14="http://schemas.microsoft.com/office/spreadsheetml/2009/9/main" uri="{725AE2AE-9491-48be-B2B4-4EB974FC3084}">
      <x14:pivotCacheDefinition pivotCacheId="493192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
  <r>
    <s v="Tariq Siddiqui"/>
    <n v="26"/>
    <x v="0"/>
    <s v="Male"/>
    <s v="Lahore"/>
    <x v="0"/>
    <s v="Dr. Ayesha"/>
    <d v="2024-02-14T00:00:00"/>
    <d v="2024-02-23T00:00:00"/>
    <n v="35000"/>
    <s v="Cash"/>
    <s v="Discharged"/>
  </r>
  <r>
    <s v="Hassan Ansari"/>
    <n v="79"/>
    <x v="1"/>
    <s v="Male"/>
    <s v="Faisalabad"/>
    <x v="1"/>
    <s v="Dr. Tariq"/>
    <d v="2024-07-17T00:00:00"/>
    <d v="2024-08-14T00:00:00"/>
    <n v="15000"/>
    <s v="Insurance"/>
    <s v="Discharged"/>
  </r>
  <r>
    <s v="Nadia Sheikh"/>
    <n v="73"/>
    <x v="1"/>
    <s v="Female"/>
    <s v="Karachi"/>
    <x v="2"/>
    <s v="Dr. Imran"/>
    <d v="2024-02-14T00:00:00"/>
    <d v="2024-03-01T00:00:00"/>
    <n v="25000"/>
    <s v="Online Transfer"/>
    <s v="Recovered"/>
  </r>
  <r>
    <s v="Bilal Nawaz"/>
    <n v="1"/>
    <x v="2"/>
    <s v="Female"/>
    <s v="Lahore"/>
    <x v="3"/>
    <s v="Dr. Imran"/>
    <d v="2024-11-02T00:00:00"/>
    <d v="2024-02-26T00:00:00"/>
    <n v="75000"/>
    <s v="Insurance"/>
    <s v="Discharged"/>
  </r>
  <r>
    <s v="Sara Mirza"/>
    <n v="17"/>
    <x v="2"/>
    <s v="Male"/>
    <s v="Multan"/>
    <x v="0"/>
    <s v="Dr. Farah"/>
    <d v="2024-08-14T00:00:00"/>
    <d v="2024-09-03T00:00:00"/>
    <n v="12000"/>
    <s v="Insurance"/>
    <s v="Recovered"/>
  </r>
  <r>
    <s v="Fatima Khan"/>
    <n v="22"/>
    <x v="0"/>
    <s v="Female"/>
    <s v="Multan"/>
    <x v="1"/>
    <s v="Dr. Sana"/>
    <d v="2024-11-02T00:00:00"/>
    <d v="2024-03-12T00:00:00"/>
    <n v="0"/>
    <s v="Cash"/>
    <s v="Under Treatment"/>
  </r>
  <r>
    <s v="Amna Niazi"/>
    <n v="1"/>
    <x v="2"/>
    <s v="Female"/>
    <s v="Islamabad"/>
    <x v="0"/>
    <s v="Dr. Imran"/>
    <d v="2024-07-26T00:00:00"/>
    <d v="2024-08-02T00:00:00"/>
    <n v="5000"/>
    <s v="Insurance"/>
    <s v="Discharged"/>
  </r>
  <r>
    <s v="Bilal Nawaz"/>
    <n v="52"/>
    <x v="3"/>
    <s v="Male"/>
    <s v="Islamabad"/>
    <x v="2"/>
    <s v="Dr. Sana"/>
    <d v="2024-01-29T00:00:00"/>
    <d v="2024-02-03T00:00:00"/>
    <n v="0"/>
    <s v="Insurance"/>
    <s v="Discharged"/>
  </r>
  <r>
    <s v="Fatima Hassan"/>
    <s v="Unknown"/>
    <x v="4"/>
    <s v="Male"/>
    <s v="Islamabad"/>
    <x v="0"/>
    <s v="Dr. Ayesha"/>
    <d v="2024-07-28T00:00:00"/>
    <d v="2024-08-02T00:00:00"/>
    <n v="0"/>
    <s v="Card"/>
    <s v="Discharged"/>
  </r>
  <r>
    <s v="Fariha Qureshi"/>
    <n v="33"/>
    <x v="0"/>
    <s v="Male"/>
    <s v="Faisalabad"/>
    <x v="1"/>
    <s v="Dr. Tariq"/>
    <d v="2024-04-05T00:00:00"/>
    <d v="2024-04-27T00:00:00"/>
    <n v="8000"/>
    <s v="Card"/>
    <s v="Recovered"/>
  </r>
  <r>
    <s v="Asad Ahmed"/>
    <n v="44"/>
    <x v="3"/>
    <s v="Male"/>
    <s v="Peshawar"/>
    <x v="4"/>
    <s v="Dr. Tariq"/>
    <d v="2024-07-23T00:00:00"/>
    <d v="2024-08-05T00:00:00"/>
    <n v="35000"/>
    <s v="Card"/>
    <s v="Recovered"/>
  </r>
  <r>
    <s v="Zara Ahmed"/>
    <n v="48"/>
    <x v="3"/>
    <s v="Female"/>
    <s v="Faisalabad"/>
    <x v="4"/>
    <s v="Dr. Ayesha"/>
    <d v="2024-06-08T00:00:00"/>
    <d v="2024-07-06T00:00:00"/>
    <n v="15000"/>
    <s v="Card"/>
    <s v="Unknown"/>
  </r>
  <r>
    <s v="Mehwish Akhtar"/>
    <n v="28"/>
    <x v="0"/>
    <s v="Male"/>
    <s v="Peshawar"/>
    <x v="3"/>
    <s v="Dr. Sana"/>
    <d v="2024-11-02T00:00:00"/>
    <d v="2024-03-11T00:00:00"/>
    <n v="50000"/>
    <s v="Online Transfer"/>
    <s v="Critical"/>
  </r>
  <r>
    <s v="Ahmed Iqbal"/>
    <n v="38"/>
    <x v="0"/>
    <s v="Female"/>
    <s v="Faisalabad"/>
    <x v="4"/>
    <s v="Dr. Imran"/>
    <d v="2024-06-03T00:00:00"/>
    <d v="2024-04-05T00:00:00"/>
    <n v="20000"/>
    <s v="Online Transfer"/>
    <s v="Critical"/>
  </r>
  <r>
    <s v="Hina Niazi"/>
    <n v="21"/>
    <x v="0"/>
    <s v="Female"/>
    <s v="Peshawar"/>
    <x v="2"/>
    <s v="Dr. Farah"/>
    <d v="2024-08-13T00:00:00"/>
    <d v="2024-08-20T00:00:00"/>
    <n v="35000"/>
    <s v="Card"/>
    <s v="Under Treatment"/>
  </r>
  <r>
    <s v="Sana Khan"/>
    <n v="86"/>
    <x v="1"/>
    <s v="Female"/>
    <s v="Multan"/>
    <x v="3"/>
    <s v="Dr. Zubair"/>
    <d v="2024-08-04T00:00:00"/>
    <d v="2024-05-07T00:00:00"/>
    <n v="12000"/>
    <s v="Card"/>
    <s v="Discharged"/>
  </r>
  <r>
    <s v="Saima Qureshi"/>
    <n v="53"/>
    <x v="3"/>
    <s v="Female"/>
    <s v="Multan"/>
    <x v="4"/>
    <s v="Dr. Khalid"/>
    <d v="2024-02-27T00:00:00"/>
    <d v="2024-03-15T00:00:00"/>
    <n v="75000"/>
    <s v="Insurance"/>
    <s v="Recovered"/>
  </r>
  <r>
    <s v="Imran Butt"/>
    <n v="87"/>
    <x v="1"/>
    <s v="Male"/>
    <s v="Quetta"/>
    <x v="1"/>
    <s v="Dr. Zubair"/>
    <d v="2024-08-15T00:00:00"/>
    <d v="2024-09-14T00:00:00"/>
    <n v="15000"/>
    <s v="Card"/>
    <s v="Discharged"/>
  </r>
  <r>
    <s v="Farhan Nawaz"/>
    <n v="68"/>
    <x v="1"/>
    <s v="Female"/>
    <s v="Lahore"/>
    <x v="2"/>
    <s v="Dr. Khalid"/>
    <d v="2024-02-23T00:00:00"/>
    <d v="2024-03-20T00:00:00"/>
    <n v="20000"/>
    <s v="Cash"/>
    <s v="Recovered"/>
  </r>
  <r>
    <s v="Sara Ansari"/>
    <n v="39"/>
    <x v="0"/>
    <s v="Female"/>
    <s v="Quetta"/>
    <x v="2"/>
    <s v="Dr. Farah"/>
    <d v="2024-10-21T00:00:00"/>
    <d v="2024-10-31T00:00:00"/>
    <n v="0"/>
    <s v="Cash"/>
    <s v="Discharged"/>
  </r>
  <r>
    <s v="Tariq Sheikh"/>
    <n v="34"/>
    <x v="0"/>
    <s v="Female"/>
    <s v="Islamabad"/>
    <x v="0"/>
    <s v="Dr. Ayesha"/>
    <d v="2024-08-16T00:00:00"/>
    <d v="2024-09-13T00:00:00"/>
    <n v="35000"/>
    <s v="Online Transfer"/>
    <s v="Under Treatment"/>
  </r>
  <r>
    <s v="Sana Chaudhry"/>
    <n v="27"/>
    <x v="0"/>
    <s v="Female"/>
    <s v="Peshawar"/>
    <x v="5"/>
    <s v="Dr. Zubair"/>
    <d v="2024-07-14T00:00:00"/>
    <d v="2024-07-20T00:00:00"/>
    <n v="50000"/>
    <s v="Online Transfer"/>
    <s v="Under Treatment"/>
  </r>
  <r>
    <s v="Ahmed Nawaz"/>
    <n v="31"/>
    <x v="0"/>
    <s v="Female"/>
    <s v="Quetta"/>
    <x v="6"/>
    <s v="Dr. Khalid"/>
    <d v="2024-06-17T00:00:00"/>
    <d v="2024-07-13T00:00:00"/>
    <n v="50000"/>
    <s v="Cash"/>
    <s v="Critical"/>
  </r>
  <r>
    <s v="Zubair Khan"/>
    <n v="73"/>
    <x v="1"/>
    <s v="Female"/>
    <s v="Multan"/>
    <x v="6"/>
    <s v="Dr. Imran"/>
    <d v="2024-12-06T00:00:00"/>
    <d v="2024-06-26T00:00:00"/>
    <n v="20000"/>
    <s v="Insurance"/>
    <s v="Under Treatment"/>
  </r>
  <r>
    <s v="Asad Ahmed"/>
    <n v="51"/>
    <x v="3"/>
    <s v="Male"/>
    <s v="Karachi"/>
    <x v="3"/>
    <s v="Dr. Imran"/>
    <d v="2024-04-27T00:00:00"/>
    <d v="2024-05-15T00:00:00"/>
    <n v="20000"/>
    <s v="Insurance"/>
    <s v="Discharged"/>
  </r>
  <r>
    <s v="Sara Ansari"/>
    <n v="30"/>
    <x v="0"/>
    <s v="Male"/>
    <s v="Karachi"/>
    <x v="4"/>
    <s v="Dr. Ayesha"/>
    <d v="2024-05-19T00:00:00"/>
    <d v="2024-05-28T00:00:00"/>
    <n v="25000"/>
    <s v="Cash"/>
    <s v="Under Treatment"/>
  </r>
  <r>
    <s v="Omer Nawaz"/>
    <n v="23"/>
    <x v="0"/>
    <s v="Female"/>
    <s v="Multan"/>
    <x v="1"/>
    <s v="Dr. Imran"/>
    <d v="2024-02-11T00:00:00"/>
    <d v="2024-03-06T00:00:00"/>
    <n v="8000"/>
    <s v="Insurance"/>
    <s v="Under Treatment"/>
  </r>
  <r>
    <s v="Usman Nawaz"/>
    <n v="12"/>
    <x v="2"/>
    <s v="Unknown"/>
    <s v="Faisalabad"/>
    <x v="5"/>
    <s v="Dr. Farah"/>
    <d v="2024-07-13T00:00:00"/>
    <d v="2024-07-19T00:00:00"/>
    <n v="25000"/>
    <s v="Insurance"/>
    <s v="Under Treatment"/>
  </r>
  <r>
    <s v="Kamran Ahmed"/>
    <n v="44"/>
    <x v="3"/>
    <s v="Female"/>
    <s v="Lahore"/>
    <x v="3"/>
    <s v="Dr. Ayesha"/>
    <d v="2024-02-26T00:00:00"/>
    <d v="2024-03-02T00:00:00"/>
    <n v="50000"/>
    <s v="Cash"/>
    <s v="Under Treatment"/>
  </r>
  <r>
    <s v="Tariq Hassan"/>
    <n v="31"/>
    <x v="0"/>
    <s v="Female"/>
    <s v="Multan"/>
    <x v="1"/>
    <s v="Dr. Imran"/>
    <d v="2024-11-02T00:00:00"/>
    <d v="2024-03-11T00:00:00"/>
    <n v="12000"/>
    <s v="Insurance"/>
    <s v="Discharged"/>
  </r>
  <r>
    <s v="Sana Chaudhry"/>
    <n v="41"/>
    <x v="3"/>
    <s v="Male"/>
    <s v="Quetta"/>
    <x v="4"/>
    <s v="Dr. Khalid"/>
    <d v="2024-02-06T00:00:00"/>
    <d v="2024-06-08T00:00:00"/>
    <n v="12000"/>
    <s v="Cash"/>
    <s v="Critical"/>
  </r>
  <r>
    <s v="Fariha Nawaz"/>
    <n v="38"/>
    <x v="0"/>
    <s v="Female"/>
    <s v="Karachi"/>
    <x v="4"/>
    <s v="Dr. Sana"/>
    <d v="2024-07-02T00:00:00"/>
    <d v="2024-02-09T00:00:00"/>
    <n v="25000"/>
    <s v="Insurance"/>
    <s v="Critical"/>
  </r>
  <r>
    <s v="Mehwish Akhtar"/>
    <n v="85"/>
    <x v="1"/>
    <s v="Female"/>
    <s v="Faisalabad"/>
    <x v="1"/>
    <s v="Dr. Khalid"/>
    <d v="2024-11-07T00:00:00"/>
    <d v="2024-08-07T00:00:00"/>
    <n v="20000"/>
    <s v="Insurance"/>
    <s v="Under Treatment"/>
  </r>
  <r>
    <s v="Hamid Khan"/>
    <n v="37"/>
    <x v="0"/>
    <s v="Female"/>
    <s v="Peshawar"/>
    <x v="5"/>
    <s v="Dr. Farah"/>
    <d v="2024-04-26T00:00:00"/>
    <d v="2024-05-02T00:00:00"/>
    <n v="75000"/>
    <s v="Online Transfer"/>
    <s v="Recovered"/>
  </r>
  <r>
    <s v="Hassan Qureshi"/>
    <n v="83"/>
    <x v="1"/>
    <s v="Female"/>
    <s v="Lahore"/>
    <x v="1"/>
    <s v="Dr. Imran"/>
    <d v="2024-02-18T00:00:00"/>
    <d v="2024-03-03T00:00:00"/>
    <n v="5000"/>
    <s v="Cash"/>
    <s v="Under Treatment"/>
  </r>
  <r>
    <s v="Usman Sheikh"/>
    <n v="81"/>
    <x v="1"/>
    <s v="Female"/>
    <s v="Karachi"/>
    <x v="3"/>
    <s v="Dr. Ayesha"/>
    <d v="2024-10-23T00:00:00"/>
    <d v="2024-11-17T00:00:00"/>
    <n v="35000"/>
    <s v="Insurance"/>
    <s v="Recovered"/>
  </r>
  <r>
    <s v="Uzma Ahmed"/>
    <n v="65"/>
    <x v="1"/>
    <s v="Female"/>
    <s v="Peshawar"/>
    <x v="6"/>
    <s v="Dr. Ayesha"/>
    <d v="2024-04-29T00:00:00"/>
    <d v="2024-05-10T00:00:00"/>
    <n v="35000"/>
    <s v="Insurance"/>
    <s v="Discharged"/>
  </r>
  <r>
    <s v="Uzma Niazi"/>
    <n v="12"/>
    <x v="2"/>
    <s v="Female"/>
    <s v="Quetta"/>
    <x v="0"/>
    <s v="Dr. Ayesha"/>
    <d v="2024-10-20T00:00:00"/>
    <d v="2024-11-05T00:00:00"/>
    <n v="15000"/>
    <s v="Cash"/>
    <s v="Discharged"/>
  </r>
  <r>
    <s v="Sobia Raza"/>
    <n v="23"/>
    <x v="0"/>
    <s v="Unknown"/>
    <s v="Peshawar"/>
    <x v="2"/>
    <s v="Dr. Ayesha"/>
    <d v="2024-03-29T00:00:00"/>
    <d v="2024-04-25T00:00:00"/>
    <n v="20000"/>
    <s v="Insurance"/>
    <s v="Recovered"/>
  </r>
  <r>
    <s v="Nida Qureshi"/>
    <n v="68"/>
    <x v="1"/>
    <s v="Male"/>
    <s v="Multan"/>
    <x v="2"/>
    <s v="Dr. Sana"/>
    <d v="2024-07-21T00:00:00"/>
    <d v="2024-08-07T00:00:00"/>
    <n v="75000"/>
    <s v="Cash"/>
    <s v="Under Treatment"/>
  </r>
  <r>
    <s v="Bilal Akhtar"/>
    <n v="73"/>
    <x v="1"/>
    <s v="Female"/>
    <s v="Peshawar"/>
    <x v="0"/>
    <s v="Dr. Khalid"/>
    <d v="2024-01-16T00:00:00"/>
    <d v="2024-01-18T00:00:00"/>
    <n v="35000"/>
    <s v="Cash"/>
    <s v="Critical"/>
  </r>
  <r>
    <s v="Hassan Ahmed"/>
    <n v="85"/>
    <x v="1"/>
    <s v="Female"/>
    <s v="Lahore"/>
    <x v="3"/>
    <s v="Dr. Farah"/>
    <d v="2024-10-05T00:00:00"/>
    <d v="2024-05-11T00:00:00"/>
    <n v="100000"/>
    <s v="Card"/>
    <s v="Under Treatment"/>
  </r>
  <r>
    <s v="Saima Mirza"/>
    <n v="15"/>
    <x v="2"/>
    <s v="Male"/>
    <s v="Islamabad"/>
    <x v="4"/>
    <s v="Dr. Ayesha"/>
    <d v="2024-05-06T00:00:00"/>
    <d v="2024-06-22T00:00:00"/>
    <n v="20000"/>
    <s v="Insurance"/>
    <s v="Discharged"/>
  </r>
  <r>
    <s v="Sara Khan"/>
    <n v="46"/>
    <x v="3"/>
    <s v="Male"/>
    <s v="Lahore"/>
    <x v="5"/>
    <s v="Dr. Khalid"/>
    <d v="2024-07-13T00:00:00"/>
    <d v="2024-07-14T00:00:00"/>
    <n v="25000"/>
    <s v="Card"/>
    <s v="Discharged"/>
  </r>
  <r>
    <s v="Nida Nawaz"/>
    <n v="20"/>
    <x v="0"/>
    <s v="Male"/>
    <s v="Karachi"/>
    <x v="6"/>
    <s v="Dr. Ayesha"/>
    <d v="2024-04-18T00:00:00"/>
    <d v="2024-04-26T00:00:00"/>
    <n v="25000"/>
    <s v="Card"/>
    <s v="Recovered"/>
  </r>
  <r>
    <s v="Zubair Khan"/>
    <n v="56"/>
    <x v="3"/>
    <s v="Male"/>
    <s v="Multan"/>
    <x v="4"/>
    <s v="Dr. Khalid"/>
    <d v="2024-08-07T00:00:00"/>
    <d v="2024-07-24T00:00:00"/>
    <n v="35000"/>
    <s v="Online Transfer"/>
    <s v="Critical"/>
  </r>
  <r>
    <s v="Kamran Mirza"/>
    <n v="15"/>
    <x v="2"/>
    <s v="Female"/>
    <s v="Quetta"/>
    <x v="0"/>
    <s v="Dr. Khalid"/>
    <d v="2024-01-18T00:00:00"/>
    <d v="2024-01-26T00:00:00"/>
    <n v="20000"/>
    <s v="Card"/>
    <s v="Recovered"/>
  </r>
  <r>
    <s v="Bilal Butt"/>
    <n v="80"/>
    <x v="1"/>
    <s v="Male"/>
    <s v="Lahore"/>
    <x v="4"/>
    <s v="Dr. Farah"/>
    <d v="2024-08-15T00:00:00"/>
    <d v="2024-09-01T00:00:00"/>
    <n v="5000"/>
    <s v="Card"/>
    <s v="Recovered"/>
  </r>
  <r>
    <s v="Omer Siddiqui"/>
    <n v="16"/>
    <x v="2"/>
    <s v="Male"/>
    <s v="Islamabad"/>
    <x v="4"/>
    <s v="Dr. Zubair"/>
    <d v="2024-08-14T00:00:00"/>
    <d v="2024-08-28T00:00:00"/>
    <n v="25000"/>
    <s v="Insurance"/>
    <s v="Recovered"/>
  </r>
  <r>
    <s v="Uzma Butt"/>
    <n v="51"/>
    <x v="3"/>
    <s v="Male"/>
    <s v="Karachi"/>
    <x v="5"/>
    <s v="Dr. Tariq"/>
    <d v="2024-08-20T00:00:00"/>
    <d v="2024-09-13T00:00:00"/>
    <n v="50000"/>
    <s v="Card"/>
    <s v="Recovered"/>
  </r>
  <r>
    <s v="Hamid Khan"/>
    <n v="7"/>
    <x v="2"/>
    <s v="Male"/>
    <s v="Multan"/>
    <x v="0"/>
    <s v="Dr. Zubair"/>
    <d v="2024-07-28T00:00:00"/>
    <d v="2024-08-04T00:00:00"/>
    <n v="35000"/>
    <s v="Cash"/>
    <s v="Recovered"/>
  </r>
  <r>
    <s v="Fatima Akhtar"/>
    <n v="28"/>
    <x v="0"/>
    <s v="Male"/>
    <s v="Multan"/>
    <x v="2"/>
    <s v="Dr. Khalid"/>
    <d v="2024-07-01T00:00:00"/>
    <d v="2024-01-21T00:00:00"/>
    <n v="20000"/>
    <s v="Insurance"/>
    <s v="Under Treatment"/>
  </r>
  <r>
    <s v="Waqas Butt"/>
    <n v="23"/>
    <x v="0"/>
    <s v="Female"/>
    <s v="Karachi"/>
    <x v="3"/>
    <s v="Dr. Zubair"/>
    <d v="2024-04-04T00:00:00"/>
    <d v="2024-04-29T00:00:00"/>
    <n v="35000"/>
    <s v="Online Transfer"/>
    <s v="Recovered"/>
  </r>
  <r>
    <s v="Ahmed Chaudhry"/>
    <n v="68"/>
    <x v="1"/>
    <s v="Female"/>
    <s v="Islamabad"/>
    <x v="1"/>
    <s v="Dr. Farah"/>
    <d v="2024-03-22T00:00:00"/>
    <d v="2024-04-16T00:00:00"/>
    <n v="20000"/>
    <s v="Cash"/>
    <s v="Recovered"/>
  </r>
  <r>
    <s v="Saima Niazi"/>
    <n v="9"/>
    <x v="2"/>
    <s v="Female"/>
    <s v="Peshawar"/>
    <x v="4"/>
    <s v="Dr. Ayesha"/>
    <d v="2024-05-28T00:00:00"/>
    <d v="2024-06-17T00:00:00"/>
    <n v="50000"/>
    <s v="Insurance"/>
    <s v="Critical"/>
  </r>
  <r>
    <s v="Waqas Abbasi"/>
    <n v="33"/>
    <x v="0"/>
    <s v="Female"/>
    <s v="Multan"/>
    <x v="0"/>
    <s v="Dr. Sana"/>
    <d v="2024-05-25T00:00:00"/>
    <d v="2024-05-30T00:00:00"/>
    <n v="0"/>
    <s v="Card"/>
    <s v="Under Treatment"/>
  </r>
  <r>
    <s v="Fariha Iqbal"/>
    <n v="30"/>
    <x v="0"/>
    <s v="Female"/>
    <s v="Quetta"/>
    <x v="5"/>
    <s v="Dr. Khalid"/>
    <d v="2024-04-26T00:00:00"/>
    <d v="2024-05-14T00:00:00"/>
    <n v="35000"/>
    <s v="Insurance"/>
    <s v="Recovered"/>
  </r>
  <r>
    <s v="Kamran Siddiqui"/>
    <n v="75"/>
    <x v="1"/>
    <s v="Male"/>
    <s v="Karachi"/>
    <x v="4"/>
    <s v="Dr. Khalid"/>
    <d v="2024-05-08T00:00:00"/>
    <d v="2024-08-20T00:00:00"/>
    <n v="8000"/>
    <s v="Cash"/>
    <s v="Recovered"/>
  </r>
  <r>
    <s v="Hassan Ali"/>
    <n v="31"/>
    <x v="0"/>
    <s v="Female"/>
    <s v="Lahore"/>
    <x v="6"/>
    <s v="Dr. Ayesha"/>
    <d v="2024-12-05T00:00:00"/>
    <d v="2024-06-04T00:00:00"/>
    <n v="20000"/>
    <s v="Insurance"/>
    <s v="Under Treatment"/>
  </r>
  <r>
    <s v="Ahmed Niazi"/>
    <n v="15"/>
    <x v="2"/>
    <s v="Female"/>
    <s v="Karachi"/>
    <x v="1"/>
    <s v="Dr. Ayesha"/>
    <d v="2024-01-06T00:00:00"/>
    <d v="2024-06-14T00:00:00"/>
    <n v="25000"/>
    <s v="Cash"/>
    <s v="Discharged"/>
  </r>
  <r>
    <s v="Zubair Chaudhry"/>
    <n v="62"/>
    <x v="1"/>
    <s v="Female"/>
    <s v="Lahore"/>
    <x v="3"/>
    <s v="Dr. Ayesha"/>
    <d v="2024-01-23T00:00:00"/>
    <d v="2024-02-15T00:00:00"/>
    <n v="25000"/>
    <s v="Insurance"/>
    <s v="Under Treatment"/>
  </r>
  <r>
    <s v="Fariha Iqbal"/>
    <n v="78"/>
    <x v="1"/>
    <s v="Female"/>
    <s v="Multan"/>
    <x v="4"/>
    <s v="Dr. Ayesha"/>
    <d v="2024-06-26T00:00:00"/>
    <d v="2024-07-14T00:00:00"/>
    <n v="12000"/>
    <s v="Card"/>
    <s v="Recovered"/>
  </r>
  <r>
    <s v="Ali Niazi"/>
    <n v="76"/>
    <x v="1"/>
    <s v="Female"/>
    <s v="Lahore"/>
    <x v="0"/>
    <s v="Dr. Sana"/>
    <d v="2024-01-24T00:00:00"/>
    <d v="2024-01-27T00:00:00"/>
    <n v="75000"/>
    <s v="Card"/>
    <s v="Critical"/>
  </r>
  <r>
    <s v="Waqas Mirza"/>
    <n v="23"/>
    <x v="0"/>
    <s v="Female"/>
    <s v="Multan"/>
    <x v="1"/>
    <s v="Dr. Farah"/>
    <d v="2024-02-21T00:00:00"/>
    <d v="2024-03-16T00:00:00"/>
    <n v="75000"/>
    <s v="Card"/>
    <s v="Recovered"/>
  </r>
  <r>
    <s v="Nadia Akhtar"/>
    <n v="55"/>
    <x v="3"/>
    <s v="Male"/>
    <s v="Multan"/>
    <x v="0"/>
    <s v="Dr. Khalid"/>
    <d v="2024-03-30T00:00:00"/>
    <d v="2024-04-20T00:00:00"/>
    <n v="8000"/>
    <s v="Online Transfer"/>
    <s v="Discharged"/>
  </r>
  <r>
    <s v="Hina Nawaz"/>
    <n v="70"/>
    <x v="1"/>
    <s v="Female"/>
    <s v="Islamabad"/>
    <x v="5"/>
    <s v="Dr. Farah"/>
    <d v="2024-12-07T00:00:00"/>
    <d v="2024-07-21T00:00:00"/>
    <n v="8000"/>
    <s v="Insurance"/>
    <s v="Critical"/>
  </r>
  <r>
    <s v="Usman Ali"/>
    <n v="34"/>
    <x v="0"/>
    <s v="Male"/>
    <s v="Karachi"/>
    <x v="3"/>
    <s v="Dr. Sana"/>
    <d v="2024-09-06T00:00:00"/>
    <d v="2024-06-28T00:00:00"/>
    <n v="15000"/>
    <s v="Cash"/>
    <s v="Critical"/>
  </r>
  <r>
    <s v="UzMalea Chaudhry"/>
    <n v="53"/>
    <x v="3"/>
    <s v="Male"/>
    <s v="Lahore"/>
    <x v="2"/>
    <s v="Dr. Zubair"/>
    <d v="2024-07-03T00:00:00"/>
    <d v="2024-03-17T00:00:00"/>
    <n v="5000"/>
    <s v="Card"/>
    <s v="Under Treatment"/>
  </r>
  <r>
    <s v="Nida Ansari"/>
    <n v="68"/>
    <x v="1"/>
    <s v="Male"/>
    <s v="Islamabad"/>
    <x v="3"/>
    <s v="Dr. Sana"/>
    <d v="2024-07-15T00:00:00"/>
    <d v="2024-07-18T00:00:00"/>
    <n v="25000"/>
    <s v="Cash"/>
    <s v="Discharged"/>
  </r>
  <r>
    <s v="Nida Javed"/>
    <n v="84"/>
    <x v="1"/>
    <s v="Male"/>
    <s v="Peshawar"/>
    <x v="3"/>
    <s v="Dr. Ayesha"/>
    <d v="2024-09-16T00:00:00"/>
    <d v="2024-09-18T00:00:00"/>
    <n v="12000"/>
    <s v="Online Transfer"/>
    <s v="Recovered"/>
  </r>
  <r>
    <s v="Uzma Mirza"/>
    <n v="72"/>
    <x v="1"/>
    <s v="Male"/>
    <s v="Multan"/>
    <x v="3"/>
    <s v="Dr. Zubair"/>
    <d v="2024-01-10T00:00:00"/>
    <d v="2024-10-03T00:00:00"/>
    <n v="8000"/>
    <s v="Cash"/>
    <s v="Under Treatment"/>
  </r>
  <r>
    <s v="Saima Khan"/>
    <n v="58"/>
    <x v="3"/>
    <s v="Male"/>
    <s v="Multan"/>
    <x v="5"/>
    <s v="Dr. Zubair"/>
    <d v="2024-08-22T00:00:00"/>
    <d v="2024-09-07T00:00:00"/>
    <n v="5000"/>
    <s v="Insurance"/>
    <s v="Recovered"/>
  </r>
  <r>
    <s v="Sobia Qureshi"/>
    <n v="20"/>
    <x v="0"/>
    <s v="Female"/>
    <s v="Lahore"/>
    <x v="0"/>
    <s v="Dr. Zubair"/>
    <d v="2024-08-10T00:00:00"/>
    <d v="2024-10-23T00:00:00"/>
    <n v="20000"/>
    <s v="Cash"/>
    <s v="Recovered"/>
  </r>
  <r>
    <s v="Amna Ahmed"/>
    <n v="81"/>
    <x v="1"/>
    <s v="Male"/>
    <s v="Multan"/>
    <x v="0"/>
    <s v="Dr. Imran"/>
    <d v="2024-07-20T00:00:00"/>
    <d v="2024-08-17T00:00:00"/>
    <n v="25000"/>
    <s v="Online Transfer"/>
    <s v="Under Treatment"/>
  </r>
  <r>
    <s v="Amna Bhatti"/>
    <n v="45"/>
    <x v="3"/>
    <s v="Male"/>
    <s v="Multan"/>
    <x v="6"/>
    <s v="Dr. Zubair"/>
    <d v="2024-06-17T00:00:00"/>
    <d v="2024-07-06T00:00:00"/>
    <n v="25000"/>
    <s v="Insurance"/>
    <s v="Discharged"/>
  </r>
  <r>
    <s v="Nadia Chaudhry"/>
    <n v="23"/>
    <x v="0"/>
    <s v="Female"/>
    <s v="Peshawar"/>
    <x v="1"/>
    <s v="Dr. Khalid"/>
    <d v="2024-07-18T00:00:00"/>
    <d v="2024-08-10T00:00:00"/>
    <n v="35000"/>
    <s v="Card"/>
    <s v="Critical"/>
  </r>
  <r>
    <s v="Rabia Khan"/>
    <n v="72"/>
    <x v="1"/>
    <s v="Male"/>
    <s v="Faisalabad"/>
    <x v="6"/>
    <s v="Dr. Farah"/>
    <d v="2024-08-05T00:00:00"/>
    <d v="2024-05-16T00:00:00"/>
    <n v="12000"/>
    <s v="Cash"/>
    <s v="Under Treatment"/>
  </r>
  <r>
    <s v="Imran Qureshi"/>
    <n v="39"/>
    <x v="0"/>
    <s v="Female"/>
    <s v="Islamabad"/>
    <x v="4"/>
    <s v="Dr. Tariq"/>
    <d v="2024-07-24T00:00:00"/>
    <d v="2024-07-30T00:00:00"/>
    <n v="20000"/>
    <s v="Card"/>
    <s v="Under Treatment"/>
  </r>
  <r>
    <s v="Ali Malik"/>
    <n v="71"/>
    <x v="1"/>
    <s v="Female"/>
    <s v="Peshawar"/>
    <x v="3"/>
    <s v="Dr. Farah"/>
    <d v="2024-09-03T00:00:00"/>
    <d v="2024-09-24T00:00:00"/>
    <n v="25000"/>
    <s v="Insurance"/>
    <s v="Critical"/>
  </r>
  <r>
    <s v="Asad Malik"/>
    <n v="89"/>
    <x v="1"/>
    <s v="Male"/>
    <s v="Quetta"/>
    <x v="4"/>
    <s v="Dr. Imran"/>
    <d v="2024-10-27T00:00:00"/>
    <d v="2024-11-01T00:00:00"/>
    <n v="50000"/>
    <s v="Insurance"/>
    <s v="Recovered"/>
  </r>
  <r>
    <s v="Fariha Siddiqui"/>
    <n v="43"/>
    <x v="3"/>
    <s v="Female"/>
    <s v="Quetta"/>
    <x v="3"/>
    <s v="Dr. Tariq"/>
    <d v="2024-04-20T00:00:00"/>
    <d v="2024-05-13T00:00:00"/>
    <n v="8000"/>
    <s v="Cash"/>
    <s v="Under Treatment"/>
  </r>
  <r>
    <s v="Zubair Qureshi"/>
    <n v="50"/>
    <x v="3"/>
    <s v="Male"/>
    <s v="Lahore"/>
    <x v="2"/>
    <s v="Dr. Sana"/>
    <d v="2024-04-27T00:00:00"/>
    <d v="2024-05-08T00:00:00"/>
    <n v="8000"/>
    <s v="Insurance"/>
    <s v="Recovered"/>
  </r>
  <r>
    <s v="Saima Ahmed"/>
    <n v="12"/>
    <x v="2"/>
    <s v="Female"/>
    <s v="Peshawar"/>
    <x v="0"/>
    <s v="Dr. Farah"/>
    <d v="2024-05-14T00:00:00"/>
    <d v="2024-05-29T00:00:00"/>
    <n v="25000"/>
    <s v="Cash"/>
    <s v="Under Treatment"/>
  </r>
  <r>
    <s v="Zubair Nawaz"/>
    <n v="82"/>
    <x v="1"/>
    <s v="Female"/>
    <s v="Quetta"/>
    <x v="1"/>
    <s v="Dr. Farah"/>
    <d v="2024-10-08T00:00:00"/>
    <d v="2024-08-21T00:00:00"/>
    <n v="20000"/>
    <s v="Insurance"/>
    <s v="Under Treatment"/>
  </r>
  <r>
    <s v="Rabia Bhatti"/>
    <n v="48"/>
    <x v="3"/>
    <s v="Male"/>
    <s v="Peshawar"/>
    <x v="4"/>
    <s v="Dr. Sana"/>
    <d v="2024-04-03T00:00:00"/>
    <d v="2024-04-18T00:00:00"/>
    <n v="75000"/>
    <s v="Online Transfer"/>
    <s v="Critical"/>
  </r>
  <r>
    <s v="Lubna Abbasi"/>
    <n v="79"/>
    <x v="1"/>
    <s v="Female"/>
    <s v="Faisalabad"/>
    <x v="6"/>
    <s v="Dr. Sana"/>
    <d v="2024-01-18T00:00:00"/>
    <d v="2024-02-17T00:00:00"/>
    <n v="50000"/>
    <s v="Insurance"/>
    <s v="Recovered"/>
  </r>
  <r>
    <s v="Sana Javed"/>
    <n v="2"/>
    <x v="2"/>
    <s v="Female"/>
    <s v="Peshawar"/>
    <x v="3"/>
    <s v="Dr. Zubair"/>
    <d v="2024-01-31T00:00:00"/>
    <d v="2024-02-24T00:00:00"/>
    <n v="15000"/>
    <s v="Insurance"/>
    <s v="Recovered"/>
  </r>
  <r>
    <s v="Uzma Nawaz"/>
    <n v="55"/>
    <x v="3"/>
    <s v="Male"/>
    <s v="Karachi"/>
    <x v="0"/>
    <s v="Dr. Imran"/>
    <d v="2024-06-04T00:00:00"/>
    <d v="2024-04-11T00:00:00"/>
    <n v="15000"/>
    <s v="Card"/>
    <s v="Recovered"/>
  </r>
  <r>
    <s v="Sana Ahmed"/>
    <n v="6"/>
    <x v="2"/>
    <s v="Male"/>
    <s v="Karachi"/>
    <x v="0"/>
    <s v="Dr. Ayesha"/>
    <d v="2024-04-15T00:00:00"/>
    <d v="2024-04-22T00:00:00"/>
    <n v="75000"/>
    <s v="Cash"/>
    <s v="Under Treatment"/>
  </r>
  <r>
    <s v="Farhan Chaudhry"/>
    <n v="61"/>
    <x v="1"/>
    <s v="Female"/>
    <s v="Faisalabad"/>
    <x v="3"/>
    <s v="Dr. Tariq"/>
    <d v="2024-06-21T00:00:00"/>
    <d v="2024-06-29T00:00:00"/>
    <n v="20000"/>
    <s v="Cash"/>
    <s v="Discharged"/>
  </r>
  <r>
    <s v="Fatima Sheikh"/>
    <n v="75"/>
    <x v="1"/>
    <s v="Male"/>
    <s v="Faisalabad"/>
    <x v="1"/>
    <s v="Dr. Ayesha"/>
    <d v="2024-07-23T00:00:00"/>
    <d v="2024-08-22T00:00:00"/>
    <n v="20000"/>
    <s v="Card"/>
    <s v="Critical"/>
  </r>
  <r>
    <s v="Zara Javed"/>
    <n v="43"/>
    <x v="3"/>
    <s v="Female"/>
    <s v="Faisalabad"/>
    <x v="2"/>
    <s v="Dr. Sana"/>
    <d v="2024-10-09T00:00:00"/>
    <d v="2024-09-11T00:00:00"/>
    <n v="50000"/>
    <s v="Cash"/>
    <s v="Critical"/>
  </r>
  <r>
    <s v="Lubna Niazi"/>
    <n v="12"/>
    <x v="2"/>
    <s v="Female"/>
    <s v="Karachi"/>
    <x v="6"/>
    <s v="Dr. Sana"/>
    <d v="2024-07-10T00:00:00"/>
    <d v="2024-08-02T00:00:00"/>
    <n v="5000"/>
    <s v="Insurance"/>
    <s v="Critical"/>
  </r>
  <r>
    <s v="Sana Mirza"/>
    <n v="76"/>
    <x v="1"/>
    <s v="Female"/>
    <s v="Multan"/>
    <x v="3"/>
    <s v="Dr. Tariq"/>
    <d v="2024-05-15T00:00:00"/>
    <d v="2024-05-28T00:00:00"/>
    <n v="12000"/>
    <s v="Insurance"/>
    <s v="Critical"/>
  </r>
  <r>
    <s v="Waqas Nawaz"/>
    <n v="11"/>
    <x v="2"/>
    <s v="Male"/>
    <s v="Multan"/>
    <x v="4"/>
    <s v="Dr. Khalid"/>
    <d v="2024-02-11T00:00:00"/>
    <d v="2024-03-04T00:00:00"/>
    <n v="15000"/>
    <s v="Cash"/>
    <s v="Critical"/>
  </r>
  <r>
    <s v="Tariq Akhtar"/>
    <n v="29"/>
    <x v="0"/>
    <s v="Male"/>
    <s v="Karachi"/>
    <x v="1"/>
    <s v="Dr. Ayesha"/>
    <d v="2024-10-10T00:00:00"/>
    <d v="2024-10-19T00:00:00"/>
    <n v="75000"/>
    <s v="Online Transfer"/>
    <s v="Under Treatment"/>
  </r>
  <r>
    <s v="Waqas Khan"/>
    <n v="44"/>
    <x v="3"/>
    <s v="Female"/>
    <s v="Lahore"/>
    <x v="4"/>
    <s v="Dr. Tariq"/>
    <d v="2024-11-09T00:00:00"/>
    <d v="2024-10-05T00:00:00"/>
    <n v="12000"/>
    <s v="Insurance"/>
    <s v="Recovered"/>
  </r>
  <r>
    <s v="Nadia Ahmed"/>
    <n v="20"/>
    <x v="0"/>
    <s v="Male"/>
    <s v="Islamabad"/>
    <x v="3"/>
    <s v="Dr. Sana"/>
    <d v="2024-03-15T00:00:00"/>
    <d v="2024-03-17T00:00:00"/>
    <n v="12000"/>
    <s v="Card"/>
    <s v="Critical"/>
  </r>
  <r>
    <s v="Asad Chaudhry"/>
    <n v="32"/>
    <x v="0"/>
    <s v="Female"/>
    <s v="Lahore"/>
    <x v="6"/>
    <s v="Dr. Ayesha"/>
    <d v="2024-09-05T00:00:00"/>
    <d v="2024-05-23T00:00:00"/>
    <n v="8000"/>
    <s v="Cash"/>
    <s v="Under Treatment"/>
  </r>
  <r>
    <s v="Ali Bhatti"/>
    <n v="88"/>
    <x v="1"/>
    <s v="Male"/>
    <s v="Islamabad"/>
    <x v="4"/>
    <s v="Dr. Sana"/>
    <d v="2024-03-07T00:00:00"/>
    <d v="2024-07-08T00:00:00"/>
    <n v="100000"/>
    <s v="Insurance"/>
    <s v="Under Treatment"/>
  </r>
  <r>
    <s v="Uzma Ansari"/>
    <n v="66"/>
    <x v="1"/>
    <s v="Female"/>
    <s v="Islamabad"/>
    <x v="4"/>
    <s v="Dr. Zubair"/>
    <d v="2024-10-04T00:00:00"/>
    <d v="2024-04-25T00:00:00"/>
    <n v="15000"/>
    <s v="Card"/>
    <s v="Recovered"/>
  </r>
  <r>
    <s v="Hamid Raza"/>
    <n v="44"/>
    <x v="3"/>
    <s v="Female"/>
    <s v="Unknown"/>
    <x v="2"/>
    <s v="Dr. Ayesha"/>
    <d v="2024-02-21T00:00:00"/>
    <d v="2024-03-10T00:00:00"/>
    <n v="5000"/>
    <s v="Insurance"/>
    <s v="Recovered"/>
  </r>
  <r>
    <s v="Hassan Chaudhry"/>
    <n v="56"/>
    <x v="3"/>
    <s v="Male"/>
    <s v="Karachi"/>
    <x v="6"/>
    <s v="Dr. Ayesha"/>
    <d v="2024-01-09T00:00:00"/>
    <d v="2024-01-17T00:00:00"/>
    <n v="8000"/>
    <s v="Cash"/>
    <s v="Recovered"/>
  </r>
  <r>
    <s v="Ahmed Ali"/>
    <n v="3"/>
    <x v="2"/>
    <s v="Female"/>
    <s v="Faisalabad"/>
    <x v="1"/>
    <s v="Dr. Zubair"/>
    <d v="2024-09-07T00:00:00"/>
    <d v="2024-08-03T00:00:00"/>
    <n v="25000"/>
    <s v="Insurance"/>
    <s v="Discharged"/>
  </r>
  <r>
    <s v="Tariq Niazi"/>
    <n v="7"/>
    <x v="2"/>
    <s v="Female"/>
    <s v="Lahore"/>
    <x v="4"/>
    <s v="Dr. Ayesha"/>
    <d v="2024-09-19T00:00:00"/>
    <d v="2024-10-04T00:00:00"/>
    <n v="25000"/>
    <s v="Cash"/>
    <s v="Critical"/>
  </r>
  <r>
    <s v="Zara Butt"/>
    <n v="85"/>
    <x v="1"/>
    <s v="Female"/>
    <s v="Quetta"/>
    <x v="6"/>
    <s v="Dr. Farah"/>
    <d v="2024-04-20T00:00:00"/>
    <d v="2024-05-12T00:00:00"/>
    <n v="15000"/>
    <s v="Unknown"/>
    <s v="Critical"/>
  </r>
  <r>
    <s v="Saima Qureshi"/>
    <n v="79"/>
    <x v="1"/>
    <s v="Female"/>
    <s v="Karachi"/>
    <x v="3"/>
    <s v="Dr. Zubair"/>
    <d v="2024-10-10T00:00:00"/>
    <d v="2024-10-24T00:00:00"/>
    <n v="15000"/>
    <s v="Cash"/>
    <s v="Recovered"/>
  </r>
  <r>
    <s v="Zara Javed"/>
    <n v="16"/>
    <x v="2"/>
    <s v="Male"/>
    <s v="Lahore"/>
    <x v="0"/>
    <s v="Dr. Ayesha"/>
    <d v="2024-06-08T00:00:00"/>
    <d v="2024-09-02T00:00:00"/>
    <n v="8000"/>
    <s v="Card"/>
    <s v="Recovered"/>
  </r>
  <r>
    <s v="Fariha Qureshi"/>
    <n v="27"/>
    <x v="0"/>
    <s v="Male"/>
    <s v="Multan"/>
    <x v="5"/>
    <s v="Dr. Sana"/>
    <d v="2024-08-20T00:00:00"/>
    <d v="2024-09-09T00:00:00"/>
    <n v="20000"/>
    <s v="Card"/>
    <s v="Discharged"/>
  </r>
  <r>
    <s v="Usman Nawaz"/>
    <n v="60"/>
    <x v="1"/>
    <s v="Female"/>
    <s v="Faisalabad"/>
    <x v="4"/>
    <s v="Dr. Zubair"/>
    <d v="2024-05-05T00:00:00"/>
    <d v="2024-05-31T00:00:00"/>
    <n v="75000"/>
    <s v="Cash"/>
    <s v="Under Treatment"/>
  </r>
  <r>
    <s v="Ahmed Ali"/>
    <n v="22"/>
    <x v="0"/>
    <s v="Male"/>
    <s v="Faisalabad"/>
    <x v="5"/>
    <s v="Dr. Ayesha"/>
    <d v="2024-09-25T00:00:00"/>
    <d v="2024-10-14T00:00:00"/>
    <n v="35000"/>
    <s v="Card"/>
    <s v="Recovered"/>
  </r>
  <r>
    <s v="Amna Siddiqui"/>
    <n v="24"/>
    <x v="0"/>
    <s v="Female"/>
    <s v="Quetta"/>
    <x v="6"/>
    <s v="Dr. Khalid"/>
    <d v="2024-11-04T00:00:00"/>
    <d v="2024-05-06T00:00:00"/>
    <n v="75000"/>
    <s v="Card"/>
    <s v="Critical"/>
  </r>
  <r>
    <s v="Usman Malik"/>
    <n v="81"/>
    <x v="1"/>
    <s v="Female"/>
    <s v="Islamabad"/>
    <x v="5"/>
    <s v="Dr. Zubair"/>
    <d v="2024-08-25T00:00:00"/>
    <d v="2024-08-31T00:00:00"/>
    <n v="25000"/>
    <s v="Card"/>
    <s v="Under Treatment"/>
  </r>
  <r>
    <s v="Hassan Chaudhry"/>
    <n v="36"/>
    <x v="0"/>
    <s v="Male"/>
    <s v="Quetta"/>
    <x v="5"/>
    <s v="Dr. Imran"/>
    <d v="2024-02-22T00:00:00"/>
    <d v="2024-03-17T00:00:00"/>
    <n v="50000"/>
    <s v="Insurance"/>
    <s v="Discharged"/>
  </r>
  <r>
    <s v="Bilal Chaudhry"/>
    <n v="59"/>
    <x v="3"/>
    <s v="Male"/>
    <s v="Lahore"/>
    <x v="5"/>
    <s v="Dr. Tariq"/>
    <d v="2024-01-15T00:00:00"/>
    <d v="2024-02-01T00:00:00"/>
    <n v="0"/>
    <s v="Card"/>
    <s v="Recovered"/>
  </r>
  <r>
    <s v="Mehwish Mirza"/>
    <n v="2"/>
    <x v="2"/>
    <s v="Unknown"/>
    <s v="Faisalabad"/>
    <x v="0"/>
    <s v="Dr. Imran"/>
    <d v="2024-01-10T00:00:00"/>
    <d v="2024-10-10T00:00:00"/>
    <n v="75000"/>
    <s v="Cash"/>
    <s v="Under Treatment"/>
  </r>
  <r>
    <s v="Tariq Iqbal"/>
    <n v="74"/>
    <x v="1"/>
    <s v="Male"/>
    <s v="Quetta"/>
    <x v="3"/>
    <s v="Dr. Ayesha"/>
    <d v="2024-03-20T00:00:00"/>
    <d v="2024-04-16T00:00:00"/>
    <n v="5000"/>
    <s v="Cash"/>
    <s v="Discharged"/>
  </r>
  <r>
    <s v="Fatima Niazi"/>
    <s v="Unknown"/>
    <x v="4"/>
    <s v="Female"/>
    <s v="Multan"/>
    <x v="5"/>
    <s v="Dr. Sana"/>
    <d v="2024-10-26T00:00:00"/>
    <d v="2024-11-24T00:00:00"/>
    <n v="75000"/>
    <s v="Online Transfer"/>
    <s v="Recovered"/>
  </r>
  <r>
    <s v="Sobia Ali"/>
    <n v="59"/>
    <x v="3"/>
    <s v="Female"/>
    <s v="Lahore"/>
    <x v="3"/>
    <s v="Dr. Tariq"/>
    <d v="2024-02-22T00:00:00"/>
    <d v="2024-03-16T00:00:00"/>
    <n v="5000"/>
    <s v="Cash"/>
    <s v="Under Treatment"/>
  </r>
  <r>
    <s v="Saima Qureshi"/>
    <n v="37"/>
    <x v="0"/>
    <s v="Male"/>
    <s v="Faisalabad"/>
    <x v="0"/>
    <s v="Dr. Imran"/>
    <d v="2024-01-09T00:00:00"/>
    <d v="2024-09-27T00:00:00"/>
    <n v="5000"/>
    <s v="Card"/>
    <s v="Under Treatment"/>
  </r>
  <r>
    <s v="Tariq Abbasi"/>
    <n v="33"/>
    <x v="0"/>
    <s v="Male"/>
    <s v="Lahore"/>
    <x v="0"/>
    <s v="Dr. Imran"/>
    <d v="2024-02-14T00:00:00"/>
    <d v="2024-02-17T00:00:00"/>
    <n v="35000"/>
    <s v="Insurance"/>
    <s v="Discharged"/>
  </r>
  <r>
    <s v="Hamid Niazi"/>
    <n v="19"/>
    <x v="0"/>
    <s v="Male"/>
    <s v="Quetta"/>
    <x v="4"/>
    <s v="Dr. Tariq"/>
    <d v="2024-02-24T00:00:00"/>
    <d v="2024-02-27T00:00:00"/>
    <n v="8000"/>
    <s v="Card"/>
    <s v="Discharged"/>
  </r>
  <r>
    <s v="Usman Qureshi"/>
    <n v="65"/>
    <x v="1"/>
    <s v="Male"/>
    <s v="Karachi"/>
    <x v="4"/>
    <s v="Dr. Ayesha"/>
    <d v="2024-09-19T00:00:00"/>
    <d v="2024-09-29T00:00:00"/>
    <n v="50000"/>
    <s v="Insurance"/>
    <s v="Critical"/>
  </r>
  <r>
    <s v="Asad Ansari"/>
    <n v="76"/>
    <x v="1"/>
    <s v="Female"/>
    <s v="Multan"/>
    <x v="0"/>
    <s v="Dr. Sana"/>
    <d v="2024-10-03T00:00:00"/>
    <d v="2024-04-03T00:00:00"/>
    <n v="15000"/>
    <s v="Unknown"/>
    <s v="Discharged"/>
  </r>
  <r>
    <s v="Farhan Javed"/>
    <n v="33"/>
    <x v="0"/>
    <s v="Female"/>
    <s v="Multan"/>
    <x v="4"/>
    <s v="Dr. Tariq"/>
    <d v="2024-08-02T00:00:00"/>
    <d v="2024-02-28T00:00:00"/>
    <n v="75000"/>
    <s v="Cash"/>
    <s v="Under Treatment"/>
  </r>
  <r>
    <s v="Rabia Iqbal"/>
    <n v="87"/>
    <x v="1"/>
    <s v="Male"/>
    <s v="Peshawar"/>
    <x v="2"/>
    <s v="Dr. Sana"/>
    <d v="2024-09-29T00:00:00"/>
    <d v="2024-10-01T00:00:00"/>
    <n v="15000"/>
    <s v="Cash"/>
    <s v="Discharged"/>
  </r>
  <r>
    <s v="Asad Ansari"/>
    <n v="62"/>
    <x v="1"/>
    <s v="Unknown"/>
    <s v="Lahore"/>
    <x v="0"/>
    <s v="Dr. Khalid"/>
    <d v="2024-05-07T00:00:00"/>
    <d v="2024-05-25T00:00:00"/>
    <n v="35000"/>
    <s v="Insurance"/>
    <s v="Under Treatment"/>
  </r>
  <r>
    <s v="Zubair Qureshi"/>
    <n v="41"/>
    <x v="3"/>
    <s v="Female"/>
    <s v="Multan"/>
    <x v="1"/>
    <s v="Dr. Farah"/>
    <d v="2024-01-07T00:00:00"/>
    <d v="2024-07-24T00:00:00"/>
    <n v="8000"/>
    <s v="Online Transfer"/>
    <s v="Recovered"/>
  </r>
  <r>
    <s v="Omer Raza"/>
    <n v="53"/>
    <x v="3"/>
    <s v="Female"/>
    <s v="Faisalabad"/>
    <x v="2"/>
    <s v="Dr. Ayesha"/>
    <d v="2024-06-01T00:00:00"/>
    <d v="2024-02-04T00:00:00"/>
    <n v="25000"/>
    <s v="Card"/>
    <s v="Under Treatment"/>
  </r>
  <r>
    <s v="Bilal Mirza"/>
    <n v="16"/>
    <x v="2"/>
    <s v="Male"/>
    <s v="Peshawar"/>
    <x v="3"/>
    <s v="Dr. Sana"/>
    <d v="2024-08-07T00:00:00"/>
    <d v="2024-07-28T00:00:00"/>
    <n v="35000"/>
    <s v="Insurance"/>
    <s v="Recovered"/>
  </r>
  <r>
    <s v="Ahmed Bhatti"/>
    <n v="66"/>
    <x v="1"/>
    <s v="Male"/>
    <s v="Quetta"/>
    <x v="2"/>
    <s v="Dr. Tariq"/>
    <d v="2024-09-13T00:00:00"/>
    <d v="2024-10-10T00:00:00"/>
    <n v="20000"/>
    <s v="Online Transfer"/>
    <s v="Recovered"/>
  </r>
  <r>
    <s v="Mehwish Ahmed"/>
    <s v="Unknown"/>
    <x v="4"/>
    <s v="Male"/>
    <s v="Lahore"/>
    <x v="1"/>
    <s v="Dr. Tariq"/>
    <d v="2024-11-07T00:00:00"/>
    <d v="2024-07-22T00:00:00"/>
    <n v="5000"/>
    <s v="Insurance"/>
    <s v="Critical"/>
  </r>
  <r>
    <s v="Asad Javed"/>
    <n v="73"/>
    <x v="1"/>
    <s v="Female"/>
    <s v="Karachi"/>
    <x v="0"/>
    <s v="Dr. Imran"/>
    <d v="2024-02-14T00:00:00"/>
    <d v="2024-03-01T00:00:00"/>
    <n v="75000"/>
    <s v="Insurance"/>
    <s v="Under Treatment"/>
  </r>
  <r>
    <s v="Zara Javed"/>
    <n v="43"/>
    <x v="3"/>
    <s v="Male"/>
    <s v="Peshawar"/>
    <x v="5"/>
    <s v="Dr. Khalid"/>
    <d v="2024-08-19T00:00:00"/>
    <d v="2024-09-11T00:00:00"/>
    <n v="100000"/>
    <s v="Insurance"/>
    <s v="Recovered"/>
  </r>
  <r>
    <s v="Omer Iqbal"/>
    <n v="20"/>
    <x v="0"/>
    <s v="Female"/>
    <s v="Lahore"/>
    <x v="1"/>
    <s v="Dr. Ayesha"/>
    <d v="2024-10-05T00:00:00"/>
    <d v="2024-06-08T00:00:00"/>
    <n v="12000"/>
    <s v="Insurance"/>
    <s v="Recovered"/>
  </r>
  <r>
    <s v="Bilal Chaudhry"/>
    <n v="45"/>
    <x v="3"/>
    <s v="Female"/>
    <s v="Faisalabad"/>
    <x v="0"/>
    <s v="Dr. Sana"/>
    <d v="2024-08-14T00:00:00"/>
    <d v="2024-09-02T00:00:00"/>
    <n v="20000"/>
    <s v="Cash"/>
    <s v="Discharged"/>
  </r>
  <r>
    <s v="Danish Ahmed"/>
    <s v="Unknown"/>
    <x v="4"/>
    <s v="Female"/>
    <s v="Lahore"/>
    <x v="2"/>
    <s v="Dr. Zubair"/>
    <d v="2024-06-03T00:00:00"/>
    <d v="2024-03-17T00:00:00"/>
    <n v="5000"/>
    <s v="Cash"/>
    <s v="Under Treatment"/>
  </r>
  <r>
    <s v="Hina Iqbal"/>
    <n v="2"/>
    <x v="2"/>
    <s v="Female"/>
    <s v="Quetta"/>
    <x v="4"/>
    <s v="Dr. Zubair"/>
    <d v="2024-07-13T00:00:00"/>
    <d v="2024-08-06T00:00:00"/>
    <n v="25000"/>
    <s v="Insurance"/>
    <s v="Recovered"/>
  </r>
  <r>
    <s v="Sana Bhatti"/>
    <n v="22"/>
    <x v="0"/>
    <s v="Unknown"/>
    <s v="Faisalabad"/>
    <x v="6"/>
    <s v="Dr. Zubair"/>
    <d v="2024-01-20T00:00:00"/>
    <d v="2024-02-07T00:00:00"/>
    <n v="25000"/>
    <s v="Online Transfer"/>
    <s v="Recovered"/>
  </r>
  <r>
    <s v="Kamran Butt"/>
    <n v="33"/>
    <x v="0"/>
    <s v="Male"/>
    <s v="Multan"/>
    <x v="6"/>
    <s v="Dr. Ayesha"/>
    <d v="2024-01-28T00:00:00"/>
    <d v="2024-02-07T00:00:00"/>
    <n v="8000"/>
    <s v="Cash"/>
    <s v="Discharged"/>
  </r>
  <r>
    <s v="Imran Hassan"/>
    <n v="39"/>
    <x v="0"/>
    <s v="Male"/>
    <s v="Faisalabad"/>
    <x v="4"/>
    <s v="Dr. Ayesha"/>
    <d v="2024-03-20T00:00:00"/>
    <d v="2024-04-13T00:00:00"/>
    <n v="0"/>
    <s v="Card"/>
    <s v="Recovered"/>
  </r>
  <r>
    <s v="Kamran Iqbal"/>
    <n v="34"/>
    <x v="0"/>
    <s v="Female"/>
    <s v="Karachi"/>
    <x v="0"/>
    <s v="Dr. Zubair"/>
    <d v="2024-08-09T00:00:00"/>
    <d v="2024-10-01T00:00:00"/>
    <n v="12000"/>
    <s v="Card"/>
    <s v="Critical"/>
  </r>
  <r>
    <s v="Danish Javed"/>
    <n v="81"/>
    <x v="1"/>
    <s v="Male"/>
    <s v="Quetta"/>
    <x v="6"/>
    <s v="Dr. Ayesha"/>
    <d v="2024-01-21T00:00:00"/>
    <d v="2024-01-24T00:00:00"/>
    <n v="15000"/>
    <s v="Card"/>
    <s v="Discharged"/>
  </r>
  <r>
    <s v="Imran Raza"/>
    <n v="76"/>
    <x v="1"/>
    <s v="Female"/>
    <s v="Multan"/>
    <x v="4"/>
    <s v="Dr. Ayesha"/>
    <d v="2024-11-04T00:00:00"/>
    <d v="2024-04-27T00:00:00"/>
    <n v="100000"/>
    <s v="Card"/>
    <s v="Critical"/>
  </r>
  <r>
    <s v="Waqas Abbasi"/>
    <n v="16"/>
    <x v="2"/>
    <s v="Male"/>
    <s v="Quetta"/>
    <x v="6"/>
    <s v="Dr. Tariq"/>
    <d v="2024-07-20T00:00:00"/>
    <d v="2024-07-29T00:00:00"/>
    <n v="15000"/>
    <s v="Card"/>
    <s v="Critical"/>
  </r>
  <r>
    <s v="Saima Ali"/>
    <n v="17"/>
    <x v="2"/>
    <s v="Male"/>
    <s v="Karachi"/>
    <x v="3"/>
    <s v="Dr. Zubair"/>
    <d v="2024-10-19T00:00:00"/>
    <d v="2024-10-30T00:00:00"/>
    <n v="100000"/>
    <s v="Insurance"/>
    <s v="Under Treatment"/>
  </r>
  <r>
    <s v="Nida Ansari"/>
    <n v="23"/>
    <x v="0"/>
    <s v="Male"/>
    <s v="Karachi"/>
    <x v="5"/>
    <s v="Dr. Khalid"/>
    <d v="2024-01-02T00:00:00"/>
    <d v="2024-01-13T00:00:00"/>
    <n v="5000"/>
    <s v="Online Transfer"/>
    <s v="Discharged"/>
  </r>
  <r>
    <s v="Bilal Mirza"/>
    <n v="25"/>
    <x v="0"/>
    <s v="Male"/>
    <s v="Faisalabad"/>
    <x v="4"/>
    <s v="Dr. Ayesha"/>
    <d v="2024-10-24T00:00:00"/>
    <d v="2024-11-02T00:00:00"/>
    <n v="15000"/>
    <s v="Cash"/>
    <s v="Critical"/>
  </r>
  <r>
    <s v="Sara Khan"/>
    <n v="11"/>
    <x v="2"/>
    <s v="Male"/>
    <s v="Quetta"/>
    <x v="2"/>
    <s v="Dr. Imran"/>
    <d v="2024-01-25T00:00:00"/>
    <d v="2024-02-24T00:00:00"/>
    <n v="35000"/>
    <s v="Insurance"/>
    <s v="Under Treatment"/>
  </r>
  <r>
    <s v="Lubna Bhatti"/>
    <n v="12"/>
    <x v="2"/>
    <s v="Male"/>
    <s v="Islamabad"/>
    <x v="4"/>
    <s v="Dr. Imran"/>
    <d v="2024-07-27T00:00:00"/>
    <d v="2024-08-01T00:00:00"/>
    <n v="20000"/>
    <s v="Online Transfer"/>
    <s v="Under Treatment"/>
  </r>
  <r>
    <s v="Farhan Butt"/>
    <n v="50"/>
    <x v="3"/>
    <s v="Female"/>
    <s v="Faisalabad"/>
    <x v="1"/>
    <s v="Dr. Tariq"/>
    <d v="2024-06-27T00:00:00"/>
    <d v="2024-07-13T00:00:00"/>
    <n v="100000"/>
    <s v="Insurance"/>
    <s v="Discharged"/>
  </r>
  <r>
    <s v="Hamid Nawaz"/>
    <n v="18"/>
    <x v="0"/>
    <s v="Female"/>
    <s v="Lahore"/>
    <x v="5"/>
    <s v="Dr. Farah"/>
    <d v="2024-10-13T00:00:00"/>
    <d v="2024-10-27T00:00:00"/>
    <n v="20000"/>
    <s v="Online Transfer"/>
    <s v="Critical"/>
  </r>
  <r>
    <s v="Amna Butt"/>
    <n v="46"/>
    <x v="3"/>
    <s v="Male"/>
    <s v="Islamabad"/>
    <x v="0"/>
    <s v="Dr. Tariq"/>
    <d v="2024-02-19T00:00:00"/>
    <d v="2024-02-29T00:00:00"/>
    <n v="5000"/>
    <s v="Card"/>
    <s v="Discharged"/>
  </r>
  <r>
    <s v="Nadia Bhatti"/>
    <n v="25"/>
    <x v="0"/>
    <s v="Female"/>
    <s v="Faisalabad"/>
    <x v="1"/>
    <s v="Dr. Zubair"/>
    <d v="2024-03-03T00:00:00"/>
    <d v="2024-03-16T00:00:00"/>
    <n v="12000"/>
    <s v="Online Transfer"/>
    <s v="Recovered"/>
  </r>
  <r>
    <s v="Farhan Niazi"/>
    <n v="59"/>
    <x v="3"/>
    <s v="Male"/>
    <s v="Karachi"/>
    <x v="6"/>
    <s v="Dr. Imran"/>
    <d v="2024-09-09T00:00:00"/>
    <d v="2024-09-28T00:00:00"/>
    <n v="75000"/>
    <s v="Insurance"/>
    <s v="Recovered"/>
  </r>
  <r>
    <s v="Fatima Ahmed"/>
    <n v="41"/>
    <x v="3"/>
    <s v="Female"/>
    <s v="Quetta"/>
    <x v="0"/>
    <s v="Dr. Imran"/>
    <d v="2024-06-06T00:00:00"/>
    <d v="2024-06-14T00:00:00"/>
    <n v="20000"/>
    <s v="Unknown"/>
    <s v="Discharged"/>
  </r>
  <r>
    <s v="Fatima Hassan"/>
    <n v="16"/>
    <x v="2"/>
    <s v="Female"/>
    <s v="Lahore"/>
    <x v="0"/>
    <s v="Dr. Imran"/>
    <d v="2024-08-04T00:00:00"/>
    <d v="2024-04-30T00:00:00"/>
    <n v="5000"/>
    <s v="Insurance"/>
    <s v="Under Treatment"/>
  </r>
  <r>
    <s v="Hamid Mirza"/>
    <n v="20"/>
    <x v="0"/>
    <s v="Female"/>
    <s v="Lahore"/>
    <x v="1"/>
    <s v="Dr. Zubair"/>
    <d v="2024-01-14T00:00:00"/>
    <d v="2024-01-26T00:00:00"/>
    <n v="25000"/>
    <s v="Card"/>
    <s v="Recovered"/>
  </r>
  <r>
    <s v="Ahmed Raza"/>
    <n v="68"/>
    <x v="1"/>
    <s v="Female"/>
    <s v="Multan"/>
    <x v="3"/>
    <s v="Dr. Sana"/>
    <d v="2024-06-04T00:00:00"/>
    <d v="2024-04-17T00:00:00"/>
    <n v="20000"/>
    <s v="Online Transfer"/>
    <s v="Critical"/>
  </r>
  <r>
    <s v="Danish Nawaz"/>
    <n v="12"/>
    <x v="2"/>
    <s v="Female"/>
    <s v="Multan"/>
    <x v="6"/>
    <s v="Dr. Tariq"/>
    <d v="2024-01-01T00:00:00"/>
    <d v="2024-01-17T00:00:00"/>
    <n v="75000"/>
    <s v="Cash"/>
    <s v="Critical"/>
  </r>
  <r>
    <s v="Usman Sheikh"/>
    <n v="56"/>
    <x v="3"/>
    <s v="Female"/>
    <s v="Islamabad"/>
    <x v="6"/>
    <s v="Dr. Sana"/>
    <d v="2024-04-04T00:00:00"/>
    <d v="2024-04-20T00:00:00"/>
    <n v="50000"/>
    <s v="Online Transfer"/>
    <s v="Critical"/>
  </r>
  <r>
    <s v="Farhan Niazi"/>
    <n v="56"/>
    <x v="3"/>
    <s v="Male"/>
    <s v="Quetta"/>
    <x v="4"/>
    <s v="Dr. Tariq"/>
    <d v="2024-01-03T00:00:00"/>
    <d v="2024-03-29T00:00:00"/>
    <n v="8000"/>
    <s v="Insurance"/>
    <s v="Discharged"/>
  </r>
  <r>
    <s v="Mehwish Butt"/>
    <n v="22"/>
    <x v="0"/>
    <s v="Female"/>
    <s v="Quetta"/>
    <x v="4"/>
    <s v="Dr. Khalid"/>
    <d v="2024-01-08T00:00:00"/>
    <d v="2024-01-28T00:00:00"/>
    <n v="20000"/>
    <s v="Cash"/>
    <s v="Recovered"/>
  </r>
  <r>
    <s v="Ahmed Bhatti"/>
    <n v="1"/>
    <x v="2"/>
    <s v="Male"/>
    <s v="Peshawar"/>
    <x v="4"/>
    <s v="Dr. Zubair"/>
    <d v="2024-07-06T00:00:00"/>
    <d v="2024-06-27T00:00:00"/>
    <n v="25000"/>
    <s v="Online Transfer"/>
    <s v="Recovered"/>
  </r>
  <r>
    <s v="Lubna Malik"/>
    <n v="57"/>
    <x v="3"/>
    <s v="Male"/>
    <s v="Peshawar"/>
    <x v="4"/>
    <s v="Dr. Ayesha"/>
    <d v="2024-08-03T00:00:00"/>
    <d v="2024-03-30T00:00:00"/>
    <n v="5000"/>
    <s v="Online Transfer"/>
    <s v="Recovered"/>
  </r>
  <r>
    <s v="Danish Chaudhry"/>
    <n v="5"/>
    <x v="2"/>
    <s v="Male"/>
    <s v="Karachi"/>
    <x v="4"/>
    <s v="Dr. Ayesha"/>
    <d v="2024-01-17T00:00:00"/>
    <d v="2024-01-30T00:00:00"/>
    <n v="100000"/>
    <s v="Cash"/>
    <s v="Critical"/>
  </r>
  <r>
    <s v="Hassan Qureshi"/>
    <n v="83"/>
    <x v="1"/>
    <s v="Female"/>
    <s v="Multan"/>
    <x v="5"/>
    <s v="Dr. Farah"/>
    <d v="2024-05-22T00:00:00"/>
    <d v="2024-06-19T00:00:00"/>
    <n v="100000"/>
    <s v="Cash"/>
    <s v="Critical"/>
  </r>
  <r>
    <s v="Hamid Khan"/>
    <n v="8"/>
    <x v="2"/>
    <s v="Female"/>
    <s v="Multan"/>
    <x v="0"/>
    <s v="Dr. Tariq"/>
    <d v="2024-04-01T00:00:00"/>
    <d v="2024-01-19T00:00:00"/>
    <n v="50000"/>
    <s v="Insurance"/>
    <s v="Discharged"/>
  </r>
  <r>
    <s v="Fatima Hassan"/>
    <n v="7"/>
    <x v="2"/>
    <s v="Female"/>
    <s v="Islamabad"/>
    <x v="1"/>
    <s v="Dr. Ayesha"/>
    <d v="2024-09-02T00:00:00"/>
    <d v="2024-03-09T00:00:00"/>
    <n v="50000"/>
    <s v="Online Transfer"/>
    <s v="Under Treatment"/>
  </r>
  <r>
    <s v="Saima Mirza"/>
    <n v="42"/>
    <x v="3"/>
    <s v="Male"/>
    <s v="Lahore"/>
    <x v="3"/>
    <s v="Dr. Ayesha"/>
    <d v="2024-10-18T00:00:00"/>
    <d v="2024-11-10T00:00:00"/>
    <n v="35000"/>
    <s v="Cash"/>
    <s v="Recovered"/>
  </r>
  <r>
    <s v="Fariha Niazi"/>
    <n v="71"/>
    <x v="1"/>
    <s v="Male"/>
    <s v="Faisalabad"/>
    <x v="5"/>
    <s v="Dr. Imran"/>
    <d v="2024-09-06T00:00:00"/>
    <d v="2024-06-30T00:00:00"/>
    <n v="100000"/>
    <s v="Cash"/>
    <s v="Recovered"/>
  </r>
  <r>
    <s v="Usman Mirza"/>
    <n v="39"/>
    <x v="0"/>
    <s v="Female"/>
    <s v="Lahore"/>
    <x v="1"/>
    <s v="Dr. Tariq"/>
    <d v="2024-06-02T00:00:00"/>
    <d v="2024-02-10T00:00:00"/>
    <n v="12000"/>
    <s v="Online Transfer"/>
    <s v="Critical"/>
  </r>
  <r>
    <s v="Hassan Nawaz"/>
    <n v="26"/>
    <x v="0"/>
    <s v="Female"/>
    <s v="Peshawar"/>
    <x v="2"/>
    <s v="Dr. Farah"/>
    <d v="2024-09-15T00:00:00"/>
    <d v="2024-09-16T00:00:00"/>
    <n v="12000"/>
    <s v="Insurance"/>
    <s v="Discharged"/>
  </r>
  <r>
    <s v="Amna Akhtar"/>
    <n v="4"/>
    <x v="2"/>
    <s v="Female"/>
    <s v="Quetta"/>
    <x v="2"/>
    <s v="Dr. Ayesha"/>
    <d v="2024-01-10T00:00:00"/>
    <d v="2024-10-14T00:00:00"/>
    <n v="35000"/>
    <s v="Online Transfer"/>
    <s v="Under Treatment"/>
  </r>
  <r>
    <s v="Femaleatima Malik"/>
    <n v="38"/>
    <x v="0"/>
    <s v="Female"/>
    <s v="Quetta"/>
    <x v="4"/>
    <s v="Dr. Imran"/>
    <d v="2024-10-19T00:00:00"/>
    <d v="2024-11-10T00:00:00"/>
    <n v="8000"/>
    <s v="Unknown"/>
    <s v="Critical"/>
  </r>
  <r>
    <s v="Tariq Khan"/>
    <n v="14"/>
    <x v="2"/>
    <s v="Female"/>
    <s v="Lahore"/>
    <x v="2"/>
    <s v="Dr. Zubair"/>
    <d v="2024-02-05T00:00:00"/>
    <d v="2024-05-22T00:00:00"/>
    <n v="35000"/>
    <s v="Online Transfer"/>
    <s v="Discharged"/>
  </r>
  <r>
    <s v="Ali Iqbal"/>
    <n v="68"/>
    <x v="1"/>
    <s v="Female"/>
    <s v="Lahore"/>
    <x v="2"/>
    <s v="Dr. Zubair"/>
    <d v="2024-01-21T00:00:00"/>
    <d v="2024-01-25T00:00:00"/>
    <n v="12000"/>
    <s v="Cash"/>
    <s v="Critical"/>
  </r>
  <r>
    <s v="Ali Akhtar"/>
    <n v="27"/>
    <x v="0"/>
    <s v="Female"/>
    <s v="Peshawar"/>
    <x v="0"/>
    <s v="Dr. Sana"/>
    <d v="2024-04-20T00:00:00"/>
    <d v="2024-04-22T00:00:00"/>
    <n v="12000"/>
    <s v="Online Transfer"/>
    <s v="Recovered"/>
  </r>
  <r>
    <s v="Hamid Raza"/>
    <n v="63"/>
    <x v="1"/>
    <s v="Female"/>
    <s v="Lahore"/>
    <x v="2"/>
    <s v="Dr. Sana"/>
    <d v="2024-05-07T00:00:00"/>
    <d v="2024-07-22T00:00:00"/>
    <n v="35000"/>
    <s v="Insurance"/>
    <s v="Under Treatment"/>
  </r>
  <r>
    <s v="Uzma Malik"/>
    <n v="3"/>
    <x v="2"/>
    <s v="Female"/>
    <s v="Peshawar"/>
    <x v="2"/>
    <s v="Dr. Zubair"/>
    <d v="2024-10-05T00:00:00"/>
    <d v="2024-05-14T00:00:00"/>
    <n v="100000"/>
    <s v="Insurance"/>
    <s v="Critical"/>
  </r>
  <r>
    <s v="Uzma Khan"/>
    <n v="71"/>
    <x v="1"/>
    <s v="Male"/>
    <s v="Peshawar"/>
    <x v="0"/>
    <s v="Dr. Farah"/>
    <d v="2024-12-02T00:00:00"/>
    <d v="2024-02-27T00:00:00"/>
    <n v="15000"/>
    <s v="Online Transfer"/>
    <s v="Under Treatment"/>
  </r>
  <r>
    <s v="Fatima Qureshi"/>
    <n v="69"/>
    <x v="1"/>
    <s v="Female"/>
    <s v="Karachi"/>
    <x v="1"/>
    <s v="Dr. Sana"/>
    <d v="2024-04-15T00:00:00"/>
    <d v="2024-05-04T00:00:00"/>
    <n v="25000"/>
    <s v="Card"/>
    <s v="Discharged"/>
  </r>
  <r>
    <s v="Fatima Ali"/>
    <n v="22"/>
    <x v="0"/>
    <s v="Female"/>
    <s v="Islamabad"/>
    <x v="6"/>
    <s v="Dr. Farah"/>
    <d v="2024-08-16T00:00:00"/>
    <d v="2024-08-31T00:00:00"/>
    <n v="25000"/>
    <s v="Insurance"/>
    <s v="Discharged"/>
  </r>
  <r>
    <s v="Mehwish Qureshi"/>
    <n v="57"/>
    <x v="3"/>
    <s v="Female"/>
    <s v="Peshawar"/>
    <x v="6"/>
    <s v="Dr. Tariq"/>
    <d v="2024-01-10T00:00:00"/>
    <d v="2024-10-04T00:00:00"/>
    <n v="12000"/>
    <s v="Cash"/>
    <s v="Recovered"/>
  </r>
  <r>
    <s v="Saima Niazi"/>
    <n v="19"/>
    <x v="0"/>
    <s v="Female"/>
    <s v="Multan"/>
    <x v="3"/>
    <s v="Dr. Imran"/>
    <d v="2024-06-25T00:00:00"/>
    <d v="2024-07-23T00:00:00"/>
    <n v="5000"/>
    <s v="Card"/>
    <s v="Recovered"/>
  </r>
  <r>
    <s v="Usman Iqbal"/>
    <n v="32"/>
    <x v="0"/>
    <s v="Male"/>
    <s v="Karachi"/>
    <x v="6"/>
    <s v="Dr. Tariq"/>
    <d v="2024-02-09T00:00:00"/>
    <d v="2024-09-22T00:00:00"/>
    <n v="35000"/>
    <s v="Insurance"/>
    <s v="Discharged"/>
  </r>
  <r>
    <s v="Zubair Javed"/>
    <n v="74"/>
    <x v="1"/>
    <s v="Male"/>
    <s v="Islamabad"/>
    <x v="2"/>
    <s v="Dr. Farah"/>
    <d v="2024-05-27T00:00:00"/>
    <d v="2024-06-21T00:00:00"/>
    <n v="8000"/>
    <s v="Cash"/>
    <s v="Recovered"/>
  </r>
  <r>
    <s v="Hassan Abbasi"/>
    <n v="58"/>
    <x v="3"/>
    <s v="Female"/>
    <s v="Karachi"/>
    <x v="2"/>
    <s v="Dr. Farah"/>
    <d v="2024-07-16T00:00:00"/>
    <d v="2024-08-12T00:00:00"/>
    <n v="35000"/>
    <s v="Cash"/>
    <s v="Critical"/>
  </r>
  <r>
    <s v="Waqas Mirza"/>
    <n v="6"/>
    <x v="2"/>
    <s v="Female"/>
    <s v="Peshawar"/>
    <x v="0"/>
    <s v="Dr. Tariq"/>
    <d v="2024-03-08T00:00:00"/>
    <d v="2024-08-14T00:00:00"/>
    <n v="5000"/>
    <s v="Insurance"/>
    <s v="Critical"/>
  </r>
  <r>
    <s v="Danish Mirza"/>
    <n v="80"/>
    <x v="1"/>
    <s v="Female"/>
    <s v="Peshawar"/>
    <x v="0"/>
    <s v="Dr. Zubair"/>
    <d v="2024-11-04T00:00:00"/>
    <d v="2024-04-25T00:00:00"/>
    <n v="50000"/>
    <s v="Cash"/>
    <s v="Critical"/>
  </r>
  <r>
    <s v="Hina Abbasi"/>
    <n v="22"/>
    <x v="0"/>
    <s v="Female"/>
    <s v="Islamabad"/>
    <x v="4"/>
    <s v="Dr. Ayesha"/>
    <d v="2024-01-19T00:00:00"/>
    <d v="2024-01-24T00:00:00"/>
    <n v="5000"/>
    <s v="Card"/>
    <s v="Under Treatment"/>
  </r>
  <r>
    <s v="Tariq Hassan"/>
    <n v="40"/>
    <x v="3"/>
    <s v="Male"/>
    <s v="Islamabad"/>
    <x v="3"/>
    <s v="Dr. Khalid"/>
    <d v="2024-01-20T00:00:00"/>
    <d v="2024-02-16T00:00:00"/>
    <n v="20000"/>
    <s v="Insurance"/>
    <s v="Critical"/>
  </r>
  <r>
    <s v="Sobia Chaudhry"/>
    <s v="Unknown"/>
    <x v="4"/>
    <s v="Male"/>
    <s v="Peshawar"/>
    <x v="5"/>
    <s v="Dr. Imran"/>
    <d v="2024-06-02T00:00:00"/>
    <d v="2024-06-09T00:00:00"/>
    <n v="35000"/>
    <s v="Cash"/>
    <s v="Under Treatment"/>
  </r>
  <r>
    <s v="Hamid Ahmed"/>
    <n v="45"/>
    <x v="3"/>
    <s v="Female"/>
    <s v="Lahore"/>
    <x v="6"/>
    <s v="Dr. Ayesha"/>
    <d v="2024-01-28T00:00:00"/>
    <d v="2024-02-13T00:00:00"/>
    <n v="5000"/>
    <s v="Insurance"/>
    <s v="Critical"/>
  </r>
  <r>
    <s v="Zubair Nawaz"/>
    <n v="12"/>
    <x v="2"/>
    <s v="Male"/>
    <s v="Karachi"/>
    <x v="3"/>
    <s v="Dr. Tariq"/>
    <d v="2024-11-10T00:00:00"/>
    <d v="2024-10-17T00:00:00"/>
    <n v="15000"/>
    <s v="Card"/>
    <s v="Under Treatment"/>
  </r>
  <r>
    <s v="Fariha Bhatti"/>
    <n v="13"/>
    <x v="2"/>
    <s v="Female"/>
    <s v="Peshawar"/>
    <x v="1"/>
    <s v="Dr. Imran"/>
    <d v="2024-01-16T00:00:00"/>
    <d v="2024-01-23T00:00:00"/>
    <n v="75000"/>
    <s v="Cash"/>
    <s v="Under Treatment"/>
  </r>
  <r>
    <s v="Ahmed Mirza"/>
    <n v="89"/>
    <x v="1"/>
    <s v="Male"/>
    <s v="Multan"/>
    <x v="0"/>
    <s v="Dr. Khalid"/>
    <d v="2024-03-08T00:00:00"/>
    <d v="2024-08-04T00:00:00"/>
    <n v="75000"/>
    <s v="Cash"/>
    <s v="Critical"/>
  </r>
  <r>
    <s v="Fariha Siddiqui"/>
    <n v="4"/>
    <x v="2"/>
    <s v="Female"/>
    <s v="Unknown"/>
    <x v="3"/>
    <s v="Dr. Khalid"/>
    <d v="2024-01-26T00:00:00"/>
    <d v="2024-02-10T00:00:00"/>
    <n v="8000"/>
    <s v="Online Transfer"/>
    <s v="Under Treatment"/>
  </r>
  <r>
    <s v="Waqas Qureshi"/>
    <n v="45"/>
    <x v="3"/>
    <s v="Male"/>
    <s v="Lahore"/>
    <x v="5"/>
    <s v="Dr. Khalid"/>
    <d v="2024-05-31T00:00:00"/>
    <d v="2024-06-17T00:00:00"/>
    <n v="15000"/>
    <s v="Insurance"/>
    <s v="Discharged"/>
  </r>
  <r>
    <s v="Mehwish Niazi"/>
    <n v="61"/>
    <x v="1"/>
    <s v="Male"/>
    <s v="Multan"/>
    <x v="1"/>
    <s v="Dr. Farah"/>
    <d v="2024-02-03T00:00:00"/>
    <d v="2024-03-21T00:00:00"/>
    <n v="25000"/>
    <s v="Insurance"/>
    <s v="Under Treatment"/>
  </r>
  <r>
    <s v="Sana Ansari"/>
    <n v="56"/>
    <x v="3"/>
    <s v="Male"/>
    <s v="Karachi"/>
    <x v="6"/>
    <s v="Dr. Imran"/>
    <d v="2024-08-07T00:00:00"/>
    <d v="2024-07-11T00:00:00"/>
    <n v="25000"/>
    <s v="Insurance"/>
    <s v="Critical"/>
  </r>
  <r>
    <s v="Nadia Nawaz"/>
    <n v="47"/>
    <x v="3"/>
    <s v="Female"/>
    <s v="Multan"/>
    <x v="5"/>
    <s v="Dr. Imran"/>
    <d v="2024-03-01T00:00:00"/>
    <d v="2024-01-09T00:00:00"/>
    <n v="15000"/>
    <s v="Cash"/>
    <s v="Under Treatment"/>
  </r>
  <r>
    <s v="Asad Mirza"/>
    <n v="31"/>
    <x v="0"/>
    <s v="Male"/>
    <s v="Multan"/>
    <x v="0"/>
    <s v="Dr. Sana"/>
    <d v="2024-08-31T00:00:00"/>
    <d v="2024-09-10T00:00:00"/>
    <n v="75000"/>
    <s v="Card"/>
    <s v="Critical"/>
  </r>
  <r>
    <s v="Rabia Chaudhry"/>
    <n v="54"/>
    <x v="3"/>
    <s v="Female"/>
    <s v="Quetta"/>
    <x v="3"/>
    <s v="Dr. Farah"/>
    <d v="2024-10-05T00:00:00"/>
    <d v="2024-05-29T00:00:00"/>
    <n v="15000"/>
    <s v="Insurance"/>
    <s v="Critical"/>
  </r>
  <r>
    <s v="Fariha Niazi"/>
    <n v="56"/>
    <x v="3"/>
    <s v="Male"/>
    <s v="Peshawar"/>
    <x v="3"/>
    <s v="Dr. Sana"/>
    <d v="2024-08-13T00:00:00"/>
    <d v="2024-08-14T00:00:00"/>
    <n v="12000"/>
    <s v="Online Transfer"/>
    <s v="Under Treatment"/>
  </r>
  <r>
    <s v="Hina Nawaz"/>
    <n v="30"/>
    <x v="0"/>
    <s v="Female"/>
    <s v="Quetta"/>
    <x v="1"/>
    <s v="Dr. Tariq"/>
    <d v="2024-06-07T00:00:00"/>
    <d v="2024-08-04T00:00:00"/>
    <n v="35000"/>
    <s v="Online Transfer"/>
    <s v="Critical"/>
  </r>
  <r>
    <s v="Mehwish Mirza"/>
    <n v="18"/>
    <x v="0"/>
    <s v="Male"/>
    <s v="Lahore"/>
    <x v="1"/>
    <s v="Dr. Zubair"/>
    <d v="2024-01-10T00:00:00"/>
    <d v="2024-10-14T00:00:00"/>
    <n v="75000"/>
    <s v="Online Transfer"/>
    <s v="Under Treatment"/>
  </r>
  <r>
    <s v="Farhan Hassan"/>
    <n v="23"/>
    <x v="0"/>
    <s v="Female"/>
    <s v="Islamabad"/>
    <x v="6"/>
    <s v="Dr. Imran"/>
    <d v="2024-01-02T00:00:00"/>
    <d v="2024-02-15T00:00:00"/>
    <n v="100000"/>
    <s v="Online Transfer"/>
    <s v="Discharged"/>
  </r>
  <r>
    <s v="Imran Bhatti"/>
    <n v="81"/>
    <x v="1"/>
    <s v="Female"/>
    <s v="Karachi"/>
    <x v="5"/>
    <s v="Dr. Ayesha"/>
    <d v="2024-05-18T00:00:00"/>
    <d v="2024-05-21T00:00:00"/>
    <n v="100000"/>
    <s v="Insurance"/>
    <s v="Critical"/>
  </r>
  <r>
    <s v="Uzma Chaudhry"/>
    <n v="45"/>
    <x v="3"/>
    <s v="Male"/>
    <s v="Karachi"/>
    <x v="2"/>
    <s v="Dr. Ayesha"/>
    <d v="2024-03-15T00:00:00"/>
    <d v="2024-03-29T00:00:00"/>
    <n v="15000"/>
    <s v="Card"/>
    <s v="Critical"/>
  </r>
  <r>
    <s v="Farhan Bhatti"/>
    <n v="67"/>
    <x v="1"/>
    <s v="Male"/>
    <s v="Quetta"/>
    <x v="6"/>
    <s v="Dr. Khalid"/>
    <d v="2024-07-29T00:00:00"/>
    <d v="2024-08-24T00:00:00"/>
    <n v="35000"/>
    <s v="Card"/>
    <s v="Critical"/>
  </r>
  <r>
    <s v="Usman Khan"/>
    <s v="Unknown"/>
    <x v="4"/>
    <s v="Female"/>
    <s v="Lahore"/>
    <x v="6"/>
    <s v="Dr. Tariq"/>
    <d v="2024-10-06T00:00:00"/>
    <d v="2024-06-17T00:00:00"/>
    <n v="5000"/>
    <s v="Card"/>
    <s v="Under Treatment"/>
  </r>
  <r>
    <s v="Imran Javed"/>
    <n v="76"/>
    <x v="1"/>
    <s v="Female"/>
    <s v="Lahore"/>
    <x v="6"/>
    <s v="Dr. Sana"/>
    <d v="2024-03-04T00:00:00"/>
    <d v="2024-04-21T00:00:00"/>
    <n v="12000"/>
    <s v="Cash"/>
    <s v="Discharged"/>
  </r>
  <r>
    <s v="Tariq Ali"/>
    <n v="24"/>
    <x v="0"/>
    <s v="Male"/>
    <s v="Peshawar"/>
    <x v="6"/>
    <s v="Dr. Ayesha"/>
    <d v="2024-08-26T00:00:00"/>
    <d v="2024-09-12T00:00:00"/>
    <n v="20000"/>
    <s v="Card"/>
    <s v="Discharged"/>
  </r>
  <r>
    <s v="Hina Mirza"/>
    <n v="55"/>
    <x v="3"/>
    <s v="Male"/>
    <s v="Karachi"/>
    <x v="0"/>
    <s v="Dr. Sana"/>
    <d v="2024-09-28T00:00:00"/>
    <d v="2024-10-17T00:00:00"/>
    <n v="8000"/>
    <s v="Insurance"/>
    <s v="Under Treatment"/>
  </r>
  <r>
    <s v="Sana Butt"/>
    <n v="61"/>
    <x v="1"/>
    <s v="Male"/>
    <s v="Islamabad"/>
    <x v="0"/>
    <s v="Dr. Zubair"/>
    <d v="2024-09-27T00:00:00"/>
    <d v="2024-10-13T00:00:00"/>
    <n v="50000"/>
    <s v="Card"/>
    <s v="Recovered"/>
  </r>
  <r>
    <s v="Bilal Qureshi"/>
    <n v="15"/>
    <x v="2"/>
    <s v="Female"/>
    <s v="Faisalabad"/>
    <x v="6"/>
    <s v="Dr. Farah"/>
    <d v="2024-03-23T00:00:00"/>
    <d v="2024-04-05T00:00:00"/>
    <n v="8000"/>
    <s v="Insurance"/>
    <s v="Discharged"/>
  </r>
  <r>
    <s v="Hina Nawaz"/>
    <n v="34"/>
    <x v="0"/>
    <s v="Male"/>
    <s v="Quetta"/>
    <x v="0"/>
    <s v="Dr. Sana"/>
    <d v="2024-02-17T00:00:00"/>
    <d v="2024-03-14T00:00:00"/>
    <n v="12000"/>
    <s v="Insurance"/>
    <s v="Recovered"/>
  </r>
  <r>
    <s v="Imran Niazi"/>
    <n v="28"/>
    <x v="0"/>
    <s v="Male"/>
    <s v="Islamabad"/>
    <x v="2"/>
    <s v="Dr. Tariq"/>
    <d v="2024-06-16T00:00:00"/>
    <d v="2024-06-18T00:00:00"/>
    <n v="50000"/>
    <s v="Card"/>
    <s v="Critical"/>
  </r>
  <r>
    <s v="Farhan Malik"/>
    <n v="84"/>
    <x v="1"/>
    <s v="Female"/>
    <s v="Multan"/>
    <x v="0"/>
    <s v="Dr. Imran"/>
    <d v="2024-01-04T00:00:00"/>
    <d v="2024-04-29T00:00:00"/>
    <n v="20000"/>
    <s v="Online Transfer"/>
    <s v="Recovered"/>
  </r>
  <r>
    <s v="Danish Javed"/>
    <n v="81"/>
    <x v="1"/>
    <s v="Male"/>
    <s v="Multan"/>
    <x v="0"/>
    <s v="Dr. Ayesha"/>
    <d v="2024-08-09T00:00:00"/>
    <d v="2024-09-18T00:00:00"/>
    <n v="75000"/>
    <s v="Card"/>
    <s v="Under Treatment"/>
  </r>
  <r>
    <s v="Sobia Ansari"/>
    <n v="6"/>
    <x v="2"/>
    <s v="Female"/>
    <s v="Multan"/>
    <x v="0"/>
    <s v="Dr. Zubair"/>
    <d v="2024-01-15T00:00:00"/>
    <d v="2024-02-02T00:00:00"/>
    <n v="15000"/>
    <s v="Cash"/>
    <s v="Recovered"/>
  </r>
  <r>
    <s v="Waqas Khan"/>
    <n v="14"/>
    <x v="2"/>
    <s v="Female"/>
    <s v="Faisalabad"/>
    <x v="0"/>
    <s v="Dr. Sana"/>
    <d v="2024-08-16T00:00:00"/>
    <d v="2024-09-06T00:00:00"/>
    <n v="8000"/>
    <s v="Cash"/>
    <s v="Recovered"/>
  </r>
  <r>
    <s v="Femaleatima Ali"/>
    <s v="Unknown"/>
    <x v="4"/>
    <s v="Female"/>
    <s v="Islamabad"/>
    <x v="4"/>
    <s v="Dr. Zubair"/>
    <d v="2024-05-06T00:00:00"/>
    <d v="2024-07-02T00:00:00"/>
    <n v="25000"/>
    <s v="Online Transfer"/>
    <s v="Critical"/>
  </r>
  <r>
    <s v="Nadia Niazi"/>
    <n v="54"/>
    <x v="3"/>
    <s v="Female"/>
    <s v="Islamabad"/>
    <x v="1"/>
    <s v="Dr. Khalid"/>
    <d v="2024-01-02T00:00:00"/>
    <d v="2024-02-03T00:00:00"/>
    <n v="75000"/>
    <s v="Card"/>
    <s v="Discharged"/>
  </r>
  <r>
    <s v="Asad Ali"/>
    <n v="60"/>
    <x v="1"/>
    <s v="Male"/>
    <s v="Lahore"/>
    <x v="2"/>
    <s v="Dr. Khalid"/>
    <d v="2024-05-10T00:00:00"/>
    <d v="2024-10-28T00:00:00"/>
    <n v="100000"/>
    <s v="Cash"/>
    <s v="Under Treatment"/>
  </r>
  <r>
    <s v="Hamid Ansari"/>
    <n v="69"/>
    <x v="1"/>
    <s v="Male"/>
    <s v="Quetta"/>
    <x v="5"/>
    <s v="Dr. Tariq"/>
    <d v="2024-02-07T00:00:00"/>
    <d v="2024-07-14T00:00:00"/>
    <n v="50000"/>
    <s v="Cash"/>
    <s v="Under Treatment"/>
  </r>
  <r>
    <s v="Omer Khan"/>
    <n v="19"/>
    <x v="0"/>
    <s v="Male"/>
    <s v="Faisalabad"/>
    <x v="3"/>
    <s v="Dr. Khalid"/>
    <d v="2024-10-25T00:00:00"/>
    <d v="2024-11-07T00:00:00"/>
    <n v="25000"/>
    <s v="Card"/>
    <s v="Critical"/>
  </r>
  <r>
    <s v="Imran Niazi"/>
    <n v="26"/>
    <x v="0"/>
    <s v="Female"/>
    <s v="Multan"/>
    <x v="1"/>
    <s v="Dr. Khalid"/>
    <d v="2024-07-23T00:00:00"/>
    <d v="2024-08-02T00:00:00"/>
    <n v="12000"/>
    <s v="Unknown"/>
    <s v="Under Treatment"/>
  </r>
  <r>
    <s v="Waqas Sheikh"/>
    <n v="3"/>
    <x v="2"/>
    <s v="Female"/>
    <s v="Karachi"/>
    <x v="2"/>
    <s v="Dr. Imran"/>
    <d v="2024-10-02T00:00:00"/>
    <d v="2024-02-20T00:00:00"/>
    <n v="35000"/>
    <s v="Online Transfer"/>
    <s v="Recovered"/>
  </r>
  <r>
    <s v="Nadia Qureshi"/>
    <n v="84"/>
    <x v="1"/>
    <s v="Male"/>
    <s v="Multan"/>
    <x v="6"/>
    <s v="Dr. Farah"/>
    <d v="2024-09-28T00:00:00"/>
    <d v="2024-10-11T00:00:00"/>
    <n v="0"/>
    <s v="Card"/>
    <s v="Under Treatment"/>
  </r>
  <r>
    <s v="Sana Raza"/>
    <s v="Unknown"/>
    <x v="4"/>
    <s v="Female"/>
    <s v="Multan"/>
    <x v="3"/>
    <s v="Dr. Zubair"/>
    <d v="2024-06-01T00:00:00"/>
    <d v="2024-06-24T00:00:00"/>
    <n v="12000"/>
    <s v="Online Transfer"/>
    <s v="Unknown"/>
  </r>
  <r>
    <s v="Asad Niazi"/>
    <n v="18"/>
    <x v="0"/>
    <s v="Female"/>
    <s v="Quetta"/>
    <x v="1"/>
    <s v="Dr. Farah"/>
    <d v="2024-01-26T00:00:00"/>
    <d v="2024-02-19T00:00:00"/>
    <n v="15000"/>
    <s v="Online Transfer"/>
    <s v="Recovered"/>
  </r>
  <r>
    <s v="Sara Akhtar"/>
    <n v="40"/>
    <x v="3"/>
    <s v="Male"/>
    <s v="Faisalabad"/>
    <x v="3"/>
    <s v="Dr. Khalid"/>
    <d v="2024-04-22T00:00:00"/>
    <d v="2024-04-26T00:00:00"/>
    <n v="50000"/>
    <s v="Card"/>
    <s v="Recovered"/>
  </r>
  <r>
    <s v="Hina Sheikh"/>
    <s v="Unknown"/>
    <x v="4"/>
    <s v="Male"/>
    <s v="Faisalabad"/>
    <x v="0"/>
    <s v="Dr. Imran"/>
    <d v="2024-10-23T00:00:00"/>
    <d v="2024-11-10T00:00:00"/>
    <n v="5000"/>
    <s v="Online Transfer"/>
    <s v="Recovered"/>
  </r>
  <r>
    <s v="Ahmed Ali"/>
    <n v="47"/>
    <x v="3"/>
    <s v="Male"/>
    <s v="Peshawar"/>
    <x v="2"/>
    <s v="Dr. Khalid"/>
    <d v="2024-07-25T00:00:00"/>
    <d v="2024-07-31T00:00:00"/>
    <n v="20000"/>
    <s v="Insurance"/>
    <s v="Recovered"/>
  </r>
  <r>
    <s v="Fatima Khan"/>
    <n v="47"/>
    <x v="3"/>
    <s v="Male"/>
    <s v="Karachi"/>
    <x v="4"/>
    <s v="Dr. Sana"/>
    <d v="2024-07-31T00:00:00"/>
    <d v="2024-08-08T00:00:00"/>
    <n v="0"/>
    <s v="Insurance"/>
    <s v="Discharged"/>
  </r>
  <r>
    <s v="Zara Ali"/>
    <n v="61"/>
    <x v="1"/>
    <s v="Male"/>
    <s v="Multan"/>
    <x v="6"/>
    <s v="Dr. Zubair"/>
    <d v="2024-01-06T00:00:00"/>
    <d v="2024-06-28T00:00:00"/>
    <n v="12000"/>
    <s v="Card"/>
    <s v="Under Treatment"/>
  </r>
  <r>
    <s v="Ahmed Chaudhry"/>
    <n v="68"/>
    <x v="1"/>
    <s v="Female"/>
    <s v="Quetta"/>
    <x v="1"/>
    <s v="Dr. Ayesha"/>
    <d v="2024-04-07T00:00:00"/>
    <d v="2024-07-22T00:00:00"/>
    <n v="15000"/>
    <s v="Card"/>
    <s v="Recovered"/>
  </r>
  <r>
    <s v="Zubair Ahmed"/>
    <n v="31"/>
    <x v="0"/>
    <s v="Female"/>
    <s v="Multan"/>
    <x v="5"/>
    <s v="Dr. Farah"/>
    <d v="2024-08-13T00:00:00"/>
    <d v="2024-09-08T00:00:00"/>
    <n v="0"/>
    <s v="Cash"/>
    <s v="Recovered"/>
  </r>
  <r>
    <s v="Saima Niazi"/>
    <n v="21"/>
    <x v="0"/>
    <s v="Female"/>
    <s v="Multan"/>
    <x v="4"/>
    <s v="Dr. Zubair"/>
    <d v="2024-10-22T00:00:00"/>
    <d v="2024-11-21T00:00:00"/>
    <n v="8000"/>
    <s v="Card"/>
    <s v="Critical"/>
  </r>
  <r>
    <s v="Usman Khan"/>
    <n v="23"/>
    <x v="0"/>
    <s v="Unknown"/>
    <s v="Faisalabad"/>
    <x v="5"/>
    <s v="Dr. Ayesha"/>
    <d v="2024-08-19T00:00:00"/>
    <d v="2024-08-26T00:00:00"/>
    <n v="50000"/>
    <s v="Insurance"/>
    <s v="Critical"/>
  </r>
  <r>
    <s v="Sara Bhatti"/>
    <n v="34"/>
    <x v="0"/>
    <s v="Male"/>
    <s v="Faisalabad"/>
    <x v="1"/>
    <s v="Dr. Farah"/>
    <d v="2024-01-27T00:00:00"/>
    <d v="2024-02-24T00:00:00"/>
    <n v="20000"/>
    <s v="Online Transfer"/>
    <s v="Critical"/>
  </r>
  <r>
    <s v="Hamid Sheikh"/>
    <n v="49"/>
    <x v="3"/>
    <s v="Male"/>
    <s v="Peshawar"/>
    <x v="0"/>
    <s v="Dr. Sana"/>
    <d v="2024-10-20T00:00:00"/>
    <d v="2024-10-27T00:00:00"/>
    <n v="8000"/>
    <s v="Card"/>
    <s v="Discharged"/>
  </r>
  <r>
    <s v="Fariha Siddiqui"/>
    <n v="61"/>
    <x v="1"/>
    <s v="Male"/>
    <s v="Karachi"/>
    <x v="2"/>
    <s v="Dr. Zubair"/>
    <d v="2024-08-26T00:00:00"/>
    <d v="2024-09-20T00:00:00"/>
    <n v="12000"/>
    <s v="Insurance"/>
    <s v="Under Treatment"/>
  </r>
  <r>
    <s v="Zubair Mirza"/>
    <n v="69"/>
    <x v="1"/>
    <s v="Male"/>
    <s v="Lahore"/>
    <x v="4"/>
    <s v="Dr. Sana"/>
    <d v="2024-02-10T00:00:00"/>
    <d v="2024-10-09T00:00:00"/>
    <n v="5000"/>
    <s v="Cash"/>
    <s v="Under Treatment"/>
  </r>
  <r>
    <s v="Bilal Nawaz"/>
    <n v="15"/>
    <x v="2"/>
    <s v="Male"/>
    <s v="Lahore"/>
    <x v="2"/>
    <s v="Dr. Sana"/>
    <d v="2024-09-15T00:00:00"/>
    <d v="2024-09-29T00:00:00"/>
    <n v="5000"/>
    <s v="Cash"/>
    <s v="Critical"/>
  </r>
  <r>
    <s v="Fatima Iqbal"/>
    <n v="11"/>
    <x v="2"/>
    <s v="Female"/>
    <s v="Faisalabad"/>
    <x v="4"/>
    <s v="Dr. Khalid"/>
    <d v="2024-09-06T00:00:00"/>
    <d v="2024-06-26T00:00:00"/>
    <n v="5000"/>
    <s v="Card"/>
    <s v="Discharged"/>
  </r>
  <r>
    <s v="Kamran Butt"/>
    <n v="37"/>
    <x v="0"/>
    <s v="Male"/>
    <s v="Faisalabad"/>
    <x v="4"/>
    <s v="Dr. Khalid"/>
    <d v="2024-09-26T00:00:00"/>
    <d v="2024-10-03T00:00:00"/>
    <n v="12000"/>
    <s v="Card"/>
    <s v="Recovered"/>
  </r>
  <r>
    <s v="Sara Khan"/>
    <n v="70"/>
    <x v="1"/>
    <s v="Female"/>
    <s v="Karachi"/>
    <x v="1"/>
    <s v="Dr. Khalid"/>
    <d v="2024-10-05T00:00:00"/>
    <d v="2024-10-25T00:00:00"/>
    <n v="35000"/>
    <s v="Insurance"/>
    <s v="Recovered"/>
  </r>
  <r>
    <s v="Zubair Mirza"/>
    <s v="Unknown"/>
    <x v="4"/>
    <s v="Female"/>
    <s v="Peshawar"/>
    <x v="1"/>
    <s v="Dr. Khalid"/>
    <d v="2024-10-01T00:00:00"/>
    <d v="2024-02-09T00:00:00"/>
    <n v="35000"/>
    <s v="Card"/>
    <s v="Under Treatment"/>
  </r>
  <r>
    <s v="Nida Ali"/>
    <n v="42"/>
    <x v="3"/>
    <s v="Female"/>
    <s v="Lahore"/>
    <x v="6"/>
    <s v="Dr. Khalid"/>
    <d v="2024-09-13T00:00:00"/>
    <d v="2024-10-06T00:00:00"/>
    <n v="75000"/>
    <s v="Card"/>
    <s v="Under Treatment"/>
  </r>
  <r>
    <s v="Uzma Raza"/>
    <n v="34"/>
    <x v="0"/>
    <s v="Female"/>
    <s v="Lahore"/>
    <x v="4"/>
    <s v="Dr. Zubair"/>
    <d v="2024-09-22T00:00:00"/>
    <d v="2024-10-18T00:00:00"/>
    <n v="12000"/>
    <s v="Insurance"/>
    <s v="Critical"/>
  </r>
  <r>
    <s v="Asad Niazi"/>
    <n v="57"/>
    <x v="3"/>
    <s v="Female"/>
    <s v="Faisalabad"/>
    <x v="3"/>
    <s v="Dr. Imran"/>
    <d v="2024-02-01T00:00:00"/>
    <d v="2024-01-26T00:00:00"/>
    <n v="50000"/>
    <s v="Insurance"/>
    <s v="Discharged"/>
  </r>
  <r>
    <s v="Tariq Hassan"/>
    <n v="6"/>
    <x v="2"/>
    <s v="Male"/>
    <s v="Karachi"/>
    <x v="2"/>
    <s v="Dr. Sana"/>
    <d v="2024-04-29T00:00:00"/>
    <d v="2024-05-21T00:00:00"/>
    <n v="35000"/>
    <s v="Card"/>
    <s v="Recovered"/>
  </r>
  <r>
    <s v="Imran Bhatti"/>
    <s v="Unknown"/>
    <x v="4"/>
    <s v="Female"/>
    <s v="Lahore"/>
    <x v="1"/>
    <s v="Dr. Zubair"/>
    <d v="2024-03-22T00:00:00"/>
    <d v="2024-04-20T00:00:00"/>
    <n v="12000"/>
    <s v="Card"/>
    <s v="Under Treatment"/>
  </r>
  <r>
    <s v="Mehwish Akhtar"/>
    <n v="50"/>
    <x v="3"/>
    <s v="Female"/>
    <s v="Quetta"/>
    <x v="3"/>
    <s v="Dr. Farah"/>
    <d v="2024-07-06T00:00:00"/>
    <d v="2024-06-19T00:00:00"/>
    <n v="15000"/>
    <s v="Online Transfer"/>
    <s v="Critical"/>
  </r>
  <r>
    <s v="Danish Butt"/>
    <n v="3"/>
    <x v="2"/>
    <s v="Female"/>
    <s v="Peshawar"/>
    <x v="1"/>
    <s v="Dr. Sana"/>
    <d v="2024-07-11T00:00:00"/>
    <d v="2024-08-03T00:00:00"/>
    <n v="25000"/>
    <s v="Insurance"/>
    <s v="Recovered"/>
  </r>
  <r>
    <s v="Omer Siddiqui"/>
    <n v="36"/>
    <x v="0"/>
    <s v="Female"/>
    <s v="Karachi"/>
    <x v="2"/>
    <s v="Dr. Sana"/>
    <d v="2024-07-30T00:00:00"/>
    <d v="2024-08-10T00:00:00"/>
    <n v="25000"/>
    <s v="Online Transfer"/>
    <s v="Critical"/>
  </r>
  <r>
    <s v="Saima Butt"/>
    <n v="75"/>
    <x v="1"/>
    <s v="Female"/>
    <s v="Islamabad"/>
    <x v="0"/>
    <s v="Dr. Farah"/>
    <d v="2024-07-07T00:00:00"/>
    <d v="2024-07-11T00:00:00"/>
    <n v="5000"/>
    <s v="Cash"/>
    <s v="Under Treatment"/>
  </r>
  <r>
    <s v="Nida Ahmed"/>
    <n v="76"/>
    <x v="1"/>
    <s v="Female"/>
    <s v="Peshawar"/>
    <x v="1"/>
    <s v="Dr. Sana"/>
    <d v="2024-09-08T00:00:00"/>
    <d v="2024-08-22T00:00:00"/>
    <n v="50000"/>
    <s v="Card"/>
    <s v="Critical"/>
  </r>
  <r>
    <s v="Usman Iqbal"/>
    <s v="Unknown"/>
    <x v="4"/>
    <s v="Female"/>
    <s v="Lahore"/>
    <x v="0"/>
    <s v="Dr. Farah"/>
    <d v="2024-01-01T00:00:00"/>
    <d v="2024-01-21T00:00:00"/>
    <n v="35000"/>
    <s v="Insurance"/>
    <s v="Under Treatment"/>
  </r>
  <r>
    <s v="Sobia Iqbal"/>
    <n v="15"/>
    <x v="2"/>
    <s v="Male"/>
    <s v="Multan"/>
    <x v="1"/>
    <s v="Dr. Imran"/>
    <d v="2024-09-29T00:00:00"/>
    <d v="2024-10-18T00:00:00"/>
    <n v="20000"/>
    <s v="Card"/>
    <s v="Discharged"/>
  </r>
  <r>
    <s v="Asad Ahmed"/>
    <n v="2"/>
    <x v="2"/>
    <s v="Male"/>
    <s v="Multan"/>
    <x v="3"/>
    <s v="Dr. Imran"/>
    <d v="2024-04-13T00:00:00"/>
    <d v="2024-05-10T00:00:00"/>
    <n v="50000"/>
    <s v="Online Transfer"/>
    <s v="Under Treatment"/>
  </r>
  <r>
    <s v="Sobia Qureshi"/>
    <n v="43"/>
    <x v="3"/>
    <s v="Female"/>
    <s v="Islamabad"/>
    <x v="6"/>
    <s v="Dr. Zubair"/>
    <d v="2024-09-28T00:00:00"/>
    <d v="2024-10-01T00:00:00"/>
    <n v="8000"/>
    <s v="Online Transfer"/>
    <s v="Under Treatment"/>
  </r>
  <r>
    <s v="Sobia Siddiqui"/>
    <s v="Unknown"/>
    <x v="4"/>
    <s v="Female"/>
    <s v="Faisalabad"/>
    <x v="1"/>
    <s v="Dr. Zubair"/>
    <d v="2024-02-25T00:00:00"/>
    <d v="2024-03-19T00:00:00"/>
    <n v="8000"/>
    <s v="Card"/>
    <s v="Recovered"/>
  </r>
  <r>
    <s v="Zara Chaudhry"/>
    <n v="21"/>
    <x v="0"/>
    <s v="Female"/>
    <s v="Multan"/>
    <x v="2"/>
    <s v="Dr. Sana"/>
    <d v="2024-11-09T00:00:00"/>
    <d v="2024-09-30T00:00:00"/>
    <n v="12000"/>
    <s v="Online Transfer"/>
    <s v="Recovered"/>
  </r>
  <r>
    <s v="Hassan Iqbal"/>
    <n v="67"/>
    <x v="1"/>
    <s v="Female"/>
    <s v="Lahore"/>
    <x v="3"/>
    <s v="Dr. Imran"/>
    <d v="2024-01-10T00:00:00"/>
    <d v="2024-01-25T00:00:00"/>
    <n v="50000"/>
    <s v="Online Transfer"/>
    <s v="Recovered"/>
  </r>
  <r>
    <s v="Hassan Mirza"/>
    <n v="6"/>
    <x v="2"/>
    <s v="Female"/>
    <s v="Quetta"/>
    <x v="0"/>
    <s v="Dr. Sana"/>
    <d v="2024-10-25T00:00:00"/>
    <d v="2024-11-15T00:00:00"/>
    <n v="15000"/>
    <s v="Card"/>
    <s v="Discharged"/>
  </r>
  <r>
    <s v="Hamid Niazi"/>
    <n v="66"/>
    <x v="1"/>
    <s v="Female"/>
    <s v="Lahore"/>
    <x v="0"/>
    <s v="Dr. Khalid"/>
    <d v="2024-03-21T00:00:00"/>
    <d v="2024-03-25T00:00:00"/>
    <n v="8000"/>
    <s v="Insurance"/>
    <s v="Recovered"/>
  </r>
  <r>
    <s v="Kamran Niazi"/>
    <n v="51"/>
    <x v="3"/>
    <s v="Male"/>
    <s v="Islamabad"/>
    <x v="1"/>
    <s v="Dr. Farah"/>
    <d v="2024-03-03T00:00:00"/>
    <d v="2024-03-06T00:00:00"/>
    <n v="100000"/>
    <s v="Insurance"/>
    <s v="Critical"/>
  </r>
  <r>
    <s v="Kamran Malik"/>
    <n v="18"/>
    <x v="0"/>
    <s v="Female"/>
    <s v="Multan"/>
    <x v="5"/>
    <s v="Dr. Tariq"/>
    <d v="2024-07-09T00:00:00"/>
    <d v="2024-09-11T00:00:00"/>
    <n v="35000"/>
    <s v="Card"/>
    <s v="Recovered"/>
  </r>
  <r>
    <s v="Imran Sheikh"/>
    <n v="58"/>
    <x v="3"/>
    <s v="Female"/>
    <s v="Karachi"/>
    <x v="3"/>
    <s v="Dr. Khalid"/>
    <d v="2024-09-18T00:00:00"/>
    <d v="2024-10-03T00:00:00"/>
    <n v="8000"/>
    <s v="Card"/>
    <s v="Critical"/>
  </r>
  <r>
    <s v="Usman Abbasi"/>
    <n v="44"/>
    <x v="3"/>
    <s v="Male"/>
    <s v="Quetta"/>
    <x v="1"/>
    <s v="Dr. Khalid"/>
    <d v="2024-07-15T00:00:00"/>
    <d v="2024-08-11T00:00:00"/>
    <n v="12000"/>
    <s v="Cash"/>
    <s v="Recovered"/>
  </r>
  <r>
    <s v="Hassan Butt"/>
    <n v="43"/>
    <x v="3"/>
    <s v="Male"/>
    <s v="Karachi"/>
    <x v="3"/>
    <s v="Dr. Zubair"/>
    <d v="2024-12-06T00:00:00"/>
    <d v="2024-06-16T00:00:00"/>
    <n v="20000"/>
    <s v="Insurance"/>
    <s v="Recovered"/>
  </r>
  <r>
    <s v="Sobia Iqbal"/>
    <n v="65"/>
    <x v="1"/>
    <s v="Female"/>
    <s v="Faisalabad"/>
    <x v="0"/>
    <s v="Dr. Zubair"/>
    <d v="2024-03-27T00:00:00"/>
    <d v="2024-04-19T00:00:00"/>
    <n v="100000"/>
    <s v="Online Transfer"/>
    <s v="Discharged"/>
  </r>
  <r>
    <s v="Bilal Hassan"/>
    <n v="72"/>
    <x v="1"/>
    <s v="Male"/>
    <s v="Quetta"/>
    <x v="3"/>
    <s v="Dr. Imran"/>
    <d v="2024-03-28T00:00:00"/>
    <d v="2024-04-16T00:00:00"/>
    <n v="35000"/>
    <s v="Online Transfer"/>
    <s v="Critical"/>
  </r>
  <r>
    <s v="Hamid Akhtar"/>
    <s v="Unknown"/>
    <x v="4"/>
    <s v="Male"/>
    <s v="Faisalabad"/>
    <x v="2"/>
    <s v="Dr. Khalid"/>
    <d v="2024-10-22T00:00:00"/>
    <d v="2024-11-03T00:00:00"/>
    <n v="25000"/>
    <s v="Cash"/>
    <s v="Recovered"/>
  </r>
  <r>
    <s v="Sara Ansari"/>
    <n v="66"/>
    <x v="1"/>
    <s v="Male"/>
    <s v="Quetta"/>
    <x v="6"/>
    <s v="Dr. Tariq"/>
    <d v="2024-03-29T00:00:00"/>
    <d v="2024-03-30T00:00:00"/>
    <n v="20000"/>
    <s v="Cash"/>
    <s v="Discharged"/>
  </r>
  <r>
    <s v="Waqas Iqbal"/>
    <n v="57"/>
    <x v="3"/>
    <s v="Male"/>
    <s v="Islamabad"/>
    <x v="5"/>
    <s v="Dr. Zubair"/>
    <d v="2024-06-19T00:00:00"/>
    <d v="2024-07-03T00:00:00"/>
    <n v="50000"/>
    <s v="Card"/>
    <s v="Critical"/>
  </r>
  <r>
    <s v="Hina Malik"/>
    <n v="83"/>
    <x v="1"/>
    <s v="Female"/>
    <s v="Karachi"/>
    <x v="6"/>
    <s v="Dr. Imran"/>
    <d v="2024-01-27T00:00:00"/>
    <d v="2024-01-29T00:00:00"/>
    <n v="50000"/>
    <s v="Online Transfer"/>
    <s v="Under Treatment"/>
  </r>
  <r>
    <s v="Amna Bhatti"/>
    <n v="48"/>
    <x v="3"/>
    <s v="Male"/>
    <s v="Karachi"/>
    <x v="0"/>
    <s v="Dr. Farah"/>
    <d v="2024-04-05T00:00:00"/>
    <d v="2024-05-12T00:00:00"/>
    <n v="5000"/>
    <s v="Card"/>
    <s v="Discharged"/>
  </r>
  <r>
    <s v="Sana Abbasi"/>
    <s v="Unknown"/>
    <x v="4"/>
    <s v="Female"/>
    <s v="Faisalabad"/>
    <x v="5"/>
    <s v="Dr. Sana"/>
    <d v="2024-05-13T00:00:00"/>
    <d v="2024-05-25T00:00:00"/>
    <n v="50000"/>
    <s v="Insurance"/>
    <s v="Discharged"/>
  </r>
  <r>
    <s v="Nida Iqbal"/>
    <n v="64"/>
    <x v="1"/>
    <s v="Male"/>
    <s v="Lahore"/>
    <x v="2"/>
    <s v="Dr. Sana"/>
    <d v="2024-09-08T00:00:00"/>
    <d v="2024-08-21T00:00:00"/>
    <n v="5000"/>
    <s v="Card"/>
    <s v="Under Treatment"/>
  </r>
  <r>
    <s v="Fariha Butt"/>
    <s v="Unknown"/>
    <x v="4"/>
    <s v="Male"/>
    <s v="Faisalabad"/>
    <x v="2"/>
    <s v="Dr. Imran"/>
    <d v="2024-07-28T00:00:00"/>
    <d v="2024-08-20T00:00:00"/>
    <n v="5000"/>
    <s v="Insurance"/>
    <s v="Discharged"/>
  </r>
  <r>
    <s v="Sara Ahmed"/>
    <n v="16"/>
    <x v="2"/>
    <s v="Male"/>
    <s v="Multan"/>
    <x v="0"/>
    <s v="Dr. Sana"/>
    <d v="2024-07-14T00:00:00"/>
    <d v="2024-07-31T00:00:00"/>
    <n v="35000"/>
    <s v="Online Transfer"/>
    <s v="Critical"/>
  </r>
  <r>
    <s v="Danish Chaudhry"/>
    <n v="63"/>
    <x v="1"/>
    <s v="Male"/>
    <s v="Peshawar"/>
    <x v="1"/>
    <s v="Dr. Zubair"/>
    <d v="2024-01-25T00:00:00"/>
    <d v="2024-02-09T00:00:00"/>
    <n v="50000"/>
    <s v="Cash"/>
    <s v="Under Treatment"/>
  </r>
  <r>
    <s v="Imran Akhtar"/>
    <n v="74"/>
    <x v="1"/>
    <s v="Male"/>
    <s v="Faisalabad"/>
    <x v="1"/>
    <s v="Dr. Tariq"/>
    <d v="2024-10-18T00:00:00"/>
    <d v="2024-11-16T00:00:00"/>
    <n v="15000"/>
    <s v="Cash"/>
    <s v="Under Treatment"/>
  </r>
  <r>
    <s v="Tariq Siddiqui"/>
    <n v="28"/>
    <x v="0"/>
    <s v="Male"/>
    <s v="Quetta"/>
    <x v="3"/>
    <s v="Dr. Zubair"/>
    <d v="2024-03-16T00:00:00"/>
    <d v="2024-03-18T00:00:00"/>
    <n v="20000"/>
    <s v="Insurance"/>
    <s v="Recovered"/>
  </r>
  <r>
    <s v="Fatima Malik"/>
    <n v="59"/>
    <x v="3"/>
    <s v="Female"/>
    <s v="Multan"/>
    <x v="3"/>
    <s v="Dr. Imran"/>
    <d v="2024-09-13T00:00:00"/>
    <d v="2024-09-17T00:00:00"/>
    <n v="20000"/>
    <s v="Cash"/>
    <s v="Discharged"/>
  </r>
  <r>
    <s v="Nadia Iqbal"/>
    <n v="81"/>
    <x v="1"/>
    <s v="Male"/>
    <s v="Karachi"/>
    <x v="6"/>
    <s v="Dr. Zubair"/>
    <d v="2024-06-05T00:00:00"/>
    <d v="2024-05-07T00:00:00"/>
    <n v="20000"/>
    <s v="Online Transfer"/>
    <s v="Under Treatment"/>
  </r>
  <r>
    <s v="Nida Hassan"/>
    <n v="40"/>
    <x v="3"/>
    <s v="Male"/>
    <s v="Peshawar"/>
    <x v="5"/>
    <s v="Dr. Sana"/>
    <d v="2024-09-02T00:00:00"/>
    <d v="2024-02-13T00:00:00"/>
    <n v="100000"/>
    <s v="Cash"/>
    <s v="Critical"/>
  </r>
  <r>
    <s v="Waqas Raza"/>
    <n v="34"/>
    <x v="0"/>
    <s v="Female"/>
    <s v="Quetta"/>
    <x v="6"/>
    <s v="Dr. Imran"/>
    <d v="2024-10-23T00:00:00"/>
    <d v="2024-11-10T00:00:00"/>
    <n v="100000"/>
    <s v="Cash"/>
    <s v="Critical"/>
  </r>
  <r>
    <s v="Kamran Ansari"/>
    <n v="7"/>
    <x v="2"/>
    <s v="Female"/>
    <s v="Karachi"/>
    <x v="1"/>
    <s v="Dr. Sana"/>
    <d v="2024-08-28T00:00:00"/>
    <d v="2024-09-18T00:00:00"/>
    <n v="35000"/>
    <s v="Card"/>
    <s v="Critical"/>
  </r>
  <r>
    <s v="Omer Bhatti"/>
    <n v="34"/>
    <x v="0"/>
    <s v="Male"/>
    <s v="Lahore"/>
    <x v="5"/>
    <s v="Dr. Farah"/>
    <d v="2024-10-18T00:00:00"/>
    <d v="2024-10-27T00:00:00"/>
    <n v="75000"/>
    <s v="Online Transfer"/>
    <s v="Critical"/>
  </r>
  <r>
    <s v="Sana Javed"/>
    <n v="9"/>
    <x v="2"/>
    <s v="Male"/>
    <s v="Peshawar"/>
    <x v="1"/>
    <s v="Dr. Imran"/>
    <d v="2024-03-04T00:00:00"/>
    <d v="2024-04-26T00:00:00"/>
    <n v="12000"/>
    <s v="Online Transfer"/>
    <s v="Under Treatment"/>
  </r>
  <r>
    <s v="Nadia Nawaz"/>
    <n v="47"/>
    <x v="3"/>
    <s v="Male"/>
    <s v="Lahore"/>
    <x v="5"/>
    <s v="Dr. Ayesha"/>
    <d v="2024-02-24T00:00:00"/>
    <d v="2024-03-04T00:00:00"/>
    <n v="35000"/>
    <s v="Online Transfer"/>
    <s v="Discharged"/>
  </r>
  <r>
    <s v="Sana Niazi"/>
    <n v="8"/>
    <x v="2"/>
    <s v="Female"/>
    <s v="Multan"/>
    <x v="0"/>
    <s v="Dr. Farah"/>
    <d v="2024-07-30T00:00:00"/>
    <d v="2024-08-05T00:00:00"/>
    <n v="50000"/>
    <s v="Insurance"/>
    <s v="Under Treatment"/>
  </r>
  <r>
    <s v="Usman Javed"/>
    <n v="8"/>
    <x v="2"/>
    <s v="Female"/>
    <s v="Faisalabad"/>
    <x v="0"/>
    <s v="Dr. Sana"/>
    <d v="2024-05-17T00:00:00"/>
    <d v="2024-06-08T00:00:00"/>
    <n v="75000"/>
    <s v="Cash"/>
    <s v="Under Treatment"/>
  </r>
  <r>
    <s v="Tariq Niazi"/>
    <n v="72"/>
    <x v="1"/>
    <s v="Male"/>
    <s v="Quetta"/>
    <x v="5"/>
    <s v="Dr. Zubair"/>
    <d v="2024-04-29T00:00:00"/>
    <d v="2024-05-11T00:00:00"/>
    <n v="0"/>
    <s v="Insurance"/>
    <s v="Under Treatment"/>
  </r>
  <r>
    <s v="Zara Ahmed"/>
    <n v="47"/>
    <x v="3"/>
    <s v="Male"/>
    <s v="Islamabad"/>
    <x v="2"/>
    <s v="Dr. Tariq"/>
    <d v="2024-05-25T00:00:00"/>
    <d v="2024-06-22T00:00:00"/>
    <n v="12000"/>
    <s v="Online Transfer"/>
    <s v="Critical"/>
  </r>
  <r>
    <s v="Mehwish Siddiqui"/>
    <n v="43"/>
    <x v="3"/>
    <s v="Male"/>
    <s v="Peshawar"/>
    <x v="4"/>
    <s v="Dr. Tariq"/>
    <d v="2024-02-17T00:00:00"/>
    <d v="2024-03-08T00:00:00"/>
    <n v="5000"/>
    <s v="Insurance"/>
    <s v="Recovered"/>
  </r>
  <r>
    <s v="Saima Siddiqui"/>
    <n v="7"/>
    <x v="2"/>
    <s v="Female"/>
    <s v="Quetta"/>
    <x v="3"/>
    <s v="Dr. Imran"/>
    <d v="2024-10-07T00:00:00"/>
    <d v="2024-08-08T00:00:00"/>
    <n v="0"/>
    <s v="Card"/>
    <s v="Discharged"/>
  </r>
  <r>
    <s v="Uzma Hassan"/>
    <n v="45"/>
    <x v="3"/>
    <s v="Male"/>
    <s v="Lahore"/>
    <x v="6"/>
    <s v="Dr. Zubair"/>
    <d v="2024-03-29T00:00:00"/>
    <d v="2024-04-07T00:00:00"/>
    <n v="20000"/>
    <s v="Card"/>
    <s v="Discharged"/>
  </r>
  <r>
    <s v="Nida Chaudhry"/>
    <n v="40"/>
    <x v="3"/>
    <s v="Female"/>
    <s v="Islamabad"/>
    <x v="5"/>
    <s v="Dr. Tariq"/>
    <d v="2024-06-09T00:00:00"/>
    <d v="2024-09-29T00:00:00"/>
    <n v="15000"/>
    <s v="Card"/>
    <s v="Discharged"/>
  </r>
  <r>
    <s v="Amna Butt"/>
    <n v="34"/>
    <x v="0"/>
    <s v="Male"/>
    <s v="Islamabad"/>
    <x v="4"/>
    <s v="Dr. Ayesha"/>
    <d v="2024-07-08T00:00:00"/>
    <d v="2024-08-09T00:00:00"/>
    <n v="50000"/>
    <s v="Card"/>
    <s v="Discharged"/>
  </r>
  <r>
    <s v="Hassan Ansari"/>
    <n v="33"/>
    <x v="0"/>
    <s v="Female"/>
    <s v="Lahore"/>
    <x v="4"/>
    <s v="Dr. Khalid"/>
    <d v="2024-10-23T00:00:00"/>
    <d v="2024-10-30T00:00:00"/>
    <n v="15000"/>
    <s v="Online Transfer"/>
    <s v="Recovered"/>
  </r>
  <r>
    <s v="Imran Ansari"/>
    <n v="45"/>
    <x v="3"/>
    <s v="Male"/>
    <s v="Quetta"/>
    <x v="4"/>
    <s v="Dr. Imran"/>
    <d v="2024-11-03T00:00:00"/>
    <d v="2024-03-23T00:00:00"/>
    <n v="8000"/>
    <s v="Card"/>
    <s v="Discharged"/>
  </r>
  <r>
    <s v="Usman Malik"/>
    <n v="88"/>
    <x v="1"/>
    <s v="Female"/>
    <s v="Lahore"/>
    <x v="2"/>
    <s v="Dr. Khalid"/>
    <d v="2024-09-25T00:00:00"/>
    <d v="2024-09-26T00:00:00"/>
    <n v="50000"/>
    <s v="Cash"/>
    <s v="Recovered"/>
  </r>
  <r>
    <s v="Sara Mirza"/>
    <s v="Unknown"/>
    <x v="4"/>
    <s v="Female"/>
    <s v="Peshawar"/>
    <x v="3"/>
    <s v="Dr. Sana"/>
    <d v="2024-04-20T00:00:00"/>
    <d v="2024-05-11T00:00:00"/>
    <n v="50000"/>
    <s v="Online Transfer"/>
    <s v="Recovered"/>
  </r>
  <r>
    <s v="Hina Khan"/>
    <n v="89"/>
    <x v="1"/>
    <s v="Male"/>
    <s v="Peshawar"/>
    <x v="2"/>
    <s v="Dr. Tariq"/>
    <d v="2024-09-28T00:00:00"/>
    <d v="2024-10-17T00:00:00"/>
    <n v="50000"/>
    <s v="Online Transfer"/>
    <s v="Under Treatment"/>
  </r>
  <r>
    <s v="Farhan Khan"/>
    <n v="49"/>
    <x v="3"/>
    <s v="Female"/>
    <s v="Karachi"/>
    <x v="0"/>
    <s v="Dr. Khalid"/>
    <d v="2024-09-05T00:00:00"/>
    <d v="2024-05-21T00:00:00"/>
    <n v="15000"/>
    <s v="Insurance"/>
    <s v="Discharged"/>
  </r>
  <r>
    <s v="Nida Nawaz"/>
    <n v="73"/>
    <x v="1"/>
    <s v="Male"/>
    <s v="Peshawar"/>
    <x v="3"/>
    <s v="Dr. Zubair"/>
    <d v="2024-02-03T00:00:00"/>
    <d v="2024-03-31T00:00:00"/>
    <n v="75000"/>
    <s v="Insurance"/>
    <s v="Under Treatment"/>
  </r>
  <r>
    <s v="Fariha Iqbal"/>
    <n v="82"/>
    <x v="1"/>
    <s v="Female"/>
    <s v="Multan"/>
    <x v="1"/>
    <s v="Dr. Zubair"/>
    <d v="2024-05-13T00:00:00"/>
    <d v="2024-06-10T00:00:00"/>
    <n v="12000"/>
    <s v="Card"/>
    <s v="Under Treatment"/>
  </r>
  <r>
    <s v="Kamran Malik"/>
    <n v="86"/>
    <x v="1"/>
    <s v="Male"/>
    <s v="Lahore"/>
    <x v="5"/>
    <s v="Dr. Imran"/>
    <d v="2024-06-10T00:00:00"/>
    <d v="2024-10-17T00:00:00"/>
    <n v="35000"/>
    <s v="Card"/>
    <s v="Critical"/>
  </r>
  <r>
    <s v="Sara Iqbal"/>
    <n v="10"/>
    <x v="2"/>
    <s v="Male"/>
    <s v="Peshawar"/>
    <x v="4"/>
    <s v="Dr. Imran"/>
    <d v="2024-02-16T00:00:00"/>
    <d v="2024-02-18T00:00:00"/>
    <n v="15000"/>
    <s v="Insurance"/>
    <s v="Under Treatment"/>
  </r>
  <r>
    <s v="Nida Javed"/>
    <n v="36"/>
    <x v="0"/>
    <s v="Male"/>
    <s v="Quetta"/>
    <x v="3"/>
    <s v="Dr. Tariq"/>
    <d v="2024-12-06T00:00:00"/>
    <d v="2024-06-21T00:00:00"/>
    <n v="12000"/>
    <s v="Online Transfer"/>
    <s v="Discharged"/>
  </r>
  <r>
    <s v="Waqas Qureshi"/>
    <n v="41"/>
    <x v="3"/>
    <s v="Male"/>
    <s v="Faisalabad"/>
    <x v="0"/>
    <s v="Dr. Khalid"/>
    <d v="2024-05-24T00:00:00"/>
    <d v="2024-06-17T00:00:00"/>
    <n v="25000"/>
    <s v="Cash"/>
    <s v="Critical"/>
  </r>
  <r>
    <s v="Waqas Iqbal"/>
    <n v="90"/>
    <x v="1"/>
    <s v="Male"/>
    <s v="Peshawar"/>
    <x v="2"/>
    <s v="Dr. Sana"/>
    <d v="2024-04-07T00:00:00"/>
    <d v="2024-07-14T00:00:00"/>
    <n v="20000"/>
    <s v="Insurance"/>
    <s v="Critical"/>
  </r>
  <r>
    <s v="Fatima Bhatti"/>
    <n v="21"/>
    <x v="0"/>
    <s v="Female"/>
    <s v="Peshawar"/>
    <x v="4"/>
    <s v="Dr. Sana"/>
    <d v="2024-03-17T00:00:00"/>
    <d v="2024-04-08T00:00:00"/>
    <n v="0"/>
    <s v="Insurance"/>
    <s v="Critical"/>
  </r>
  <r>
    <s v="Hamid Ansari"/>
    <n v="22"/>
    <x v="0"/>
    <s v="Male"/>
    <s v="Quetta"/>
    <x v="6"/>
    <s v="Dr. Zubair"/>
    <d v="2024-04-22T00:00:00"/>
    <d v="2024-05-11T00:00:00"/>
    <n v="100000"/>
    <s v="Online Transfer"/>
    <s v="Critical"/>
  </r>
  <r>
    <s v="Amna Sheikh"/>
    <n v="77"/>
    <x v="1"/>
    <s v="Male"/>
    <s v="Peshawar"/>
    <x v="5"/>
    <s v="Dr. Sana"/>
    <d v="2024-08-17T00:00:00"/>
    <d v="2024-09-08T00:00:00"/>
    <n v="12000"/>
    <s v="Card"/>
    <s v="Recovered"/>
  </r>
  <r>
    <s v="Amna Sheikh"/>
    <n v="77"/>
    <x v="1"/>
    <s v="Male"/>
    <s v="Peshawar"/>
    <x v="5"/>
    <s v="Dr. Sana"/>
    <d v="2024-08-17T00:00:00"/>
    <d v="2024-09-08T00:00:00"/>
    <n v="12000"/>
    <s v="Card"/>
    <s v="Recovered"/>
  </r>
  <r>
    <s v="Usman Nawaz"/>
    <n v="52"/>
    <x v="3"/>
    <s v="Female"/>
    <s v="Multan"/>
    <x v="0"/>
    <s v="Dr. Ayesha"/>
    <d v="2024-10-24T00:00:00"/>
    <d v="2024-10-30T00:00:00"/>
    <n v="25000"/>
    <s v="Card"/>
    <s v="Critical"/>
  </r>
  <r>
    <s v="Nadia Qureshi"/>
    <n v="2"/>
    <x v="2"/>
    <s v="Male"/>
    <s v="Multan"/>
    <x v="5"/>
    <s v="Dr. Sana"/>
    <d v="2024-11-05T00:00:00"/>
    <d v="2024-05-29T00:00:00"/>
    <n v="25000"/>
    <s v="Card"/>
    <s v="Under Treatment"/>
  </r>
  <r>
    <s v="Mehwish Nawaz"/>
    <n v="90"/>
    <x v="1"/>
    <s v="Unknown"/>
    <s v="Faisalabad"/>
    <x v="1"/>
    <s v="Dr. Khalid"/>
    <d v="2024-01-14T00:00:00"/>
    <d v="2024-02-13T00:00:00"/>
    <n v="8000"/>
    <s v="Online Transfer"/>
    <s v="Critical"/>
  </r>
  <r>
    <s v="Ali Akhtar"/>
    <n v="81"/>
    <x v="1"/>
    <s v="Male"/>
    <s v="Multan"/>
    <x v="3"/>
    <s v="Dr. Ayesha"/>
    <d v="2024-12-04T00:00:00"/>
    <d v="2024-05-03T00:00:00"/>
    <n v="100000"/>
    <s v="Online Transfer"/>
    <s v="Under Treatment"/>
  </r>
  <r>
    <s v="Rabia Hassan"/>
    <n v="37"/>
    <x v="0"/>
    <s v="Female"/>
    <s v="Islamabad"/>
    <x v="3"/>
    <s v="Dr. Sana"/>
    <d v="2024-09-12T00:00:00"/>
    <d v="2024-10-06T00:00:00"/>
    <n v="8000"/>
    <s v="Insurance"/>
    <s v="Recovered"/>
  </r>
  <r>
    <s v="Sana Abbasi"/>
    <n v="70"/>
    <x v="1"/>
    <s v="Male"/>
    <s v="Karachi"/>
    <x v="5"/>
    <s v="Dr. Farah"/>
    <d v="2024-02-22T00:00:00"/>
    <d v="2024-03-23T00:00:00"/>
    <n v="20000"/>
    <s v="Online Transfer"/>
    <s v="Recovered"/>
  </r>
  <r>
    <s v="Nida Qureshi"/>
    <n v="25"/>
    <x v="0"/>
    <s v="Male"/>
    <s v="Karachi"/>
    <x v="4"/>
    <s v="Dr. Khalid"/>
    <d v="2024-02-20T00:00:00"/>
    <d v="2024-02-23T00:00:00"/>
    <n v="5000"/>
    <s v="Cash"/>
    <s v="Under Treatment"/>
  </r>
  <r>
    <s v="Hina Mirza"/>
    <n v="86"/>
    <x v="1"/>
    <s v="Female"/>
    <s v="Karachi"/>
    <x v="3"/>
    <s v="Dr. Ayesha"/>
    <d v="2024-05-30T00:00:00"/>
    <d v="2024-06-09T00:00:00"/>
    <n v="75000"/>
    <s v="Insurance"/>
    <s v="Critical"/>
  </r>
  <r>
    <s v="Tariq Javed"/>
    <s v="Unknown"/>
    <x v="4"/>
    <s v="Male"/>
    <s v="Faisalabad"/>
    <x v="2"/>
    <s v="Dr. Ayesha"/>
    <d v="2024-05-04T00:00:00"/>
    <d v="2024-04-10T00:00:00"/>
    <n v="8000"/>
    <s v="Card"/>
    <s v="Critical"/>
  </r>
  <r>
    <s v="Imran Nawaz"/>
    <n v="52"/>
    <x v="3"/>
    <s v="Male"/>
    <s v="Faisalabad"/>
    <x v="2"/>
    <s v="Dr. Sana"/>
    <d v="2024-05-23T00:00:00"/>
    <d v="2024-05-30T00:00:00"/>
    <n v="50000"/>
    <s v="Cash"/>
    <s v="Discharged"/>
  </r>
  <r>
    <s v="Waqas Butt"/>
    <n v="20"/>
    <x v="0"/>
    <s v="Male"/>
    <s v="Islamabad"/>
    <x v="4"/>
    <s v="Dr. Farah"/>
    <d v="2024-01-31T00:00:00"/>
    <d v="2024-02-21T00:00:00"/>
    <n v="50000"/>
    <s v="Insurance"/>
    <s v="Critical"/>
  </r>
  <r>
    <s v="Bilal Siddiqui"/>
    <n v="84"/>
    <x v="1"/>
    <s v="Male"/>
    <s v="Faisalabad"/>
    <x v="5"/>
    <s v="Dr. Khalid"/>
    <d v="2024-09-29T00:00:00"/>
    <d v="2024-10-18T00:00:00"/>
    <n v="20000"/>
    <s v="Card"/>
    <s v="Discharged"/>
  </r>
  <r>
    <s v="Ali Ali"/>
    <n v="11"/>
    <x v="2"/>
    <s v="Female"/>
    <s v="Multan"/>
    <x v="4"/>
    <s v="Dr. Tariq"/>
    <d v="2024-01-09T00:00:00"/>
    <d v="2024-09-29T00:00:00"/>
    <n v="15000"/>
    <s v="Online Transfer"/>
    <s v="Recovered"/>
  </r>
  <r>
    <s v="Zara Abbasi"/>
    <n v="89"/>
    <x v="1"/>
    <s v="Male"/>
    <s v="Multan"/>
    <x v="5"/>
    <s v="Dr. Zubair"/>
    <d v="2024-02-06T00:00:00"/>
    <d v="2024-06-25T00:00:00"/>
    <n v="8000"/>
    <s v="Cash"/>
    <s v="Under Treatment"/>
  </r>
  <r>
    <s v="Nida Siddiqui"/>
    <n v="69"/>
    <x v="1"/>
    <s v="Female"/>
    <s v="Faisalabad"/>
    <x v="1"/>
    <s v="Dr. Ayesha"/>
    <d v="2024-04-02T00:00:00"/>
    <d v="2024-02-05T00:00:00"/>
    <n v="25000"/>
    <s v="Card"/>
    <s v="Recovered"/>
  </r>
  <r>
    <s v="Saima Hassan"/>
    <n v="31"/>
    <x v="0"/>
    <s v="Male"/>
    <s v="Islamabad"/>
    <x v="4"/>
    <s v="Dr. Farah"/>
    <d v="2024-06-22T00:00:00"/>
    <d v="2024-07-04T00:00:00"/>
    <n v="100000"/>
    <s v="Card"/>
    <s v="Discharged"/>
  </r>
  <r>
    <s v="Zara Nawaz"/>
    <n v="64"/>
    <x v="1"/>
    <s v="Male"/>
    <s v="Peshawar"/>
    <x v="3"/>
    <s v="Dr. Ayesha"/>
    <d v="2024-03-20T00:00:00"/>
    <d v="2024-04-08T00:00:00"/>
    <n v="5000"/>
    <s v="Online Transfer"/>
    <s v="Critical"/>
  </r>
  <r>
    <s v="Ali Siddiqui"/>
    <n v="71"/>
    <x v="1"/>
    <s v="Female"/>
    <s v="Lahore"/>
    <x v="4"/>
    <s v="Dr. Ayesha"/>
    <d v="2024-05-21T00:00:00"/>
    <d v="2024-06-05T00:00:00"/>
    <n v="12000"/>
    <s v="Insurance"/>
    <s v="Recovered"/>
  </r>
  <r>
    <s v="Sara Malik"/>
    <n v="20"/>
    <x v="0"/>
    <s v="Female"/>
    <s v="Multan"/>
    <x v="5"/>
    <s v="Dr. Ayesha"/>
    <d v="2024-07-12T00:00:00"/>
    <d v="2024-07-15T00:00:00"/>
    <n v="12000"/>
    <s v="Insurance"/>
    <s v="Recovered"/>
  </r>
  <r>
    <s v="Zara Malik"/>
    <n v="88"/>
    <x v="1"/>
    <s v="Female"/>
    <s v="Lahore"/>
    <x v="0"/>
    <s v="Dr. Imran"/>
    <d v="2024-08-26T00:00:00"/>
    <d v="2024-08-31T00:00:00"/>
    <n v="25000"/>
    <s v="Insurance"/>
    <s v="Discharged"/>
  </r>
  <r>
    <s v="Danish Hassan"/>
    <n v="76"/>
    <x v="1"/>
    <s v="Female"/>
    <s v="Multan"/>
    <x v="1"/>
    <s v="Dr. Tariq"/>
    <d v="2024-06-10T00:00:00"/>
    <d v="2024-11-05T00:00:00"/>
    <n v="15000"/>
    <s v="Insurance"/>
    <s v="Critical"/>
  </r>
  <r>
    <s v="Sana Sheikh"/>
    <n v="86"/>
    <x v="1"/>
    <s v="Male"/>
    <s v="Lahore"/>
    <x v="5"/>
    <s v="Dr. Farah"/>
    <d v="2024-01-06T00:00:00"/>
    <d v="2024-06-10T00:00:00"/>
    <n v="20000"/>
    <s v="Online Transfer"/>
    <s v="Discharged"/>
  </r>
  <r>
    <s v="Zara Siddiqui"/>
    <n v="43"/>
    <x v="3"/>
    <s v="Female"/>
    <s v="Multan"/>
    <x v="1"/>
    <s v="Dr. Sana"/>
    <d v="2024-03-04T00:00:00"/>
    <d v="2024-04-23T00:00:00"/>
    <n v="50000"/>
    <s v="Insurance"/>
    <s v="Recovered"/>
  </r>
  <r>
    <s v="Hina Malik"/>
    <n v="27"/>
    <x v="0"/>
    <s v="Female"/>
    <s v="Faisalabad"/>
    <x v="0"/>
    <s v="Dr. Sana"/>
    <d v="2024-01-22T00:00:00"/>
    <d v="2024-02-12T00:00:00"/>
    <n v="15000"/>
    <s v="Cash"/>
    <s v="Critical"/>
  </r>
  <r>
    <s v="Mehwish Butt"/>
    <n v="15"/>
    <x v="2"/>
    <s v="Female"/>
    <s v="Quetta"/>
    <x v="2"/>
    <s v="Dr. Farah"/>
    <d v="2024-05-03T00:00:00"/>
    <d v="2024-03-21T00:00:00"/>
    <n v="50000"/>
    <s v="Online Transfer"/>
    <s v="Under Treatment"/>
  </r>
  <r>
    <s v="Fatima Iqbal"/>
    <n v="28"/>
    <x v="0"/>
    <s v="Female"/>
    <s v="Lahore"/>
    <x v="5"/>
    <s v="Dr. Sana"/>
    <d v="2024-04-24T00:00:00"/>
    <d v="2024-05-14T00:00:00"/>
    <n v="50000"/>
    <s v="Online Transfer"/>
    <s v="Critical"/>
  </r>
  <r>
    <s v="Zubair Mirza"/>
    <n v="42"/>
    <x v="3"/>
    <s v="Female"/>
    <s v="Peshawar"/>
    <x v="5"/>
    <s v="Dr. Ayesha"/>
    <d v="2024-10-05T00:00:00"/>
    <d v="2024-06-08T00:00:00"/>
    <n v="75000"/>
    <s v="Online Transfer"/>
    <s v="Under Treatment"/>
  </r>
  <r>
    <s v="Amna Mirza"/>
    <s v="Unknown"/>
    <x v="4"/>
    <s v="Male"/>
    <s v="Islamabad"/>
    <x v="4"/>
    <s v="Dr. Sana"/>
    <d v="2024-08-26T00:00:00"/>
    <d v="2024-09-25T00:00:00"/>
    <n v="5000"/>
    <s v="Online Transfer"/>
    <s v="Under Treatment"/>
  </r>
  <r>
    <s v="Sara Sheikh"/>
    <n v="87"/>
    <x v="1"/>
    <s v="Male"/>
    <s v="Karachi"/>
    <x v="4"/>
    <s v="Dr. Zubair"/>
    <d v="2024-03-07T00:00:00"/>
    <d v="2024-07-17T00:00:00"/>
    <n v="12000"/>
    <s v="Insurance"/>
    <s v="Under Treatment"/>
  </r>
  <r>
    <s v="Sara Mirza"/>
    <n v="3"/>
    <x v="2"/>
    <s v="Male"/>
    <s v="Peshawar"/>
    <x v="3"/>
    <s v="Dr. Farah"/>
    <d v="2024-04-02T00:00:00"/>
    <d v="2024-02-28T00:00:00"/>
    <n v="25000"/>
    <s v="Cash"/>
    <s v="Under Treatment"/>
  </r>
  <r>
    <s v="Mehwish Butt"/>
    <n v="41"/>
    <x v="3"/>
    <s v="Female"/>
    <s v="Peshawar"/>
    <x v="3"/>
    <s v="Dr. Imran"/>
    <d v="2024-02-06T00:00:00"/>
    <d v="2024-06-05T00:00:00"/>
    <n v="35000"/>
    <s v="Cash"/>
    <s v="Critical"/>
  </r>
  <r>
    <s v="Hamid Bhatti"/>
    <n v="42"/>
    <x v="3"/>
    <s v="Female"/>
    <s v="Peshawar"/>
    <x v="0"/>
    <s v="Dr. Sana"/>
    <d v="2024-08-04T00:00:00"/>
    <d v="2024-04-10T00:00:00"/>
    <n v="50000"/>
    <s v="Online Transfer"/>
    <s v="Critical"/>
  </r>
  <r>
    <s v="Amna Nawaz"/>
    <n v="58"/>
    <x v="3"/>
    <s v="Female"/>
    <s v="Peshawar"/>
    <x v="3"/>
    <s v="Dr. Sana"/>
    <d v="2024-07-05T00:00:00"/>
    <d v="2024-07-27T00:00:00"/>
    <n v="0"/>
    <s v="Insurance"/>
    <s v="Under Treatment"/>
  </r>
  <r>
    <s v="Waqas Siddiqui"/>
    <n v="31"/>
    <x v="0"/>
    <s v="Male"/>
    <s v="Faisalabad"/>
    <x v="4"/>
    <s v="Dr. Sana"/>
    <d v="2024-06-06T00:00:00"/>
    <d v="2024-06-11T00:00:00"/>
    <n v="15000"/>
    <s v="Card"/>
    <s v="Discharged"/>
  </r>
  <r>
    <s v="Bilal Sheikh"/>
    <n v="1"/>
    <x v="2"/>
    <s v="Male"/>
    <s v="Islamabad"/>
    <x v="2"/>
    <s v="Dr. Khalid"/>
    <d v="2024-05-19T00:00:00"/>
    <d v="2024-05-22T00:00:00"/>
    <n v="15000"/>
    <s v="Online Transfer"/>
    <s v="Recovered"/>
  </r>
  <r>
    <s v="Imran Malik"/>
    <n v="30"/>
    <x v="0"/>
    <s v="Male"/>
    <s v="Faisalabad"/>
    <x v="6"/>
    <s v="Dr. Ayesha"/>
    <d v="2024-04-27T00:00:00"/>
    <d v="2024-05-10T00:00:00"/>
    <n v="8000"/>
    <s v="Cash"/>
    <s v="Discharged"/>
  </r>
  <r>
    <s v="Saima Ali"/>
    <n v="46"/>
    <x v="3"/>
    <s v="Female"/>
    <s v="Quetta"/>
    <x v="3"/>
    <s v="Dr. Zubair"/>
    <d v="2024-02-14T00:00:00"/>
    <d v="2024-02-21T00:00:00"/>
    <n v="15000"/>
    <s v="Online Transfer"/>
    <s v="Critical"/>
  </r>
  <r>
    <s v="Ali Sheikh"/>
    <n v="6"/>
    <x v="2"/>
    <s v="Female"/>
    <s v="Lahore"/>
    <x v="3"/>
    <s v="Dr. Sana"/>
    <d v="2024-11-08T00:00:00"/>
    <d v="2024-08-27T00:00:00"/>
    <n v="75000"/>
    <s v="Cash"/>
    <s v="Discharged"/>
  </r>
  <r>
    <s v="Saima Ansari"/>
    <n v="76"/>
    <x v="1"/>
    <s v="Male"/>
    <s v="Peshawar"/>
    <x v="2"/>
    <s v="Dr. Farah"/>
    <d v="2024-08-13T00:00:00"/>
    <d v="2024-09-09T00:00:00"/>
    <n v="15000"/>
    <s v="Card"/>
    <s v="Under Treatment"/>
  </r>
  <r>
    <s v="Bilal Niazi"/>
    <n v="39"/>
    <x v="0"/>
    <s v="Female"/>
    <s v="Islamabad"/>
    <x v="0"/>
    <s v="Dr. Imran"/>
    <d v="2024-07-14T00:00:00"/>
    <d v="2024-08-08T00:00:00"/>
    <n v="35000"/>
    <s v="Insurance"/>
    <s v="Recovered"/>
  </r>
  <r>
    <s v="Bilal Bhatti"/>
    <n v="3"/>
    <x v="2"/>
    <s v="Female"/>
    <s v="Islamabad"/>
    <x v="0"/>
    <s v="Dr. Tariq"/>
    <d v="2024-11-09T00:00:00"/>
    <d v="2024-09-19T00:00:00"/>
    <n v="100000"/>
    <s v="Insurance"/>
    <s v="Under Treatment"/>
  </r>
  <r>
    <s v="Kamran Malik"/>
    <n v="10"/>
    <x v="2"/>
    <s v="Female"/>
    <s v="Islamabad"/>
    <x v="1"/>
    <s v="Dr. Imran"/>
    <d v="2024-04-25T00:00:00"/>
    <d v="2024-05-05T00:00:00"/>
    <n v="5000"/>
    <s v="Insurance"/>
    <s v="Under Treatment"/>
  </r>
  <r>
    <s v="Nida Ansari"/>
    <n v="83"/>
    <x v="1"/>
    <s v="Male"/>
    <s v="Multan"/>
    <x v="2"/>
    <s v="Dr. Zubair"/>
    <d v="2024-06-18T00:00:00"/>
    <d v="2024-06-25T00:00:00"/>
    <n v="12000"/>
    <s v="Card"/>
    <s v="Under Treatment"/>
  </r>
  <r>
    <s v="Bilal Nawaz"/>
    <n v="85"/>
    <x v="1"/>
    <s v="Male"/>
    <s v="Islamabad"/>
    <x v="3"/>
    <s v="Dr. Farah"/>
    <d v="2024-10-18T00:00:00"/>
    <d v="2024-11-10T00:00:00"/>
    <n v="15000"/>
    <s v="Card"/>
    <s v="Critical"/>
  </r>
  <r>
    <s v="Farhan Ansari"/>
    <n v="70"/>
    <x v="1"/>
    <s v="Female"/>
    <s v="Karachi"/>
    <x v="2"/>
    <s v="Dr. Tariq"/>
    <d v="2024-07-02T00:00:00"/>
    <d v="2024-02-20T00:00:00"/>
    <n v="35000"/>
    <s v="Insurance"/>
    <s v="Critical"/>
  </r>
  <r>
    <s v="Zubair Sheikh"/>
    <n v="14"/>
    <x v="2"/>
    <s v="Female"/>
    <s v="Quetta"/>
    <x v="2"/>
    <s v="Dr. Farah"/>
    <d v="2024-02-24T00:00:00"/>
    <d v="2024-03-06T00:00:00"/>
    <n v="15000"/>
    <s v="Cash"/>
    <s v="Critical"/>
  </r>
  <r>
    <s v="Fariha Chaudhry"/>
    <n v="34"/>
    <x v="0"/>
    <s v="Male"/>
    <s v="Peshawar"/>
    <x v="0"/>
    <s v="Dr. Tariq"/>
    <d v="2024-02-08T00:00:00"/>
    <d v="2024-08-31T00:00:00"/>
    <n v="75000"/>
    <s v="Insurance"/>
    <s v="Discharged"/>
  </r>
  <r>
    <s v="Usman Ahmed"/>
    <n v="36"/>
    <x v="0"/>
    <s v="Male"/>
    <s v="Quetta"/>
    <x v="2"/>
    <s v="Dr. Zubair"/>
    <d v="2024-05-24T00:00:00"/>
    <d v="2024-06-12T00:00:00"/>
    <n v="12000"/>
    <s v="Insurance"/>
    <s v="Recovered"/>
  </r>
  <r>
    <s v="Hassan Malik"/>
    <n v="31"/>
    <x v="0"/>
    <s v="Female"/>
    <s v="Faisalabad"/>
    <x v="1"/>
    <s v="Dr. Khalid"/>
    <d v="2024-10-13T00:00:00"/>
    <d v="2024-10-31T00:00:00"/>
    <n v="35000"/>
    <s v="Card"/>
    <s v="Discharged"/>
  </r>
  <r>
    <s v="Sara Abbasi"/>
    <n v="59"/>
    <x v="3"/>
    <s v="Female"/>
    <s v="Multan"/>
    <x v="6"/>
    <s v="Dr. Laiba"/>
    <d v="2024-05-14T00:00:00"/>
    <d v="2024-06-11T00:00:00"/>
    <n v="50000"/>
    <s v="Cash"/>
    <s v="Critical"/>
  </r>
  <r>
    <s v="Hassan Malik"/>
    <n v="25"/>
    <x v="0"/>
    <s v="Male"/>
    <s v="Islamabad"/>
    <x v="1"/>
    <s v="Dr. Imran"/>
    <d v="2024-11-09T00:00:00"/>
    <d v="2024-09-12T00:00:00"/>
    <n v="25000"/>
    <s v="Insurance"/>
    <s v="Under Treatment"/>
  </r>
  <r>
    <s v="Fariha Iqbal"/>
    <n v="40"/>
    <x v="3"/>
    <s v="Male"/>
    <s v="Multan"/>
    <x v="0"/>
    <s v="Dr. Ayesha"/>
    <d v="2024-07-02T00:00:00"/>
    <d v="2024-03-01T00:00:00"/>
    <n v="15000"/>
    <s v="Cash"/>
    <s v="Critical"/>
  </r>
  <r>
    <s v="Kamran Sheikh"/>
    <n v="69"/>
    <x v="1"/>
    <s v="Female"/>
    <s v="Islamabad"/>
    <x v="0"/>
    <s v="Dr. Zubair"/>
    <d v="2024-02-28T00:00:00"/>
    <d v="2024-03-09T00:00:00"/>
    <n v="20000"/>
    <s v="Insurance"/>
    <s v="Recovered"/>
  </r>
  <r>
    <s v="Fatima Malik"/>
    <n v="82"/>
    <x v="1"/>
    <s v="Female"/>
    <s v="Lahore"/>
    <x v="3"/>
    <s v="Dr. Khalid"/>
    <d v="2024-05-07T00:00:00"/>
    <d v="2024-07-31T00:00:00"/>
    <n v="25000"/>
    <s v="Card"/>
    <s v="Recovered"/>
  </r>
  <r>
    <s v="Sana Akhtar"/>
    <n v="47"/>
    <x v="3"/>
    <s v="Male"/>
    <s v="Lahore"/>
    <x v="0"/>
    <s v="Dr. Farah"/>
    <d v="2024-07-25T00:00:00"/>
    <d v="2024-08-03T00:00:00"/>
    <n v="5000"/>
    <s v="Cash"/>
    <s v="Under Treatment"/>
  </r>
  <r>
    <s v="Hassan Malik"/>
    <n v="34"/>
    <x v="0"/>
    <s v="Female"/>
    <s v="Karachi"/>
    <x v="0"/>
    <s v="Dr. Ayesha"/>
    <d v="2024-09-15T00:00:00"/>
    <d v="2024-09-26T00:00:00"/>
    <n v="15000"/>
    <s v="Card"/>
    <s v="Under Treatment"/>
  </r>
  <r>
    <s v="Imran Akhtar"/>
    <n v="9"/>
    <x v="2"/>
    <s v="Male"/>
    <s v="Quetta"/>
    <x v="1"/>
    <s v="Dr. Zubair"/>
    <d v="2024-09-19T00:00:00"/>
    <d v="2024-10-08T00:00:00"/>
    <n v="50000"/>
    <s v="Card"/>
    <s v="Under Treatment"/>
  </r>
  <r>
    <s v="Farhan Sheikh"/>
    <n v="47"/>
    <x v="3"/>
    <s v="Female"/>
    <s v="Quetta"/>
    <x v="3"/>
    <s v="Dr. Farah"/>
    <d v="2024-06-16T00:00:00"/>
    <d v="2024-06-29T00:00:00"/>
    <n v="5000"/>
    <s v="Online Transfer"/>
    <s v="Critical"/>
  </r>
  <r>
    <s v="Tariq Abbasi"/>
    <n v="69"/>
    <x v="1"/>
    <s v="Male"/>
    <s v="Multan"/>
    <x v="6"/>
    <s v="Dr. Tariq"/>
    <d v="2024-03-21T00:00:00"/>
    <d v="2024-04-14T00:00:00"/>
    <n v="50000"/>
    <s v="Card"/>
    <s v="Critical"/>
  </r>
  <r>
    <s v="Fatima Malik"/>
    <n v="43"/>
    <x v="3"/>
    <s v="Male"/>
    <s v="Lahore"/>
    <x v="3"/>
    <s v="Dr. Tariq"/>
    <d v="2024-08-16T00:00:00"/>
    <d v="2024-09-13T00:00:00"/>
    <n v="15000"/>
    <s v="Card"/>
    <s v="Under Treatment"/>
  </r>
  <r>
    <s v="Nida Ali"/>
    <s v="Unknown"/>
    <x v="4"/>
    <s v="Male"/>
    <s v="Lahore"/>
    <x v="2"/>
    <s v="Dr. Farah"/>
    <d v="2024-01-04T00:00:00"/>
    <d v="2024-04-19T00:00:00"/>
    <n v="35000"/>
    <s v="Online Transfer"/>
    <s v="Discharged"/>
  </r>
  <r>
    <s v="Hamid Sheikh"/>
    <n v="76"/>
    <x v="1"/>
    <s v="Male"/>
    <s v="Lahore"/>
    <x v="5"/>
    <s v="Dr. Tariq"/>
    <d v="2024-01-06T00:00:00"/>
    <d v="2024-06-27T00:00:00"/>
    <n v="100000"/>
    <s v="Insurance"/>
    <s v="Unknown"/>
  </r>
  <r>
    <s v="Hassan Chaudhry"/>
    <n v="86"/>
    <x v="1"/>
    <s v="Female"/>
    <s v="Quetta"/>
    <x v="1"/>
    <s v="Dr. Zubair"/>
    <d v="2024-04-06T00:00:00"/>
    <d v="2024-06-29T00:00:00"/>
    <n v="20000"/>
    <s v="Cash"/>
    <s v="Discharged"/>
  </r>
  <r>
    <s v="Hamid Abbasi"/>
    <n v="8"/>
    <x v="2"/>
    <s v="Female"/>
    <s v="Faisalabad"/>
    <x v="1"/>
    <s v="Dr. Imran"/>
    <d v="2024-04-30T00:00:00"/>
    <d v="2024-05-24T00:00:00"/>
    <n v="5000"/>
    <s v="Online Transfer"/>
    <s v="Discharged"/>
  </r>
  <r>
    <s v="Lubna Raza"/>
    <s v="Unknown"/>
    <x v="4"/>
    <s v="Female"/>
    <s v="Quetta"/>
    <x v="6"/>
    <s v="Dr. Tariq"/>
    <d v="2024-07-16T00:00:00"/>
    <d v="2024-08-07T00:00:00"/>
    <n v="75000"/>
    <s v="Online Transfer"/>
    <s v="Under Treatment"/>
  </r>
  <r>
    <s v="Uzma Sheikh"/>
    <n v="10"/>
    <x v="2"/>
    <s v="Male"/>
    <s v="Faisalabad"/>
    <x v="3"/>
    <s v="Dr. Tariq"/>
    <d v="2024-02-24T00:00:00"/>
    <d v="2024-03-04T00:00:00"/>
    <n v="100000"/>
    <s v="Online Transfer"/>
    <s v="Under Treatment"/>
  </r>
  <r>
    <s v="Ahmed Malik"/>
    <s v="Unknown"/>
    <x v="4"/>
    <s v="Male"/>
    <s v="Peshawar"/>
    <x v="5"/>
    <s v="Dr. Ayesha"/>
    <d v="2024-01-13T00:00:00"/>
    <d v="2024-01-17T00:00:00"/>
    <n v="50000"/>
    <s v="Insurance"/>
    <s v="Critical"/>
  </r>
  <r>
    <s v="Nadia Maleirza"/>
    <n v="78"/>
    <x v="1"/>
    <s v="Male"/>
    <s v="Lahore"/>
    <x v="5"/>
    <s v="Dr. Sana"/>
    <d v="2024-06-07T00:00:00"/>
    <d v="2024-07-25T00:00:00"/>
    <n v="35000"/>
    <s v="Card"/>
    <s v="Discharged"/>
  </r>
  <r>
    <s v="Waqas Chaudhry"/>
    <n v="9"/>
    <x v="2"/>
    <s v="Female"/>
    <s v="Karachi"/>
    <x v="3"/>
    <s v="Dr. Imran"/>
    <d v="2024-01-07T00:00:00"/>
    <d v="2024-07-24T00:00:00"/>
    <n v="20000"/>
    <s v="Insurance"/>
    <s v="Critical"/>
  </r>
  <r>
    <s v="Lubna Raza"/>
    <n v="33"/>
    <x v="0"/>
    <s v="Female"/>
    <s v="Faisalabad"/>
    <x v="1"/>
    <s v="Dr. Zubair"/>
    <d v="2024-02-26T00:00:00"/>
    <d v="2024-03-11T00:00:00"/>
    <n v="25000"/>
    <s v="Cash"/>
    <s v="Critical"/>
  </r>
  <r>
    <s v="Sana Nawaz"/>
    <n v="50"/>
    <x v="3"/>
    <s v="Male"/>
    <s v="Quetta"/>
    <x v="2"/>
    <s v="Dr. Ayesha"/>
    <d v="2024-01-16T00:00:00"/>
    <d v="2024-01-27T00:00:00"/>
    <n v="100000"/>
    <s v="Card"/>
    <s v="Critical"/>
  </r>
  <r>
    <s v="Zubair Raza"/>
    <n v="1"/>
    <x v="2"/>
    <s v="Female"/>
    <s v="Islamabad"/>
    <x v="4"/>
    <s v="Dr. Zubair"/>
    <d v="2024-06-19T00:00:00"/>
    <d v="2024-07-03T00:00:00"/>
    <n v="75000"/>
    <s v="Online Transfer"/>
    <s v="Critical"/>
  </r>
  <r>
    <s v="Sobia Nawaz"/>
    <n v="14"/>
    <x v="2"/>
    <s v="Female"/>
    <s v="Karachi"/>
    <x v="2"/>
    <s v="Dr. Tariq"/>
    <d v="2024-06-03T00:00:00"/>
    <d v="2024-03-19T00:00:00"/>
    <n v="100000"/>
    <s v="Card"/>
    <s v="Under Treatment"/>
  </r>
  <r>
    <s v="Fariha Raza"/>
    <n v="20"/>
    <x v="0"/>
    <s v="Female"/>
    <s v="Faisalabad"/>
    <x v="4"/>
    <s v="Dr. Sana"/>
    <d v="2024-04-15T00:00:00"/>
    <d v="2024-05-10T00:00:00"/>
    <n v="35000"/>
    <s v="Cash"/>
    <s v="Discharged"/>
  </r>
  <r>
    <s v="Sana Nawaz"/>
    <n v="62"/>
    <x v="1"/>
    <s v="Male"/>
    <s v="Lahore"/>
    <x v="3"/>
    <s v="Dr. Ayesha"/>
    <d v="2024-05-24T00:00:00"/>
    <d v="2024-06-05T00:00:00"/>
    <n v="75000"/>
    <s v="Online Transfer"/>
    <s v="Under Treatment"/>
  </r>
  <r>
    <s v="Danish Ahmed"/>
    <n v="61"/>
    <x v="1"/>
    <s v="Male"/>
    <s v="Islamabad"/>
    <x v="3"/>
    <s v="Dr. Khalid"/>
    <d v="2024-04-23T00:00:00"/>
    <d v="2024-05-15T00:00:00"/>
    <n v="25000"/>
    <s v="Cash"/>
    <s v="Under Treatment"/>
  </r>
  <r>
    <s v="Ali Ahmed"/>
    <n v="15"/>
    <x v="2"/>
    <s v="Female"/>
    <s v="Faisalabad"/>
    <x v="5"/>
    <s v="Dr. Zubair"/>
    <d v="2024-07-16T00:00:00"/>
    <d v="2024-08-15T00:00:00"/>
    <n v="25000"/>
    <s v="Card"/>
    <s v="Under Treatment"/>
  </r>
  <r>
    <s v="Fariha Javed"/>
    <n v="17"/>
    <x v="2"/>
    <s v="Female"/>
    <s v="Karachi"/>
    <x v="1"/>
    <s v="Dr. Imran"/>
    <d v="2024-06-22T00:00:00"/>
    <d v="2024-07-15T00:00:00"/>
    <n v="12000"/>
    <s v="Cash"/>
    <s v="Recovered"/>
  </r>
  <r>
    <s v="Bilal Chaudhry"/>
    <n v="52"/>
    <x v="3"/>
    <s v="Female"/>
    <s v="Quetta"/>
    <x v="0"/>
    <s v="Dr. Ayesha"/>
    <d v="2024-02-15T00:00:00"/>
    <d v="2024-03-12T00:00:00"/>
    <n v="12000"/>
    <s v="Cash"/>
    <s v="Critical"/>
  </r>
  <r>
    <s v="Zara Abbasi"/>
    <n v="59"/>
    <x v="3"/>
    <s v="Female"/>
    <s v="Islamabad"/>
    <x v="0"/>
    <s v="Dr. Ayesha"/>
    <d v="2024-08-15T00:00:00"/>
    <d v="2024-08-18T00:00:00"/>
    <n v="100000"/>
    <s v="Insurance"/>
    <s v="Unknown"/>
  </r>
  <r>
    <s v="Danish Abbasi"/>
    <n v="75"/>
    <x v="1"/>
    <s v="Female"/>
    <s v="Multan"/>
    <x v="1"/>
    <s v="Dr. Khalid"/>
    <d v="2024-08-06T00:00:00"/>
    <d v="2024-06-15T00:00:00"/>
    <n v="100000"/>
    <s v="Cash"/>
    <s v="Under Treatment"/>
  </r>
  <r>
    <s v="Nadia Ansari"/>
    <n v="56"/>
    <x v="3"/>
    <s v="Male"/>
    <s v="Karachi"/>
    <x v="6"/>
    <s v="Dr. Tariq"/>
    <d v="2024-02-05T00:00:00"/>
    <d v="2024-05-26T00:00:00"/>
    <n v="100000"/>
    <s v="Insurance"/>
    <s v="Critical"/>
  </r>
  <r>
    <s v="Mehwish Qureshi"/>
    <n v="37"/>
    <x v="0"/>
    <s v="Male"/>
    <s v="Lahore"/>
    <x v="4"/>
    <s v="Dr. Imran"/>
    <d v="2024-05-20T00:00:00"/>
    <d v="2024-05-23T00:00:00"/>
    <n v="5000"/>
    <s v="Online Transfer"/>
    <s v="Discharged"/>
  </r>
  <r>
    <s v="Usman Butt"/>
    <n v="29"/>
    <x v="0"/>
    <s v="Male"/>
    <s v="Multan"/>
    <x v="2"/>
    <s v="Dr. Farah"/>
    <d v="2024-09-23T00:00:00"/>
    <d v="2024-09-27T00:00:00"/>
    <n v="8000"/>
    <s v="Unknown"/>
    <s v="Critical"/>
  </r>
  <r>
    <s v="Mehwish Abbasi"/>
    <n v="34"/>
    <x v="0"/>
    <s v="Male"/>
    <s v="Karachi"/>
    <x v="4"/>
    <s v="Dr. Imran"/>
    <d v="2024-07-22T00:00:00"/>
    <d v="2024-08-04T00:00:00"/>
    <n v="5000"/>
    <s v="Insurance"/>
    <s v="Critical"/>
  </r>
  <r>
    <s v="Fatima Niazi"/>
    <n v="5"/>
    <x v="2"/>
    <s v="Female"/>
    <s v="Islamabad"/>
    <x v="0"/>
    <s v="Dr. Ayesha"/>
    <d v="2024-07-03T00:00:00"/>
    <d v="2024-04-05T00:00:00"/>
    <n v="12000"/>
    <s v="Card"/>
    <s v="Recovered"/>
  </r>
  <r>
    <s v="Sobia Mirza"/>
    <s v="Unknown"/>
    <x v="4"/>
    <s v="Male"/>
    <s v="Quetta"/>
    <x v="6"/>
    <s v="Dr. Imran"/>
    <d v="2024-02-14T00:00:00"/>
    <d v="2024-03-15T00:00:00"/>
    <n v="25000"/>
    <s v="Insurance"/>
    <s v="Critical"/>
  </r>
  <r>
    <s v="Hassan Akhtar"/>
    <n v="15"/>
    <x v="2"/>
    <s v="Male"/>
    <s v="Lahore"/>
    <x v="2"/>
    <s v="Dr. Sana"/>
    <d v="2024-03-04T00:00:00"/>
    <d v="2024-04-19T00:00:00"/>
    <n v="8000"/>
    <s v="Cash"/>
    <s v="Discharged"/>
  </r>
  <r>
    <s v="Lubna Qureshi"/>
    <n v="70"/>
    <x v="1"/>
    <s v="Female"/>
    <s v="Faisalabad"/>
    <x v="4"/>
    <s v="Dr. Ayesha"/>
    <d v="2024-05-21T00:00:00"/>
    <d v="2024-06-01T00:00:00"/>
    <n v="15000"/>
    <s v="Online Transfer"/>
    <s v="Under Treatment"/>
  </r>
  <r>
    <s v="Lubna Qureshi"/>
    <n v="70"/>
    <x v="1"/>
    <s v="Female"/>
    <s v="Faisalabad"/>
    <x v="4"/>
    <s v="Dr. Ayesha"/>
    <d v="2024-05-21T00:00:00"/>
    <d v="2024-06-01T00:00:00"/>
    <n v="15000"/>
    <s v="Online Transfer"/>
    <s v="Under Treatment"/>
  </r>
  <r>
    <s v="Zara Khan"/>
    <n v="4"/>
    <x v="2"/>
    <s v="Male"/>
    <s v="Faisalabad"/>
    <x v="5"/>
    <s v="Dr. Khalid"/>
    <d v="2024-09-05T00:00:00"/>
    <d v="2024-06-08T00:00:00"/>
    <n v="75000"/>
    <s v="Cash"/>
    <s v="Recovered"/>
  </r>
  <r>
    <s v="Amna Ahmed"/>
    <n v="82"/>
    <x v="1"/>
    <s v="Female"/>
    <s v="Lahore"/>
    <x v="5"/>
    <s v="Dr. Imran"/>
    <d v="2024-02-25T00:00:00"/>
    <d v="2024-03-21T00:00:00"/>
    <n v="100000"/>
    <s v="Insurance"/>
    <s v="Critical"/>
  </r>
  <r>
    <s v="Sara Chaudhry"/>
    <n v="22"/>
    <x v="0"/>
    <s v="Female"/>
    <s v="Multan"/>
    <x v="5"/>
    <s v="Dr. Imran"/>
    <d v="2024-01-10T00:00:00"/>
    <d v="2024-10-21T00:00:00"/>
    <n v="5000"/>
    <s v="Card"/>
    <s v="Discharged"/>
  </r>
  <r>
    <s v="Bilal Nawaz"/>
    <n v="58"/>
    <x v="3"/>
    <s v="Female"/>
    <s v="Multan"/>
    <x v="0"/>
    <s v="Dr. Farah"/>
    <d v="2024-07-17T00:00:00"/>
    <d v="2024-07-29T00:00:00"/>
    <n v="8000"/>
    <s v="Online Transfer"/>
    <s v="Critical"/>
  </r>
  <r>
    <s v="Kamran Raza"/>
    <n v="70"/>
    <x v="1"/>
    <s v="Male"/>
    <s v="Faisalabad"/>
    <x v="3"/>
    <s v="Dr. Farah"/>
    <d v="2024-09-23T00:00:00"/>
    <d v="2024-10-18T00:00:00"/>
    <n v="15000"/>
    <s v="Insurance"/>
    <s v="Under Treatment"/>
  </r>
  <r>
    <s v="Ali Chaudhry"/>
    <n v="47"/>
    <x v="3"/>
    <s v="Male"/>
    <s v="Karachi"/>
    <x v="1"/>
    <s v="Dr. Sana"/>
    <d v="2024-09-30T00:00:00"/>
    <d v="2024-10-04T00:00:00"/>
    <n v="15000"/>
    <s v="Insurance"/>
    <s v="Discharged"/>
  </r>
  <r>
    <s v="Sana Qureshi"/>
    <n v="22"/>
    <x v="0"/>
    <s v="Female"/>
    <s v="Faisalabad"/>
    <x v="4"/>
    <s v="Dr. Sana"/>
    <d v="2024-10-16T00:00:00"/>
    <d v="2024-10-23T00:00:00"/>
    <n v="75000"/>
    <s v="Card"/>
    <s v="Critical"/>
  </r>
  <r>
    <s v="Sana Akhtar"/>
    <n v="23"/>
    <x v="0"/>
    <s v="Male"/>
    <s v="Unknown"/>
    <x v="2"/>
    <s v="Dr. Zubair"/>
    <d v="2024-08-06T00:00:00"/>
    <d v="2024-06-25T00:00:00"/>
    <n v="12000"/>
    <s v="Insurance"/>
    <s v="Discharged"/>
  </r>
  <r>
    <s v="Waqas Javed"/>
    <n v="22"/>
    <x v="0"/>
    <s v="Male"/>
    <s v="Karachi"/>
    <x v="0"/>
    <s v="Dr. Sana"/>
    <d v="2024-02-05T00:00:00"/>
    <d v="2024-05-13T00:00:00"/>
    <n v="35000"/>
    <s v="Card"/>
    <s v="Discharged"/>
  </r>
  <r>
    <s v="Zara Hassan"/>
    <n v="46"/>
    <x v="3"/>
    <s v="Male"/>
    <s v="Faisalabad"/>
    <x v="6"/>
    <s v="Dr. Ayesha"/>
    <d v="2024-04-27T00:00:00"/>
    <d v="2024-05-05T00:00:00"/>
    <n v="35000"/>
    <s v="Cash"/>
    <s v="Critical"/>
  </r>
  <r>
    <s v="Sara Butt"/>
    <n v="24"/>
    <x v="0"/>
    <s v="Female"/>
    <s v="Lahore"/>
    <x v="4"/>
    <s v="Dr. Ayesha"/>
    <d v="2024-06-07T00:00:00"/>
    <d v="2024-07-14T00:00:00"/>
    <n v="8000"/>
    <s v="Card"/>
    <s v="Critical"/>
  </r>
  <r>
    <s v="Ahmed Nawaz"/>
    <n v="85"/>
    <x v="1"/>
    <s v="Male"/>
    <s v="Islamabad"/>
    <x v="6"/>
    <s v="Dr. Farah"/>
    <d v="2024-04-07T00:00:00"/>
    <d v="2024-07-22T00:00:00"/>
    <n v="75000"/>
    <s v="Online Transfer"/>
    <s v="Under Treatment"/>
  </r>
  <r>
    <s v="Bilal Hassan"/>
    <n v="29"/>
    <x v="0"/>
    <s v="Female"/>
    <s v="Quetta"/>
    <x v="6"/>
    <s v="Dr. Farah"/>
    <d v="2024-09-27T00:00:00"/>
    <d v="2024-10-04T00:00:00"/>
    <n v="100000"/>
    <s v="Online Transfer"/>
    <s v="Critical"/>
  </r>
  <r>
    <s v="Tariq Ansari"/>
    <n v="59"/>
    <x v="3"/>
    <s v="Female"/>
    <s v="Faisalabad"/>
    <x v="0"/>
    <s v="Dr. Farah"/>
    <d v="2024-07-22T00:00:00"/>
    <d v="2024-07-23T00:00:00"/>
    <n v="15000"/>
    <s v="Online Transfer"/>
    <s v="Recovered"/>
  </r>
  <r>
    <s v="Farhan Akhtar"/>
    <s v="Unknown"/>
    <x v="4"/>
    <s v="Female"/>
    <s v="Lahore"/>
    <x v="5"/>
    <s v="Dr. Sana"/>
    <d v="2024-05-05T00:00:00"/>
    <d v="2024-05-17T00:00:00"/>
    <n v="35000"/>
    <s v="Cash"/>
    <s v="Critical"/>
  </r>
  <r>
    <s v="Lubna Akhtar"/>
    <n v="71"/>
    <x v="1"/>
    <s v="Male"/>
    <s v="Islamabad"/>
    <x v="6"/>
    <s v="Dr. Zubair"/>
    <d v="2024-06-08T00:00:00"/>
    <d v="2024-08-13T00:00:00"/>
    <n v="35000"/>
    <s v="Card"/>
    <s v="Critical"/>
  </r>
  <r>
    <s v="Hina Malik"/>
    <n v="42"/>
    <x v="3"/>
    <s v="Female"/>
    <s v="Islamabad"/>
    <x v="3"/>
    <s v="Dr. Ayesha"/>
    <d v="2024-03-23T00:00:00"/>
    <d v="2024-04-21T00:00:00"/>
    <n v="50000"/>
    <s v="Card"/>
    <s v="Discharged"/>
  </r>
  <r>
    <s v="Zara Mirza"/>
    <n v="3"/>
    <x v="2"/>
    <s v="Male"/>
    <s v="Faisalabad"/>
    <x v="1"/>
    <s v="Dr. Zubair"/>
    <d v="2024-03-05T00:00:00"/>
    <d v="2024-05-24T00:00:00"/>
    <n v="25000"/>
    <s v="Card"/>
    <s v="Under Treatment"/>
  </r>
  <r>
    <s v="AMalena Ansari"/>
    <n v="68"/>
    <x v="1"/>
    <s v="Male"/>
    <s v="Multan"/>
    <x v="4"/>
    <s v="Dr. Tariq"/>
    <d v="2024-08-23T00:00:00"/>
    <d v="2024-09-17T00:00:00"/>
    <n v="8000"/>
    <s v="Cash"/>
    <s v="Critical"/>
  </r>
  <r>
    <s v="Sana Siddiqui"/>
    <n v="66"/>
    <x v="1"/>
    <s v="Male"/>
    <s v="Peshawar"/>
    <x v="3"/>
    <s v="Dr. Khalid"/>
    <d v="2024-10-07T00:00:00"/>
    <d v="2024-07-19T00:00:00"/>
    <n v="12000"/>
    <s v="Card"/>
    <s v="Discharged"/>
  </r>
  <r>
    <s v="Kamran Iqbal"/>
    <n v="43"/>
    <x v="3"/>
    <s v="Male"/>
    <s v="Quetta"/>
    <x v="6"/>
    <s v="Dr. Farah"/>
    <d v="2024-10-13T00:00:00"/>
    <d v="2024-10-14T00:00:00"/>
    <n v="12000"/>
    <s v="Card"/>
    <s v="Critical"/>
  </r>
  <r>
    <s v="Femaleariha Raza"/>
    <n v="11"/>
    <x v="2"/>
    <s v="Female"/>
    <s v="Multan"/>
    <x v="4"/>
    <s v="Dr. Ayesha"/>
    <d v="2024-03-14T00:00:00"/>
    <d v="2024-04-03T00:00:00"/>
    <n v="100000"/>
    <s v="Insurance"/>
    <s v="Discharged"/>
  </r>
  <r>
    <s v="Bilal Qureshi"/>
    <n v="66"/>
    <x v="1"/>
    <s v="Female"/>
    <s v="Karachi"/>
    <x v="0"/>
    <s v="Dr. Tariq"/>
    <d v="2024-10-05T00:00:00"/>
    <d v="2024-05-11T00:00:00"/>
    <n v="25000"/>
    <s v="Card"/>
    <s v="Critical"/>
  </r>
  <r>
    <s v="Mehwish Hassan"/>
    <s v="Unknown"/>
    <x v="4"/>
    <s v="Female"/>
    <s v="Lahore"/>
    <x v="5"/>
    <s v="Dr. Ayesha"/>
    <d v="2024-06-23T00:00:00"/>
    <d v="2024-06-25T00:00:00"/>
    <n v="25000"/>
    <s v="Cash"/>
    <s v="Recovered"/>
  </r>
  <r>
    <s v="Amna Hassan"/>
    <n v="86"/>
    <x v="1"/>
    <s v="Female"/>
    <s v="Lahore"/>
    <x v="1"/>
    <s v="Dr. Imran"/>
    <d v="2024-03-07T00:00:00"/>
    <d v="2024-07-18T00:00:00"/>
    <n v="50000"/>
    <s v="Online Transfer"/>
    <s v="Critical"/>
  </r>
  <r>
    <s v="Kamran Chaudhry"/>
    <s v="Unknown"/>
    <x v="4"/>
    <s v="Female"/>
    <s v="Islamabad"/>
    <x v="5"/>
    <s v="Dr. Farah"/>
    <d v="2024-10-13T00:00:00"/>
    <d v="2024-10-27T00:00:00"/>
    <n v="8000"/>
    <s v="Online Transfer"/>
    <s v="Critical"/>
  </r>
  <r>
    <s v="Sana Khan"/>
    <n v="6"/>
    <x v="2"/>
    <s v="Male"/>
    <s v="Quetta"/>
    <x v="4"/>
    <s v="Dr. Farah"/>
    <d v="2024-01-29T00:00:00"/>
    <d v="2024-02-04T00:00:00"/>
    <n v="20000"/>
    <s v="Card"/>
    <s v="Recovered"/>
  </r>
  <r>
    <s v="Hamid Qureshi"/>
    <n v="12"/>
    <x v="2"/>
    <s v="Male"/>
    <s v="Peshawar"/>
    <x v="4"/>
    <s v="Dr. Tariq"/>
    <d v="2024-06-28T00:00:00"/>
    <d v="2024-07-08T00:00:00"/>
    <n v="35000"/>
    <s v="Card"/>
    <s v="Critical"/>
  </r>
  <r>
    <s v="Tariq Akhtar"/>
    <n v="9"/>
    <x v="2"/>
    <s v="Female"/>
    <s v="Islamabad"/>
    <x v="2"/>
    <s v="Dr. Ayesha"/>
    <d v="2024-11-07T00:00:00"/>
    <d v="2024-08-08T00:00:00"/>
    <n v="75000"/>
    <s v="Cash"/>
    <s v="Under Treatment"/>
  </r>
  <r>
    <s v="Uzma Butt"/>
    <n v="34"/>
    <x v="0"/>
    <s v="Female"/>
    <s v="Multan"/>
    <x v="6"/>
    <s v="Dr. Imran"/>
    <d v="2024-08-02T00:00:00"/>
    <d v="2024-03-05T00:00:00"/>
    <n v="20000"/>
    <s v="Cash"/>
    <s v="Recovered"/>
  </r>
  <r>
    <s v="Uzma Sheikh"/>
    <n v="88"/>
    <x v="1"/>
    <s v="Female"/>
    <s v="Peshawar"/>
    <x v="4"/>
    <s v="Dr. Farah"/>
    <d v="2024-10-05T00:00:00"/>
    <d v="2024-06-06T00:00:00"/>
    <n v="20000"/>
    <s v="Insurance"/>
    <s v="Critical"/>
  </r>
  <r>
    <s v="Hassan Iqbal"/>
    <n v="2"/>
    <x v="2"/>
    <s v="Female"/>
    <s v="Multan"/>
    <x v="4"/>
    <s v="Dr. Ayesha"/>
    <d v="2024-09-08T00:00:00"/>
    <d v="2024-08-28T00:00:00"/>
    <n v="35000"/>
    <s v="Online Transfer"/>
    <s v="Under Treatment"/>
  </r>
  <r>
    <s v="Hassan Malik"/>
    <n v="41"/>
    <x v="3"/>
    <s v="Male"/>
    <s v="Islamabad"/>
    <x v="1"/>
    <s v="Dr. Zubair"/>
    <d v="2024-03-03T00:00:00"/>
    <d v="2024-03-20T00:00:00"/>
    <n v="25000"/>
    <s v="Insurance"/>
    <s v="Critical"/>
  </r>
  <r>
    <s v="Usman Iqbal"/>
    <n v="5"/>
    <x v="2"/>
    <s v="Female"/>
    <s v="Islamabad"/>
    <x v="6"/>
    <s v="Dr. Zubair"/>
    <d v="2024-05-19T00:00:00"/>
    <d v="2024-06-14T00:00:00"/>
    <n v="20000"/>
    <s v="Online Transfer"/>
    <s v="Recovered"/>
  </r>
  <r>
    <s v="Zara Javed"/>
    <n v="46"/>
    <x v="3"/>
    <s v="Male"/>
    <s v="Islamabad"/>
    <x v="4"/>
    <s v="Dr. Farah"/>
    <d v="2024-06-16T00:00:00"/>
    <d v="2024-07-01T00:00:00"/>
    <n v="100000"/>
    <s v="Cash"/>
    <s v="Under Treatment"/>
  </r>
  <r>
    <s v="Nadia Ali"/>
    <n v="39"/>
    <x v="0"/>
    <s v="Female"/>
    <s v="Faisalabad"/>
    <x v="5"/>
    <s v="Dr. Tariq"/>
    <d v="2024-02-01T00:00:00"/>
    <d v="2024-01-19T00:00:00"/>
    <n v="100000"/>
    <s v="Online Transfer"/>
    <s v="Recovered"/>
  </r>
  <r>
    <s v="Mehwish Mirza"/>
    <s v="Unknown"/>
    <x v="4"/>
    <s v="Male"/>
    <s v="Karachi"/>
    <x v="0"/>
    <s v="Dr. Farah"/>
    <d v="2024-03-14T00:00:00"/>
    <d v="2024-04-04T00:00:00"/>
    <n v="0"/>
    <s v="Insurance"/>
    <s v="Discharged"/>
  </r>
  <r>
    <s v="Imran Raza"/>
    <n v="78"/>
    <x v="1"/>
    <s v="Male"/>
    <s v="Multan"/>
    <x v="3"/>
    <s v="Dr. Sana"/>
    <d v="2024-08-29T00:00:00"/>
    <d v="2024-09-03T00:00:00"/>
    <n v="12000"/>
    <s v="Online Transfer"/>
    <s v="Discharged"/>
  </r>
  <r>
    <s v="Usman Sheikh"/>
    <n v="35"/>
    <x v="0"/>
    <s v="Male"/>
    <s v="Lahore"/>
    <x v="3"/>
    <s v="Dr. Zubair"/>
    <d v="2024-06-07T00:00:00"/>
    <d v="2024-07-22T00:00:00"/>
    <n v="35000"/>
    <s v="Cash"/>
    <s v="Recovered"/>
  </r>
  <r>
    <s v="Saima Ahmed"/>
    <n v="25"/>
    <x v="0"/>
    <s v="Male"/>
    <s v="Islamabad"/>
    <x v="2"/>
    <s v="Dr. Sana"/>
    <d v="2024-04-28T00:00:00"/>
    <d v="2024-05-27T00:00:00"/>
    <n v="8000"/>
    <s v="Card"/>
    <s v="Under Treatment"/>
  </r>
  <r>
    <s v="Sana Raza"/>
    <n v="4"/>
    <x v="2"/>
    <s v="Female"/>
    <s v="Peshawar"/>
    <x v="3"/>
    <s v="Dr. Khalid"/>
    <d v="2024-01-29T00:00:00"/>
    <d v="2024-02-09T00:00:00"/>
    <n v="8000"/>
    <s v="Insurance"/>
    <s v="Under Treatment"/>
  </r>
  <r>
    <s v="Sobia AhMaleed"/>
    <n v="53"/>
    <x v="3"/>
    <s v="Male"/>
    <s v="Multan"/>
    <x v="6"/>
    <s v="Dr. Ayesha"/>
    <d v="2024-01-29T00:00:00"/>
    <d v="2024-02-03T00:00:00"/>
    <n v="100000"/>
    <s v="Card"/>
    <s v="Discharged"/>
  </r>
  <r>
    <s v="Zubair Mirza"/>
    <n v="58"/>
    <x v="3"/>
    <s v="Female"/>
    <s v="Islamabad"/>
    <x v="5"/>
    <s v="Dr. Sana"/>
    <d v="2024-08-27T00:00:00"/>
    <d v="2024-09-21T00:00:00"/>
    <n v="20000"/>
    <s v="Insurance"/>
    <s v="Discharged"/>
  </r>
  <r>
    <s v="Zubair Iqbal"/>
    <n v="38"/>
    <x v="0"/>
    <s v="Female"/>
    <s v="Multan"/>
    <x v="0"/>
    <s v="Dr. Tariq"/>
    <d v="2024-08-09T00:00:00"/>
    <d v="2024-09-12T00:00:00"/>
    <n v="0"/>
    <s v="Card"/>
    <s v="Critical"/>
  </r>
  <r>
    <s v="Amna Qureshi"/>
    <n v="42"/>
    <x v="3"/>
    <s v="Male"/>
    <s v="Karachi"/>
    <x v="0"/>
    <s v="Dr. Ayesha"/>
    <d v="2024-03-17T00:00:00"/>
    <d v="2024-03-21T00:00:00"/>
    <n v="20000"/>
    <s v="Insurance"/>
    <s v="Under Treatment"/>
  </r>
  <r>
    <s v="Nida Bhatti"/>
    <n v="62"/>
    <x v="1"/>
    <s v="Female"/>
    <s v="Multan"/>
    <x v="0"/>
    <s v="Dr. Farah"/>
    <d v="2024-03-22T00:00:00"/>
    <d v="2024-04-04T00:00:00"/>
    <n v="5000"/>
    <s v="Online Transfer"/>
    <s v="Critical"/>
  </r>
  <r>
    <s v="Ali Niazi"/>
    <n v="49"/>
    <x v="3"/>
    <s v="Female"/>
    <s v="Karachi"/>
    <x v="3"/>
    <s v="Dr. Tariq"/>
    <d v="2024-02-15T00:00:00"/>
    <d v="2024-02-29T00:00:00"/>
    <n v="5000"/>
    <s v="Cash"/>
    <s v="Critical"/>
  </r>
  <r>
    <s v="Usman Khan"/>
    <n v="55"/>
    <x v="3"/>
    <s v="Female"/>
    <s v="Lahore"/>
    <x v="3"/>
    <s v="Dr. Sana"/>
    <d v="2024-04-28T00:00:00"/>
    <d v="2024-05-12T00:00:00"/>
    <n v="15000"/>
    <s v="Online Transfer"/>
    <s v="Under Treatment"/>
  </r>
  <r>
    <s v="Omer Iqbal"/>
    <n v="72"/>
    <x v="1"/>
    <s v="Male"/>
    <s v="Karachi"/>
    <x v="6"/>
    <s v="Dr. Khalid"/>
    <d v="2024-09-01T00:00:00"/>
    <d v="2024-01-25T00:00:00"/>
    <n v="75000"/>
    <s v="Card"/>
    <s v="Recovered"/>
  </r>
  <r>
    <s v="Bilal Ansari"/>
    <n v="80"/>
    <x v="1"/>
    <s v="Female"/>
    <s v="Multan"/>
    <x v="1"/>
    <s v="Dr. Farah"/>
    <d v="2024-08-25T00:00:00"/>
    <d v="2024-09-05T00:00:00"/>
    <n v="15000"/>
    <s v="Insurance"/>
    <s v="Recovered"/>
  </r>
  <r>
    <s v="Omer Ali"/>
    <n v="44"/>
    <x v="3"/>
    <s v="Male"/>
    <s v="Multan"/>
    <x v="4"/>
    <s v="Dr. Zubair"/>
    <d v="2024-05-13T00:00:00"/>
    <d v="2024-05-19T00:00:00"/>
    <n v="50000"/>
    <s v="Insurance"/>
    <s v="Recovered"/>
  </r>
  <r>
    <s v="Ahmed Mirza"/>
    <n v="43"/>
    <x v="3"/>
    <s v="Female"/>
    <s v="Peshawar"/>
    <x v="2"/>
    <s v="Dr. Khalid"/>
    <d v="2024-03-22T00:00:00"/>
    <d v="2024-04-12T00:00:00"/>
    <n v="35000"/>
    <s v="Insurance"/>
    <s v="Critical"/>
  </r>
  <r>
    <s v="Kamran Niazi"/>
    <n v="57"/>
    <x v="3"/>
    <s v="Female"/>
    <s v="Quetta"/>
    <x v="1"/>
    <s v="Dr. Ayesha"/>
    <d v="2024-07-25T00:00:00"/>
    <d v="2024-08-20T00:00:00"/>
    <n v="12000"/>
    <s v="Card"/>
    <s v="Discharged"/>
  </r>
  <r>
    <s v="Fatima Iqbal"/>
    <n v="65"/>
    <x v="1"/>
    <s v="Male"/>
    <s v="Lahore"/>
    <x v="1"/>
    <s v="Dr. Imran"/>
    <d v="2024-08-14T00:00:00"/>
    <d v="2024-08-22T00:00:00"/>
    <n v="35000"/>
    <s v="Insurance"/>
    <s v="Discharged"/>
  </r>
  <r>
    <s v="Danish Ahmed"/>
    <n v="70"/>
    <x v="1"/>
    <s v="Female"/>
    <s v="Multan"/>
    <x v="2"/>
    <s v="Dr. Sana"/>
    <d v="2024-04-29T00:00:00"/>
    <d v="2024-05-03T00:00:00"/>
    <n v="25000"/>
    <s v="Online Transfer"/>
    <s v="Under Treatment"/>
  </r>
  <r>
    <s v="Asad Bhatti"/>
    <n v="34"/>
    <x v="0"/>
    <s v="Male"/>
    <s v="Faisalabad"/>
    <x v="2"/>
    <s v="Dr. Farah"/>
    <d v="2024-12-05T00:00:00"/>
    <d v="2024-05-17T00:00:00"/>
    <n v="12000"/>
    <s v="Online Transfer"/>
    <s v="Under Treatment"/>
  </r>
  <r>
    <s v="Hina Butt"/>
    <n v="29"/>
    <x v="0"/>
    <s v="Female"/>
    <s v="Lahore"/>
    <x v="2"/>
    <s v="Dr. Imran"/>
    <d v="2024-06-01T00:00:00"/>
    <d v="2024-01-16T00:00:00"/>
    <n v="8000"/>
    <s v="Cash"/>
    <s v="Discharged"/>
  </r>
  <r>
    <s v="UzMalea Iqbal"/>
    <n v="37"/>
    <x v="0"/>
    <s v="Male"/>
    <s v="Peshawar"/>
    <x v="2"/>
    <s v="Dr. Ayesha"/>
    <d v="2024-01-13T00:00:00"/>
    <d v="2024-01-23T00:00:00"/>
    <n v="75000"/>
    <s v="Cash"/>
    <s v="Critical"/>
  </r>
  <r>
    <s v="Uzma Iqbal"/>
    <n v="37"/>
    <x v="0"/>
    <s v="Male"/>
    <s v="Peshawar"/>
    <x v="2"/>
    <s v="Dr. Ayesha"/>
    <d v="2024-01-13T00:00:00"/>
    <d v="2024-01-23T00:00:00"/>
    <n v="75000"/>
    <s v="Cash"/>
    <s v="Critical"/>
  </r>
  <r>
    <s v="Nadia Siddiqui"/>
    <n v="69"/>
    <x v="1"/>
    <s v="Male"/>
    <s v="Quetta"/>
    <x v="2"/>
    <s v="Dr. Zubair"/>
    <d v="2024-01-02T00:00:00"/>
    <d v="2024-02-08T00:00:00"/>
    <n v="5000"/>
    <s v="Online Transfer"/>
    <s v="Under Treatment"/>
  </r>
  <r>
    <s v="Tariq Bhatti"/>
    <n v="89"/>
    <x v="1"/>
    <s v="Female"/>
    <s v="Karachi"/>
    <x v="3"/>
    <s v="Dr. Ayesha"/>
    <d v="2024-08-03T00:00:00"/>
    <d v="2024-03-30T00:00:00"/>
    <n v="8000"/>
    <s v="Cash"/>
    <s v="Critical"/>
  </r>
  <r>
    <s v="Tariq Bhatti"/>
    <n v="89"/>
    <x v="1"/>
    <s v="Female"/>
    <s v="Karachi"/>
    <x v="3"/>
    <s v="Dr. Ayesha"/>
    <d v="2024-03-08T00:00:00"/>
    <d v="2024-03-30T00:00:00"/>
    <n v="8000"/>
    <s v="Cash"/>
    <s v="Critical"/>
  </r>
  <r>
    <s v="Kamran Niazi"/>
    <n v="69"/>
    <x v="1"/>
    <s v="Unknown"/>
    <s v="Multan"/>
    <x v="2"/>
    <s v="Dr. Tariq"/>
    <d v="2024-01-31T00:00:00"/>
    <d v="2024-02-16T00:00:00"/>
    <n v="25000"/>
    <s v="Cash"/>
    <s v="Recovered"/>
  </r>
  <r>
    <s v="Omer Niazi"/>
    <n v="69"/>
    <x v="1"/>
    <s v="Male"/>
    <s v="Islamabad"/>
    <x v="3"/>
    <s v="Dr. Farah"/>
    <d v="2024-10-01T00:00:00"/>
    <d v="2024-10-25T00:00:00"/>
    <n v="100000"/>
    <s v="Online Transfer"/>
    <s v="Under Treatment"/>
  </r>
  <r>
    <s v="Mehwish Javed"/>
    <n v="6"/>
    <x v="2"/>
    <s v="Male"/>
    <s v="Lahore"/>
    <x v="6"/>
    <s v="Dr. Zubair"/>
    <d v="2024-04-16T00:00:00"/>
    <d v="2024-04-26T00:00:00"/>
    <n v="100000"/>
    <s v="Card"/>
    <s v="Critical"/>
  </r>
  <r>
    <s v="Sara Akhtar"/>
    <n v="27"/>
    <x v="0"/>
    <s v="Male"/>
    <s v="Karachi"/>
    <x v="1"/>
    <s v="Dr. Imran"/>
    <d v="2024-07-10T00:00:00"/>
    <d v="2024-10-29T00:00:00"/>
    <n v="100000"/>
    <s v="Online Transfer"/>
    <s v="Critical"/>
  </r>
  <r>
    <s v="Mehwish Qureshi"/>
    <n v="48"/>
    <x v="3"/>
    <s v="Female"/>
    <s v="Faisalabad"/>
    <x v="1"/>
    <s v="Dr. Sana"/>
    <d v="2024-11-03T00:00:00"/>
    <d v="2024-04-10T00:00:00"/>
    <n v="100000"/>
    <s v="Online Transfer"/>
    <s v="Under Treatment"/>
  </r>
  <r>
    <s v="Sobia Malik"/>
    <n v="47"/>
    <x v="3"/>
    <s v="Male"/>
    <s v="Karachi"/>
    <x v="4"/>
    <s v="Dr. Khalid"/>
    <d v="2024-03-13T00:00:00"/>
    <d v="2024-03-18T00:00:00"/>
    <n v="35000"/>
    <s v="Card"/>
    <s v="Discharged"/>
  </r>
  <r>
    <s v="Sara Khan"/>
    <n v="79"/>
    <x v="1"/>
    <s v="Female"/>
    <s v="Faisalabad"/>
    <x v="0"/>
    <s v="Dr. Ayesha"/>
    <d v="2024-09-03T00:00:00"/>
    <d v="2024-04-05T00:00:00"/>
    <n v="8000"/>
    <s v="Online Transfer"/>
    <s v="Recovered"/>
  </r>
  <r>
    <s v="Tariq Chaudhry"/>
    <n v="65"/>
    <x v="1"/>
    <s v="Female"/>
    <s v="Islamabad"/>
    <x v="6"/>
    <s v="Dr. Ayesha"/>
    <d v="2024-04-05T00:00:00"/>
    <d v="2024-05-18T00:00:00"/>
    <n v="15000"/>
    <s v="Card"/>
    <s v="Under Treatment"/>
  </r>
  <r>
    <s v="Nadia Ali"/>
    <n v="47"/>
    <x v="3"/>
    <s v="Female"/>
    <s v="Lahore"/>
    <x v="6"/>
    <s v="Dr. Khalid"/>
    <d v="2024-09-07T00:00:00"/>
    <d v="2024-07-22T00:00:00"/>
    <n v="5000"/>
    <s v="Card"/>
    <s v="Critical"/>
  </r>
  <r>
    <s v="Farhan Qureshi"/>
    <n v="23"/>
    <x v="0"/>
    <s v="Female"/>
    <s v="Karachi"/>
    <x v="6"/>
    <s v="Dr. Sana"/>
    <d v="2024-10-09T00:00:00"/>
    <d v="2024-10-04T00:00:00"/>
    <n v="20000"/>
    <s v="Card"/>
    <s v="Recovered"/>
  </r>
  <r>
    <s v="Hamid Butt"/>
    <n v="85"/>
    <x v="1"/>
    <s v="Male"/>
    <s v="Quetta"/>
    <x v="3"/>
    <s v="Dr. Ayesha"/>
    <d v="2024-12-03T00:00:00"/>
    <d v="2024-04-06T00:00:00"/>
    <n v="12000"/>
    <s v="Cash"/>
    <s v="Critical"/>
  </r>
  <r>
    <s v="Hina Abbasi"/>
    <n v="13"/>
    <x v="2"/>
    <s v="Male"/>
    <s v="Lahore"/>
    <x v="3"/>
    <s v="Dr. Zubair"/>
    <d v="2024-09-17T00:00:00"/>
    <d v="2024-09-27T00:00:00"/>
    <n v="100000"/>
    <s v="Insurance"/>
    <s v="Under Treatment"/>
  </r>
  <r>
    <s v="Amna Khan"/>
    <n v="47"/>
    <x v="3"/>
    <s v="Female"/>
    <s v="Islamabad"/>
    <x v="2"/>
    <s v="Dr. Ayesha"/>
    <d v="2024-07-26T00:00:00"/>
    <d v="2024-08-24T00:00:00"/>
    <n v="100000"/>
    <s v="Cash"/>
    <s v="Under Treatment"/>
  </r>
  <r>
    <s v="Kamran Chaudhry"/>
    <n v="71"/>
    <x v="1"/>
    <s v="Female"/>
    <s v="Lahore"/>
    <x v="1"/>
    <s v="Dr. Khalid"/>
    <d v="2024-03-20T00:00:00"/>
    <d v="2024-04-19T00:00:00"/>
    <n v="75000"/>
    <s v="Online Transfer"/>
    <s v="Under Treatment"/>
  </r>
  <r>
    <s v="Sobia Iqbal"/>
    <n v="43"/>
    <x v="3"/>
    <s v="Female"/>
    <s v="Peshawar"/>
    <x v="3"/>
    <s v="Dr. Zubair"/>
    <d v="2024-06-24T00:00:00"/>
    <d v="2024-07-15T00:00:00"/>
    <n v="35000"/>
    <s v="Cash"/>
    <s v="Critical"/>
  </r>
  <r>
    <s v="Farhan Mirza"/>
    <n v="42"/>
    <x v="3"/>
    <s v="Female"/>
    <s v="Multan"/>
    <x v="0"/>
    <s v="Dr. Farah"/>
    <d v="2024-09-20T00:00:00"/>
    <d v="2024-10-18T00:00:00"/>
    <n v="100000"/>
    <s v="Online Transfer"/>
    <s v="Under Treatment"/>
  </r>
  <r>
    <s v="Hamid Qureshi"/>
    <n v="32"/>
    <x v="0"/>
    <s v="Female"/>
    <s v="Faisalabad"/>
    <x v="6"/>
    <s v="Dr. Khalid"/>
    <d v="2024-05-21T00:00:00"/>
    <d v="2024-06-03T00:00:00"/>
    <n v="75000"/>
    <s v="Insurance"/>
    <s v="Critical"/>
  </r>
  <r>
    <s v="Kamran Qureshi"/>
    <n v="45"/>
    <x v="3"/>
    <s v="Male"/>
    <s v="Karachi"/>
    <x v="4"/>
    <s v="Dr. Ayesha"/>
    <d v="2024-03-19T00:00:00"/>
    <d v="2024-03-29T00:00:00"/>
    <n v="50000"/>
    <s v="Online Transfer"/>
    <s v="Under Treatment"/>
  </r>
  <r>
    <s v="Zara Ansari"/>
    <n v="90"/>
    <x v="1"/>
    <s v="Male"/>
    <s v="Quetta"/>
    <x v="3"/>
    <s v="Dr. Zubair"/>
    <d v="2024-10-03T00:00:00"/>
    <d v="2024-04-03T00:00:00"/>
    <n v="35000"/>
    <s v="Online Transfer"/>
    <s v="Discharged"/>
  </r>
  <r>
    <s v="Fatima Nawaz"/>
    <s v="Unknown"/>
    <x v="4"/>
    <s v="Male"/>
    <s v="Karachi"/>
    <x v="5"/>
    <s v="Dr. Sana"/>
    <d v="2024-02-17T00:00:00"/>
    <d v="2024-03-10T00:00:00"/>
    <n v="35000"/>
    <s v="Insurance"/>
    <s v="Under Treatment"/>
  </r>
  <r>
    <s v="Bilal Javed"/>
    <n v="62"/>
    <x v="1"/>
    <s v="Female"/>
    <s v="Karachi"/>
    <x v="6"/>
    <s v="Dr. Zubair"/>
    <d v="2024-06-01T00:00:00"/>
    <d v="2024-01-17T00:00:00"/>
    <n v="8000"/>
    <s v="Cash"/>
    <s v="Discharged"/>
  </r>
  <r>
    <s v="Kamran Ansari"/>
    <n v="63"/>
    <x v="1"/>
    <s v="Male"/>
    <s v="Peshawar"/>
    <x v="3"/>
    <s v="Dr. Imran"/>
    <d v="2024-09-26T00:00:00"/>
    <d v="2024-09-29T00:00:00"/>
    <n v="25000"/>
    <s v="Online Transfer"/>
    <s v="Under Treatment"/>
  </r>
  <r>
    <s v="Farhan Malik"/>
    <n v="38"/>
    <x v="0"/>
    <s v="Male"/>
    <s v="Lahore"/>
    <x v="4"/>
    <s v="Dr. Khalid"/>
    <d v="2024-05-27T00:00:00"/>
    <d v="2024-06-14T00:00:00"/>
    <n v="35000"/>
    <s v="Card"/>
    <s v="Recovered"/>
  </r>
  <r>
    <s v="Ali Niazi"/>
    <n v="6"/>
    <x v="2"/>
    <s v="Female"/>
    <s v="Multan"/>
    <x v="0"/>
    <s v="Dr. Ayesha"/>
    <d v="2024-11-01T00:00:00"/>
    <d v="2024-01-12T00:00:00"/>
    <n v="12000"/>
    <s v="Online Transfer"/>
    <s v="Under Treatment"/>
  </r>
  <r>
    <s v="Hassan Nawaz"/>
    <n v="56"/>
    <x v="3"/>
    <s v="Female"/>
    <s v="Peshawar"/>
    <x v="3"/>
    <s v="Dr. Tariq"/>
    <d v="2024-02-25T00:00:00"/>
    <d v="2024-03-12T00:00:00"/>
    <n v="100000"/>
    <s v="Online Transfer"/>
    <s v="Discharged"/>
  </r>
  <r>
    <s v="Uzma Abbasi"/>
    <n v="66"/>
    <x v="1"/>
    <s v="Female"/>
    <s v="Peshawar"/>
    <x v="1"/>
    <s v="Dr. Ayesha"/>
    <d v="2024-01-22T00:00:00"/>
    <d v="2024-02-04T00:00:00"/>
    <n v="75000"/>
    <s v="Cash"/>
    <s v="Critical"/>
  </r>
  <r>
    <s v="Hassan Javed"/>
    <n v="29"/>
    <x v="0"/>
    <s v="Female"/>
    <s v="Karachi"/>
    <x v="6"/>
    <s v="Dr. Imran"/>
    <d v="2024-02-24T00:00:00"/>
    <d v="2024-02-29T00:00:00"/>
    <n v="35000"/>
    <s v="Cash"/>
    <s v="Under Treatment"/>
  </r>
  <r>
    <s v="Sara Chaudhry"/>
    <n v="14"/>
    <x v="2"/>
    <s v="Female"/>
    <s v="Quetta"/>
    <x v="6"/>
    <s v="Dr. Tariq"/>
    <d v="2024-03-19T00:00:00"/>
    <d v="2024-04-13T00:00:00"/>
    <n v="12000"/>
    <s v="Online Transfer"/>
    <s v="Critical"/>
  </r>
  <r>
    <s v="Sana Bhatti"/>
    <n v="75"/>
    <x v="1"/>
    <s v="Female"/>
    <s v="Peshawar"/>
    <x v="3"/>
    <s v="Dr. Farah"/>
    <d v="2024-08-22T00:00:00"/>
    <d v="2024-09-13T00:00:00"/>
    <n v="8000"/>
    <s v="Card"/>
    <s v="Recovered"/>
  </r>
  <r>
    <s v="Fariha Nawaz"/>
    <n v="54"/>
    <x v="3"/>
    <s v="Male"/>
    <s v="Peshawar"/>
    <x v="3"/>
    <s v="Dr. Khalid"/>
    <d v="2024-12-02T00:00:00"/>
    <d v="2024-02-21T00:00:00"/>
    <n v="20000"/>
    <s v="Online Transfer"/>
    <s v="Critical"/>
  </r>
  <r>
    <s v="Bilal Javed"/>
    <n v="58"/>
    <x v="3"/>
    <s v="Female"/>
    <s v="Peshawar"/>
    <x v="0"/>
    <s v="Dr. Imran"/>
    <d v="2024-01-23T00:00:00"/>
    <d v="2024-02-08T00:00:00"/>
    <n v="25000"/>
    <s v="Cash"/>
    <s v="Recovered"/>
  </r>
  <r>
    <s v="Bilal Iqbal"/>
    <n v="17"/>
    <x v="2"/>
    <s v="Male"/>
    <s v="Faisalabad"/>
    <x v="2"/>
    <s v="Dr. Khalid"/>
    <d v="2024-04-28T00:00:00"/>
    <d v="2024-05-21T00:00:00"/>
    <n v="25000"/>
    <s v="Insurance"/>
    <s v="Discharged"/>
  </r>
  <r>
    <s v="Farhan Niazi"/>
    <n v="59"/>
    <x v="3"/>
    <s v="Female"/>
    <s v="Quetta"/>
    <x v="4"/>
    <s v="Dr. Ayesha"/>
    <d v="2024-09-10T00:00:00"/>
    <d v="2024-10-15T00:00:00"/>
    <n v="50000"/>
    <s v="Insurance"/>
    <s v="Critical"/>
  </r>
  <r>
    <s v="Mehwish Chaudhry"/>
    <n v="35"/>
    <x v="0"/>
    <s v="Male"/>
    <s v="Quetta"/>
    <x v="2"/>
    <s v="Dr. Imran"/>
    <d v="2024-05-22T00:00:00"/>
    <d v="2024-06-11T00:00:00"/>
    <n v="8000"/>
    <s v="Online Transfer"/>
    <s v="Under Treatment"/>
  </r>
  <r>
    <s v="Zara Ansari"/>
    <n v="6"/>
    <x v="2"/>
    <s v="Female"/>
    <s v="Lahore"/>
    <x v="0"/>
    <s v="Dr. Imran"/>
    <d v="2024-08-08T00:00:00"/>
    <d v="2024-08-30T00:00:00"/>
    <n v="0"/>
    <s v="Insurance"/>
    <s v="Discharged"/>
  </r>
  <r>
    <s v="Zubair Ali"/>
    <n v="77"/>
    <x v="1"/>
    <s v="Female"/>
    <s v="Faisalabad"/>
    <x v="2"/>
    <s v="Dr. Imran"/>
    <d v="2024-05-21T00:00:00"/>
    <d v="2024-06-20T00:00:00"/>
    <n v="0"/>
    <s v="Card"/>
    <s v="Under Treatment"/>
  </r>
  <r>
    <s v="Mehwish Ali"/>
    <n v="80"/>
    <x v="1"/>
    <s v="Female"/>
    <s v="Peshawar"/>
    <x v="5"/>
    <s v="Dr. Tariq"/>
    <d v="2024-11-05T00:00:00"/>
    <d v="2024-05-14T00:00:00"/>
    <n v="20000"/>
    <s v="Cash"/>
    <s v="Under Treatment"/>
  </r>
  <r>
    <s v="Hamid Javed"/>
    <n v="33"/>
    <x v="0"/>
    <s v="Female"/>
    <s v="Quetta"/>
    <x v="4"/>
    <s v="Dr. Farah"/>
    <d v="2024-09-18T00:00:00"/>
    <d v="2024-09-30T00:00:00"/>
    <n v="20000"/>
    <s v="Card"/>
    <s v="Critical"/>
  </r>
  <r>
    <s v="Nadia Ali"/>
    <n v="2"/>
    <x v="2"/>
    <s v="Female"/>
    <s v="Lahore"/>
    <x v="4"/>
    <s v="Dr. Farah"/>
    <d v="2024-09-22T00:00:00"/>
    <d v="2024-10-19T00:00:00"/>
    <n v="50000"/>
    <s v="Insurance"/>
    <s v="Discharged"/>
  </r>
  <r>
    <s v="Fatima Akhtar"/>
    <n v="25"/>
    <x v="0"/>
    <s v="Male"/>
    <s v="Multan"/>
    <x v="0"/>
    <s v="Dr. Tariq"/>
    <d v="2024-02-04T00:00:00"/>
    <d v="2024-04-09T00:00:00"/>
    <n v="100000"/>
    <s v="Insurance"/>
    <s v="Under Treatment"/>
  </r>
  <r>
    <s v="Nadia Nawaz"/>
    <n v="30"/>
    <x v="0"/>
    <s v="Unknown"/>
    <s v="Faisalabad"/>
    <x v="4"/>
    <s v="Dr. Farah"/>
    <d v="2024-09-04T00:00:00"/>
    <d v="2024-04-13T00:00:00"/>
    <n v="100000"/>
    <s v="Online Transfer"/>
    <s v="Recovered"/>
  </r>
  <r>
    <s v="Nadia Hassan"/>
    <n v="66"/>
    <x v="1"/>
    <s v="Female"/>
    <s v="Lahore"/>
    <x v="2"/>
    <s v="Dr. Khalid"/>
    <d v="2024-02-27T00:00:00"/>
    <d v="2024-03-14T00:00:00"/>
    <n v="20000"/>
    <s v="Online Transfer"/>
    <s v="Under Treatment"/>
  </r>
  <r>
    <s v="Sobia Khan"/>
    <n v="28"/>
    <x v="0"/>
    <s v="Male"/>
    <s v="Faisalabad"/>
    <x v="4"/>
    <s v="Dr. Zubair"/>
    <d v="2024-05-28T00:00:00"/>
    <d v="2024-06-26T00:00:00"/>
    <n v="100000"/>
    <s v="Insurance"/>
    <s v="Recovered"/>
  </r>
  <r>
    <s v="Nida Hassan"/>
    <n v="90"/>
    <x v="1"/>
    <s v="Female"/>
    <s v="Multan"/>
    <x v="1"/>
    <s v="Dr. Tariq"/>
    <d v="2024-09-19T00:00:00"/>
    <d v="2024-10-08T00:00:00"/>
    <n v="15000"/>
    <s v="Cash"/>
    <s v="Discharged"/>
  </r>
  <r>
    <s v="Usman Iqbal"/>
    <n v="44"/>
    <x v="3"/>
    <s v="Female"/>
    <s v="Faisalabad"/>
    <x v="3"/>
    <s v="Dr. Khalid"/>
    <d v="2024-03-15T00:00:00"/>
    <d v="2024-04-14T00:00:00"/>
    <n v="12000"/>
    <s v="Cash"/>
    <s v="Unknown"/>
  </r>
  <r>
    <s v="Zubair Chaudhry"/>
    <n v="58"/>
    <x v="3"/>
    <s v="Male"/>
    <s v="Faisalabad"/>
    <x v="5"/>
    <s v="Dr. Farah"/>
    <d v="2024-02-01T00:00:00"/>
    <d v="2024-01-05T00:00:00"/>
    <n v="75000"/>
    <s v="Card"/>
    <s v="Critical"/>
  </r>
  <r>
    <s v="Rabia Niazi"/>
    <n v="62"/>
    <x v="1"/>
    <s v="Unknown"/>
    <s v="Islamabad"/>
    <x v="2"/>
    <s v="Dr. Khalid"/>
    <d v="2024-06-22T00:00:00"/>
    <d v="2024-06-30T00:00:00"/>
    <n v="100000"/>
    <s v="Cash"/>
    <s v="Recovered"/>
  </r>
  <r>
    <s v="Nadia Javed"/>
    <n v="30"/>
    <x v="0"/>
    <s v="Male"/>
    <s v="Lahore"/>
    <x v="0"/>
    <s v="Dr. Khalid"/>
    <d v="2024-03-15T00:00:00"/>
    <d v="2024-03-26T00:00:00"/>
    <n v="20000"/>
    <s v="Online Transfer"/>
    <s v="Critical"/>
  </r>
  <r>
    <s v="Nida Butt"/>
    <n v="44"/>
    <x v="3"/>
    <s v="Male"/>
    <s v="Lahore"/>
    <x v="6"/>
    <s v="Dr. Imran"/>
    <d v="2024-01-30T00:00:00"/>
    <d v="2024-02-18T00:00:00"/>
    <n v="8000"/>
    <s v="Online Transfer"/>
    <s v="Under Treatment"/>
  </r>
  <r>
    <s v="Lubna Ansari"/>
    <n v="78"/>
    <x v="1"/>
    <s v="Female"/>
    <s v="Quetta"/>
    <x v="2"/>
    <s v="Dr. Sana"/>
    <d v="2024-06-28T00:00:00"/>
    <d v="2024-07-14T00:00:00"/>
    <n v="50000"/>
    <s v="Online Transfer"/>
    <s v="Discharged"/>
  </r>
  <r>
    <s v="Bilal Niazi"/>
    <n v="52"/>
    <x v="3"/>
    <s v="Male"/>
    <s v="Peshawar"/>
    <x v="1"/>
    <s v="Dr. Tariq"/>
    <d v="2024-05-18T00:00:00"/>
    <d v="2024-06-04T00:00:00"/>
    <n v="75000"/>
    <s v="Online Transfer"/>
    <s v="Discharged"/>
  </r>
  <r>
    <s v="Hassan Butt"/>
    <n v="28"/>
    <x v="0"/>
    <s v="Male"/>
    <s v="Multan"/>
    <x v="6"/>
    <s v="Dr. Imran"/>
    <d v="2024-08-09T00:00:00"/>
    <d v="2024-08-22T00:00:00"/>
    <n v="100000"/>
    <s v="Cash"/>
    <s v="Under Treatment"/>
  </r>
  <r>
    <s v="Usman Ali"/>
    <n v="70"/>
    <x v="1"/>
    <s v="Male"/>
    <s v="Peshawar"/>
    <x v="4"/>
    <s v="Dr. Sana"/>
    <d v="2024-05-27T00:00:00"/>
    <d v="2024-06-21T00:00:00"/>
    <n v="100000"/>
    <s v="Card"/>
    <s v="Critical"/>
  </r>
  <r>
    <s v="Fatima Ansari"/>
    <n v="71"/>
    <x v="1"/>
    <s v="Female"/>
    <s v="Faisalabad"/>
    <x v="0"/>
    <s v="Dr. Zubair"/>
    <d v="2024-09-02T00:00:00"/>
    <d v="2024-02-27T00:00:00"/>
    <n v="12000"/>
    <s v="Cash"/>
    <s v="Discharged"/>
  </r>
  <r>
    <s v="Kamran Raza"/>
    <n v="70"/>
    <x v="1"/>
    <s v="Female"/>
    <s v="Peshawar"/>
    <x v="0"/>
    <s v="Dr. Farah"/>
    <d v="2024-08-08T00:00:00"/>
    <d v="2024-08-11T00:00:00"/>
    <n v="15000"/>
    <s v="Online Transfer"/>
    <s v="Discharged"/>
  </r>
  <r>
    <s v="Waqas Siddiqui"/>
    <n v="51"/>
    <x v="3"/>
    <s v="Female"/>
    <s v="Lahore"/>
    <x v="4"/>
    <s v="Dr. Farah"/>
    <d v="2024-04-01T00:00:00"/>
    <d v="2024-01-06T00:00:00"/>
    <n v="75000"/>
    <s v="Cash"/>
    <s v="Discharged"/>
  </r>
  <r>
    <s v="Waqas Iqbal"/>
    <n v="36"/>
    <x v="0"/>
    <s v="Male"/>
    <s v="Islamabad"/>
    <x v="0"/>
    <s v="Dr. Tariq"/>
    <d v="2024-08-01T00:00:00"/>
    <d v="2024-08-24T00:00:00"/>
    <n v="5000"/>
    <s v="Online Transfer"/>
    <s v="Recovered"/>
  </r>
  <r>
    <s v="Fatima Qureshi"/>
    <n v="38"/>
    <x v="0"/>
    <s v="Male"/>
    <s v="Quetta"/>
    <x v="6"/>
    <s v="Dr. Tariq"/>
    <d v="2024-05-09T00:00:00"/>
    <d v="2024-09-08T00:00:00"/>
    <n v="100000"/>
    <s v="Card"/>
    <s v="Critical"/>
  </r>
  <r>
    <s v="Tariq Iqbal"/>
    <s v="Unknown"/>
    <x v="4"/>
    <s v="Female"/>
    <s v="Quetta"/>
    <x v="4"/>
    <s v="Dr. Zubair"/>
    <d v="2024-07-28T00:00:00"/>
    <d v="2024-08-17T00:00:00"/>
    <n v="35000"/>
    <s v="Cash"/>
    <s v="Discharged"/>
  </r>
  <r>
    <s v="Hina Malik"/>
    <n v="79"/>
    <x v="1"/>
    <s v="Male"/>
    <s v="Lahore"/>
    <x v="1"/>
    <s v="Dr. Ayesha"/>
    <d v="2024-04-26T00:00:00"/>
    <d v="2024-05-23T00:00:00"/>
    <n v="50000"/>
    <s v="Card"/>
    <s v="Discharged"/>
  </r>
  <r>
    <s v="Hassan Ansari"/>
    <n v="2"/>
    <x v="2"/>
    <s v="Female"/>
    <s v="Peshawar"/>
    <x v="1"/>
    <s v="Dr. Khalid"/>
    <d v="2024-04-06T00:00:00"/>
    <d v="2024-07-03T00:00:00"/>
    <n v="8000"/>
    <s v="Online Transfer"/>
    <s v="Discharged"/>
  </r>
  <r>
    <s v="Amna Ansari"/>
    <n v="47"/>
    <x v="3"/>
    <s v="Male"/>
    <s v="Lahore"/>
    <x v="4"/>
    <s v="Dr. Farah"/>
    <d v="2024-07-26T00:00:00"/>
    <d v="2024-08-18T00:00:00"/>
    <n v="0"/>
    <s v="Card"/>
    <s v="Under Treatment"/>
  </r>
  <r>
    <s v="Kamran Malik"/>
    <n v="43"/>
    <x v="3"/>
    <s v="Female"/>
    <s v="Faisalabad"/>
    <x v="6"/>
    <s v="Dr. Zubair"/>
    <d v="2024-10-06T00:00:00"/>
    <d v="2024-06-19T00:00:00"/>
    <n v="25000"/>
    <s v="Card"/>
    <s v="Discharged"/>
  </r>
  <r>
    <s v="Kamran Qureshi"/>
    <n v="21"/>
    <x v="0"/>
    <s v="Female"/>
    <s v="Faisalabad"/>
    <x v="6"/>
    <s v="Dr. Farah"/>
    <d v="2024-08-24T00:00:00"/>
    <d v="2024-09-22T00:00:00"/>
    <n v="25000"/>
    <s v="Cash"/>
    <s v="Critical"/>
  </r>
  <r>
    <s v="Ali Raza"/>
    <n v="21"/>
    <x v="0"/>
    <s v="Female"/>
    <s v="Lahore"/>
    <x v="4"/>
    <s v="Dr. Khalid"/>
    <d v="2024-06-01T00:00:00"/>
    <d v="2024-01-24T00:00:00"/>
    <n v="35000"/>
    <s v="Card"/>
    <s v="Critical"/>
  </r>
  <r>
    <s v="Hina Niazi"/>
    <n v="33"/>
    <x v="0"/>
    <s v="Male"/>
    <s v="Peshawar"/>
    <x v="3"/>
    <s v="Dr. Ayesha"/>
    <d v="2024-01-18T00:00:00"/>
    <d v="2024-02-12T00:00:00"/>
    <n v="25000"/>
    <s v="Card"/>
    <s v="Discharged"/>
  </r>
  <r>
    <s v="Hina Sheikh"/>
    <n v="46"/>
    <x v="3"/>
    <s v="Male"/>
    <s v="Lahore"/>
    <x v="2"/>
    <s v="Dr. Zubair"/>
    <d v="2024-02-27T00:00:00"/>
    <d v="2024-03-11T00:00:00"/>
    <n v="15000"/>
    <s v="Insurance"/>
    <s v="Critical"/>
  </r>
  <r>
    <s v="Waqas Iqbal"/>
    <n v="73"/>
    <x v="1"/>
    <s v="Male"/>
    <s v="Faisalabad"/>
    <x v="5"/>
    <s v="Dr. Khalid"/>
    <d v="2024-07-13T00:00:00"/>
    <d v="2024-07-18T00:00:00"/>
    <n v="75000"/>
    <s v="Online Transfer"/>
    <s v="Recovered"/>
  </r>
  <r>
    <s v="Farhan Nawaz"/>
    <n v="18"/>
    <x v="0"/>
    <s v="Female"/>
    <s v="Quetta"/>
    <x v="3"/>
    <s v="Dr. Imran"/>
    <d v="2024-07-05T00:00:00"/>
    <d v="2024-05-22T00:00:00"/>
    <n v="20000"/>
    <s v="Insurance"/>
    <s v="Recovered"/>
  </r>
  <r>
    <s v="Amna Ahmed"/>
    <n v="80"/>
    <x v="1"/>
    <s v="Male"/>
    <s v="Multan"/>
    <x v="2"/>
    <s v="Dr. Farah"/>
    <d v="2024-01-07T00:00:00"/>
    <d v="2024-07-21T00:00:00"/>
    <n v="25000"/>
    <s v="Card"/>
    <s v="Critical"/>
  </r>
  <r>
    <s v="Lubna Chaudhry"/>
    <n v="37"/>
    <x v="0"/>
    <s v="Male"/>
    <s v="Islamabad"/>
    <x v="6"/>
    <s v="Dr. Zubair"/>
    <d v="2024-04-16T00:00:00"/>
    <d v="2024-05-09T00:00:00"/>
    <n v="8000"/>
    <s v="Card"/>
    <s v="Under Treatment"/>
  </r>
  <r>
    <s v="Saima Iqbal"/>
    <n v="86"/>
    <x v="1"/>
    <s v="Male"/>
    <s v="Quetta"/>
    <x v="4"/>
    <s v="Dr. Tariq"/>
    <d v="2024-02-05T00:00:00"/>
    <d v="2024-02-17T00:00:00"/>
    <n v="25000"/>
    <s v="Online Transfer"/>
    <s v="Discharged"/>
  </r>
  <r>
    <s v="Sana Akhtar"/>
    <n v="72"/>
    <x v="1"/>
    <s v="Male"/>
    <s v="Peshawar"/>
    <x v="4"/>
    <s v="Dr. Farah"/>
    <d v="2024-06-01T00:00:00"/>
    <d v="2024-01-21T00:00:00"/>
    <n v="5000"/>
    <s v="Card"/>
    <s v="Critical"/>
  </r>
  <r>
    <s v="Ahmed Nawaz"/>
    <n v="9"/>
    <x v="2"/>
    <s v="Female"/>
    <s v="Quetta"/>
    <x v="0"/>
    <s v="Dr. Zubair"/>
    <d v="2024-08-06T00:00:00"/>
    <d v="2024-06-12T00:00:00"/>
    <n v="75000"/>
    <s v="Insurance"/>
    <s v="Discharged"/>
  </r>
  <r>
    <s v="Rabia Javed"/>
    <n v="27"/>
    <x v="0"/>
    <s v="Female"/>
    <s v="Peshawar"/>
    <x v="1"/>
    <s v="Dr. Farah"/>
    <d v="2024-01-19T00:00:00"/>
    <d v="2024-01-25T00:00:00"/>
    <n v="20000"/>
    <s v="Card"/>
    <s v="Recovered"/>
  </r>
  <r>
    <s v="Mehwish Butt"/>
    <n v="65"/>
    <x v="1"/>
    <s v="Male"/>
    <s v="Karachi"/>
    <x v="4"/>
    <s v="Dr. Sana"/>
    <d v="2024-03-05T00:00:00"/>
    <d v="2024-05-15T00:00:00"/>
    <n v="25000"/>
    <s v="Card"/>
    <s v="Under Treatment"/>
  </r>
  <r>
    <s v="Danish Abbasi"/>
    <n v="90"/>
    <x v="1"/>
    <s v="Male"/>
    <s v="Peshawar"/>
    <x v="0"/>
    <s v="Dr. Zubair"/>
    <d v="2024-07-25T00:00:00"/>
    <d v="2024-08-17T00:00:00"/>
    <n v="100000"/>
    <s v="Card"/>
    <s v="Recovered"/>
  </r>
  <r>
    <s v="Amna Sheikh"/>
    <n v="69"/>
    <x v="1"/>
    <s v="Female"/>
    <s v="Lahore"/>
    <x v="5"/>
    <s v="Dr. Ayesha"/>
    <d v="2024-02-16T00:00:00"/>
    <d v="2024-02-18T00:00:00"/>
    <n v="100000"/>
    <s v="Cash"/>
    <s v="Recovered"/>
  </r>
  <r>
    <s v="AhMaleed Iqbal"/>
    <s v="Unknown"/>
    <x v="4"/>
    <s v="Male"/>
    <s v="Lahore"/>
    <x v="1"/>
    <s v="Dr. Zubair"/>
    <d v="2024-02-13T00:00:00"/>
    <d v="2024-03-13T00:00:00"/>
    <n v="100000"/>
    <s v="Card"/>
    <s v="Under Treatment"/>
  </r>
  <r>
    <s v="Mehwish Bhatti"/>
    <n v="55"/>
    <x v="3"/>
    <s v="Male"/>
    <s v="Quetta"/>
    <x v="2"/>
    <s v="Dr. Ayesha"/>
    <d v="2024-05-09T00:00:00"/>
    <d v="2024-09-12T00:00:00"/>
    <n v="20000"/>
    <s v="Online Transfer"/>
    <s v="Under Treatment"/>
  </r>
  <r>
    <s v="Hina Butt"/>
    <n v="20"/>
    <x v="0"/>
    <s v="Male"/>
    <s v="Islamabad"/>
    <x v="4"/>
    <s v="Dr. Farah"/>
    <d v="2024-10-14T00:00:00"/>
    <d v="2024-11-11T00:00:00"/>
    <n v="50000"/>
    <s v="Online Transfer"/>
    <s v="Recovered"/>
  </r>
  <r>
    <s v="Sana Ali"/>
    <n v="8"/>
    <x v="2"/>
    <s v="Female"/>
    <s v="Multan"/>
    <x v="1"/>
    <s v="Dr. Imran"/>
    <d v="2024-10-03T00:00:00"/>
    <d v="2024-04-07T00:00:00"/>
    <n v="20000"/>
    <s v="Card"/>
    <s v="Discharged"/>
  </r>
  <r>
    <s v="Sana Javed"/>
    <n v="65"/>
    <x v="1"/>
    <s v="Male"/>
    <s v="Faisalabad"/>
    <x v="6"/>
    <s v="Dr. Imran"/>
    <d v="2024-04-29T00:00:00"/>
    <d v="2024-05-22T00:00:00"/>
    <n v="5000"/>
    <s v="Online Transfer"/>
    <s v="Discharged"/>
  </r>
  <r>
    <s v="Asad Butt"/>
    <n v="88"/>
    <x v="1"/>
    <s v="Female"/>
    <s v="Unknown"/>
    <x v="2"/>
    <s v="Dr. Zubair"/>
    <d v="2024-03-05T00:00:00"/>
    <d v="2024-05-10T00:00:00"/>
    <n v="12000"/>
    <s v="Card"/>
    <s v="Critical"/>
  </r>
  <r>
    <s v="Fariha Niazi"/>
    <n v="6"/>
    <x v="2"/>
    <s v="Female"/>
    <s v="Lahore"/>
    <x v="3"/>
    <s v="Dr. Sana"/>
    <d v="2024-07-02T00:00:00"/>
    <d v="2024-02-21T00:00:00"/>
    <n v="8000"/>
    <s v="Card"/>
    <s v="Discharged"/>
  </r>
  <r>
    <s v="Asad Ahmed"/>
    <n v="28"/>
    <x v="0"/>
    <s v="Male"/>
    <s v="Peshawar"/>
    <x v="6"/>
    <s v="Dr. Farah"/>
    <d v="2024-08-24T00:00:00"/>
    <d v="2024-09-02T00:00:00"/>
    <n v="8000"/>
    <s v="Online Transfer"/>
    <s v="Discharged"/>
  </r>
  <r>
    <s v="Waqas Abbasi"/>
    <n v="14"/>
    <x v="2"/>
    <s v="Female"/>
    <s v="Islamabad"/>
    <x v="6"/>
    <s v="Dr. Khalid"/>
    <d v="2024-02-10T00:00:00"/>
    <d v="2024-10-17T00:00:00"/>
    <n v="5000"/>
    <s v="Insurance"/>
    <s v="Recovered"/>
  </r>
  <r>
    <s v="Sara Niazi"/>
    <s v="Unknown"/>
    <x v="4"/>
    <s v="Female"/>
    <s v="Karachi"/>
    <x v="4"/>
    <s v="Dr. Imran"/>
    <d v="2024-09-14T00:00:00"/>
    <d v="2024-09-18T00:00:00"/>
    <n v="25000"/>
    <s v="Online Transfer"/>
    <s v="Critical"/>
  </r>
  <r>
    <s v="Nadia Mirza"/>
    <n v="33"/>
    <x v="0"/>
    <s v="Male"/>
    <s v="Quetta"/>
    <x v="2"/>
    <s v="Dr. Tariq"/>
    <d v="2024-07-10T00:00:00"/>
    <d v="2024-07-16T00:00:00"/>
    <n v="35000"/>
    <s v="Online Transfer"/>
    <s v="Under Treatment"/>
  </r>
  <r>
    <s v="Mehwish Nawaz"/>
    <n v="12"/>
    <x v="2"/>
    <s v="Female"/>
    <s v="Peshawar"/>
    <x v="3"/>
    <s v="Dr. Imran"/>
    <d v="2024-12-05T00:00:00"/>
    <d v="2024-06-02T00:00:00"/>
    <n v="12000"/>
    <s v="Cash"/>
    <s v="Critical"/>
  </r>
  <r>
    <s v="Hina Mirza"/>
    <n v="17"/>
    <x v="2"/>
    <s v="Male"/>
    <s v="Faisalabad"/>
    <x v="1"/>
    <s v="Dr. Sana"/>
    <d v="2024-07-19T00:00:00"/>
    <d v="2024-07-27T00:00:00"/>
    <n v="75000"/>
    <s v="Insurance"/>
    <s v="Recovered"/>
  </r>
  <r>
    <s v="Nida Butt"/>
    <n v="28"/>
    <x v="0"/>
    <s v="Female"/>
    <s v="Multan"/>
    <x v="6"/>
    <s v="Dr. Tariq"/>
    <d v="2024-04-04T00:00:00"/>
    <d v="2024-05-03T00:00:00"/>
    <n v="0"/>
    <s v="Card"/>
    <s v="Discharged"/>
  </r>
  <r>
    <s v="Nadia Ali"/>
    <n v="50"/>
    <x v="3"/>
    <s v="Female"/>
    <s v="Karachi"/>
    <x v="3"/>
    <s v="Dr. Zubair"/>
    <d v="2024-12-10T00:00:00"/>
    <d v="2024-10-31T00:00:00"/>
    <n v="8000"/>
    <s v="Card"/>
    <s v="Discharged"/>
  </r>
  <r>
    <s v="Hina Nawaz"/>
    <n v="24"/>
    <x v="0"/>
    <s v="Male"/>
    <s v="Multan"/>
    <x v="6"/>
    <s v="Dr. Zubair"/>
    <d v="2024-01-19T00:00:00"/>
    <d v="2024-02-16T00:00:00"/>
    <n v="5000"/>
    <s v="Insurance"/>
    <s v="Under Treatment"/>
  </r>
  <r>
    <s v="Nida Akhtar"/>
    <n v="15"/>
    <x v="2"/>
    <s v="Male"/>
    <s v="Quetta"/>
    <x v="5"/>
    <s v="Dr. Imran"/>
    <d v="2024-04-15T00:00:00"/>
    <d v="2024-05-15T00:00:00"/>
    <n v="20000"/>
    <s v="Online Transfer"/>
    <s v="Under Treatment"/>
  </r>
  <r>
    <s v="Zara Siddiqui"/>
    <n v="52"/>
    <x v="3"/>
    <s v="Female"/>
    <s v="Faisalabad"/>
    <x v="0"/>
    <s v="Dr. Tariq"/>
    <d v="2024-06-27T00:00:00"/>
    <d v="2024-07-10T00:00:00"/>
    <n v="50000"/>
    <s v="Insurance"/>
    <s v="Critical"/>
  </r>
  <r>
    <s v="Sana Iqbal"/>
    <n v="53"/>
    <x v="3"/>
    <s v="Female"/>
    <s v="Quetta"/>
    <x v="6"/>
    <s v="Dr. Sana"/>
    <d v="2024-11-08T00:00:00"/>
    <d v="2024-09-02T00:00:00"/>
    <n v="25000"/>
    <s v="Online Transfer"/>
    <s v="Discharged"/>
  </r>
  <r>
    <s v="Ali Abbasi"/>
    <n v="55"/>
    <x v="3"/>
    <s v="Female"/>
    <s v="Quetta"/>
    <x v="3"/>
    <s v="Dr. Imran"/>
    <d v="2024-10-13T00:00:00"/>
    <d v="2024-10-20T00:00:00"/>
    <n v="100000"/>
    <s v="Online Transfer"/>
    <s v="Discharged"/>
  </r>
  <r>
    <s v="Uzma Mirza"/>
    <n v="7"/>
    <x v="2"/>
    <s v="Male"/>
    <s v="Peshawar"/>
    <x v="2"/>
    <s v="Dr. Zubair"/>
    <d v="2024-04-10T00:00:00"/>
    <d v="2024-10-29T00:00:00"/>
    <n v="20000"/>
    <s v="Insurance"/>
    <s v="Under Treatment"/>
  </r>
  <r>
    <s v="Hina Butt"/>
    <n v="24"/>
    <x v="0"/>
    <s v="Male"/>
    <s v="Islamabad"/>
    <x v="4"/>
    <s v="Dr. Tariq"/>
    <d v="2024-05-19T00:00:00"/>
    <d v="2024-05-30T00:00:00"/>
    <n v="15000"/>
    <s v="Insurance"/>
    <s v="Critical"/>
  </r>
  <r>
    <s v="Nadia Hassan"/>
    <n v="85"/>
    <x v="1"/>
    <s v="Male"/>
    <s v="Karachi"/>
    <x v="4"/>
    <s v="Dr. Imran"/>
    <d v="2024-12-05T00:00:00"/>
    <d v="2024-05-21T00:00:00"/>
    <n v="75000"/>
    <s v="Cash"/>
    <s v="Recovered"/>
  </r>
  <r>
    <s v="Hamid Ahmed"/>
    <n v="30"/>
    <x v="0"/>
    <s v="Male"/>
    <s v="Multan"/>
    <x v="5"/>
    <s v="Dr. Imran"/>
    <d v="2024-07-03T00:00:00"/>
    <d v="2024-03-18T00:00:00"/>
    <n v="75000"/>
    <s v="Card"/>
    <s v="Discharged"/>
  </r>
  <r>
    <s v="Sana Akhtar"/>
    <n v="57"/>
    <x v="3"/>
    <s v="Male"/>
    <s v="Peshawar"/>
    <x v="6"/>
    <s v="Dr. Sana"/>
    <d v="2024-08-04T00:00:00"/>
    <d v="2024-04-12T00:00:00"/>
    <n v="35000"/>
    <s v="Cash"/>
    <s v="Discharged"/>
  </r>
  <r>
    <s v="Nadia Akhtar"/>
    <n v="28"/>
    <x v="0"/>
    <s v="Male"/>
    <s v="Faisalabad"/>
    <x v="6"/>
    <s v="Dr. Sana"/>
    <d v="2024-09-23T00:00:00"/>
    <d v="2024-10-07T00:00:00"/>
    <n v="35000"/>
    <s v="Online Transfer"/>
    <s v="Recovered"/>
  </r>
  <r>
    <s v="Hassan Malik"/>
    <n v="73"/>
    <x v="1"/>
    <s v="Male"/>
    <s v="Karachi"/>
    <x v="0"/>
    <s v="Dr. Khalid"/>
    <d v="2024-02-21T00:00:00"/>
    <d v="2024-03-03T00:00:00"/>
    <n v="0"/>
    <s v="Unknown"/>
    <s v="Under Treatment"/>
  </r>
  <r>
    <s v="Tariq Siddiqui"/>
    <n v="44"/>
    <x v="3"/>
    <s v="Male"/>
    <s v="Peshawar"/>
    <x v="0"/>
    <s v="Dr. Imran"/>
    <d v="2024-08-29T00:00:00"/>
    <d v="2024-09-21T00:00:00"/>
    <n v="50000"/>
    <s v="Online Transfer"/>
    <s v="Recovered"/>
  </r>
  <r>
    <s v="Nida Javed"/>
    <n v="43"/>
    <x v="3"/>
    <s v="Female"/>
    <s v="Quetta"/>
    <x v="3"/>
    <s v="Dr. Ayesha"/>
    <d v="2024-02-16T00:00:00"/>
    <d v="2024-02-26T00:00:00"/>
    <n v="75000"/>
    <s v="Insurance"/>
    <s v="Critical"/>
  </r>
  <r>
    <s v="Ahmed Mirza"/>
    <n v="81"/>
    <x v="1"/>
    <s v="Female"/>
    <s v="Islamabad"/>
    <x v="0"/>
    <s v="Dr. Ayesha"/>
    <d v="2024-08-29T00:00:00"/>
    <d v="2024-09-01T00:00:00"/>
    <n v="25000"/>
    <s v="Card"/>
    <s v="Recovered"/>
  </r>
  <r>
    <s v="Ali Iqbal"/>
    <n v="12"/>
    <x v="2"/>
    <s v="Female"/>
    <s v="Karachi"/>
    <x v="0"/>
    <s v="Dr. Farah"/>
    <d v="2024-06-23T00:00:00"/>
    <d v="2024-07-15T00:00:00"/>
    <n v="8000"/>
    <s v="Insurance"/>
    <s v="Critical"/>
  </r>
  <r>
    <s v="Waqas Sheikh"/>
    <n v="67"/>
    <x v="1"/>
    <s v="Male"/>
    <s v="Lahore"/>
    <x v="5"/>
    <s v="Dr. Farah"/>
    <d v="2024-07-08T00:00:00"/>
    <d v="2024-09-05T00:00:00"/>
    <n v="12000"/>
    <s v="Insurance"/>
    <s v="Recovered"/>
  </r>
  <r>
    <s v="Fariha Hassan"/>
    <n v="84"/>
    <x v="1"/>
    <s v="Male"/>
    <s v="Peshawar"/>
    <x v="3"/>
    <s v="Dr. Farah"/>
    <d v="2024-04-28T00:00:00"/>
    <d v="2024-05-08T00:00:00"/>
    <n v="5000"/>
    <s v="Cash"/>
    <s v="Critical"/>
  </r>
  <r>
    <s v="Sobia Raza"/>
    <n v="9"/>
    <x v="2"/>
    <s v="Male"/>
    <s v="Lahore"/>
    <x v="6"/>
    <s v="Dr. Ayesha"/>
    <d v="2024-06-10T00:00:00"/>
    <d v="2024-11-02T00:00:00"/>
    <n v="12000"/>
    <s v="Cash"/>
    <s v="Critical"/>
  </r>
  <r>
    <s v="Fariha Bhatti"/>
    <s v="Unknown"/>
    <x v="4"/>
    <s v="Male"/>
    <s v="Lahore"/>
    <x v="2"/>
    <s v="Dr. Zubair"/>
    <d v="2024-05-21T00:00:00"/>
    <d v="2024-05-28T00:00:00"/>
    <n v="75000"/>
    <s v="Insurance"/>
    <s v="Critical"/>
  </r>
  <r>
    <s v="Ahmed Bhatti"/>
    <n v="30"/>
    <x v="0"/>
    <s v="Male"/>
    <s v="Lahore"/>
    <x v="6"/>
    <s v="Dr. Khalid"/>
    <d v="2024-01-03T00:00:00"/>
    <d v="2024-03-20T00:00:00"/>
    <n v="75000"/>
    <s v="Unknown"/>
    <s v="Critical"/>
  </r>
  <r>
    <s v="Hina Khan"/>
    <n v="9"/>
    <x v="2"/>
    <s v="Male"/>
    <s v="Lahore"/>
    <x v="3"/>
    <s v="Dr. Farah"/>
    <d v="2024-09-17T00:00:00"/>
    <d v="2024-10-17T00:00:00"/>
    <n v="25000"/>
    <s v="Online Transfer"/>
    <s v="Under Treatment"/>
  </r>
  <r>
    <s v="Waqas Malik"/>
    <n v="19"/>
    <x v="0"/>
    <s v="Male"/>
    <s v="Islamabad"/>
    <x v="4"/>
    <s v="Dr. Khalid"/>
    <d v="2024-03-14T00:00:00"/>
    <d v="2024-04-06T00:00:00"/>
    <n v="15000"/>
    <s v="Insurance"/>
    <s v="Recovered"/>
  </r>
  <r>
    <s v="Asad Malik"/>
    <n v="87"/>
    <x v="1"/>
    <s v="Female"/>
    <s v="Faisalabad"/>
    <x v="1"/>
    <s v="Dr. Khalid"/>
    <d v="2024-07-08T00:00:00"/>
    <d v="2024-08-12T00:00:00"/>
    <n v="5000"/>
    <s v="Cash"/>
    <s v="Under Treatment"/>
  </r>
  <r>
    <s v="Uzma Chaudhry"/>
    <n v="63"/>
    <x v="1"/>
    <s v="Male"/>
    <s v="Islamabad"/>
    <x v="4"/>
    <s v="Dr. Khalid"/>
    <d v="2024-08-15T00:00:00"/>
    <d v="2024-09-03T00:00:00"/>
    <n v="50000"/>
    <s v="Card"/>
    <s v="Discharged"/>
  </r>
  <r>
    <s v="Nida Javed"/>
    <n v="70"/>
    <x v="1"/>
    <s v="Female"/>
    <s v="Peshawar"/>
    <x v="2"/>
    <s v="Dr. Khalid"/>
    <d v="2024-09-14T00:00:00"/>
    <d v="2024-10-11T00:00:00"/>
    <n v="8000"/>
    <s v="Insurance"/>
    <s v="Recovered"/>
  </r>
  <r>
    <s v="Asad Bhatti"/>
    <n v="26"/>
    <x v="0"/>
    <s v="Male"/>
    <s v="Peshawar"/>
    <x v="5"/>
    <s v="Dr. Khalid"/>
    <d v="2024-07-30T00:00:00"/>
    <d v="2024-08-20T00:00:00"/>
    <n v="100000"/>
    <s v="Online Transfer"/>
    <s v="Recovered"/>
  </r>
  <r>
    <s v="Fariha Ahmed"/>
    <n v="39"/>
    <x v="0"/>
    <s v="Male"/>
    <s v="Lahore"/>
    <x v="3"/>
    <s v="Dr. Farah"/>
    <d v="2024-08-26T00:00:00"/>
    <d v="2024-09-10T00:00:00"/>
    <n v="20000"/>
    <s v="Insurance"/>
    <s v="Critical"/>
  </r>
  <r>
    <s v="Fatima Khan"/>
    <n v="35"/>
    <x v="0"/>
    <s v="Male"/>
    <s v="Karachi"/>
    <x v="6"/>
    <s v="Dr. Imran"/>
    <d v="2024-09-24T00:00:00"/>
    <d v="2024-10-12T00:00:00"/>
    <n v="20000"/>
    <s v="Cash"/>
    <s v="Critical"/>
  </r>
  <r>
    <s v="Tariq Qureshi"/>
    <s v="Unknown"/>
    <x v="4"/>
    <s v="Female"/>
    <s v="Faisalabad"/>
    <x v="3"/>
    <s v="Dr. Khalid"/>
    <d v="2024-06-23T00:00:00"/>
    <d v="2024-07-18T00:00:00"/>
    <n v="8000"/>
    <s v="Online Transfer"/>
    <s v="Recovered"/>
  </r>
  <r>
    <s v="Ahmed Siddiqui"/>
    <n v="70"/>
    <x v="1"/>
    <s v="Male"/>
    <s v="Lahore"/>
    <x v="5"/>
    <s v="Dr. Sana"/>
    <d v="2024-05-22T00:00:00"/>
    <d v="2024-06-19T00:00:00"/>
    <n v="75000"/>
    <s v="Card"/>
    <s v="Discharged"/>
  </r>
  <r>
    <s v="Nida Ahmed"/>
    <n v="86"/>
    <x v="1"/>
    <s v="Male"/>
    <s v="Faisalabad"/>
    <x v="5"/>
    <s v="Dr. Khalid"/>
    <d v="2024-01-19T00:00:00"/>
    <d v="2024-01-28T00:00:00"/>
    <n v="15000"/>
    <s v="Insurance"/>
    <s v="Under Treatment"/>
  </r>
  <r>
    <s v="Hina Raza"/>
    <n v="58"/>
    <x v="3"/>
    <s v="Female"/>
    <s v="Karachi"/>
    <x v="4"/>
    <s v="Dr. Tariq"/>
    <d v="2024-05-05T00:00:00"/>
    <d v="2024-05-12T00:00:00"/>
    <n v="35000"/>
    <s v="Online Transfer"/>
    <s v="Under Treatment"/>
  </r>
  <r>
    <s v="Kamran Akhtar"/>
    <s v="Unknown"/>
    <x v="4"/>
    <s v="Female"/>
    <s v="Multan"/>
    <x v="2"/>
    <s v="Dr. Sana"/>
    <d v="2024-02-27T00:00:00"/>
    <d v="2024-03-14T00:00:00"/>
    <n v="100000"/>
    <s v="Card"/>
    <s v="Discharged"/>
  </r>
  <r>
    <s v="Zara Javed"/>
    <n v="74"/>
    <x v="1"/>
    <s v="Female"/>
    <s v="Karachi"/>
    <x v="1"/>
    <s v="Dr. Zubair"/>
    <d v="2024-09-01T00:00:00"/>
    <d v="2024-02-07T00:00:00"/>
    <n v="75000"/>
    <s v="Cash"/>
    <s v="Critical"/>
  </r>
  <r>
    <s v="Imran Nawaz"/>
    <n v="6"/>
    <x v="2"/>
    <s v="Male"/>
    <s v="Multan"/>
    <x v="3"/>
    <s v="Dr. Farah"/>
    <d v="2024-06-24T00:00:00"/>
    <d v="2024-07-22T00:00:00"/>
    <n v="12000"/>
    <s v="Cash"/>
    <s v="Discharged"/>
  </r>
  <r>
    <s v="Sara Butt"/>
    <n v="50"/>
    <x v="3"/>
    <s v="Male"/>
    <s v="Islamabad"/>
    <x v="0"/>
    <s v="Dr. Tariq"/>
    <d v="2024-12-01T00:00:00"/>
    <d v="2024-02-07T00:00:00"/>
    <n v="8000"/>
    <s v="Online Transfer"/>
    <s v="Critical"/>
  </r>
  <r>
    <s v="Waqas Sheikh"/>
    <n v="4"/>
    <x v="2"/>
    <s v="Male"/>
    <s v="Faisalabad"/>
    <x v="4"/>
    <s v="Dr. Khalid"/>
    <d v="2024-04-30T00:00:00"/>
    <d v="2024-05-18T00:00:00"/>
    <n v="75000"/>
    <s v="Card"/>
    <s v="Recovered"/>
  </r>
  <r>
    <s v="Hina Mirza"/>
    <s v="Unknown"/>
    <x v="4"/>
    <s v="Male"/>
    <s v="Multan"/>
    <x v="4"/>
    <s v="Dr. Sana"/>
    <d v="2024-10-14T00:00:00"/>
    <d v="2024-10-21T00:00:00"/>
    <n v="15000"/>
    <s v="Insurance"/>
    <s v="Recovered"/>
  </r>
  <r>
    <s v="Rabia Khan"/>
    <n v="50"/>
    <x v="3"/>
    <s v="Male"/>
    <s v="Karachi"/>
    <x v="3"/>
    <s v="Dr. Zubair"/>
    <d v="2024-01-08T00:00:00"/>
    <d v="2024-08-05T00:00:00"/>
    <n v="0"/>
    <s v="Insurance"/>
    <s v="Discharged"/>
  </r>
  <r>
    <s v="Sana Abbasi"/>
    <n v="32"/>
    <x v="0"/>
    <s v="Male"/>
    <s v="Faisalabad"/>
    <x v="1"/>
    <s v="Dr. Tariq"/>
    <d v="2024-06-19T00:00:00"/>
    <d v="2024-07-08T00:00:00"/>
    <n v="50000"/>
    <s v="Cash"/>
    <s v="Recovered"/>
  </r>
  <r>
    <s v="Ali Bhatti"/>
    <n v="17"/>
    <x v="2"/>
    <s v="Male"/>
    <s v="Quetta"/>
    <x v="6"/>
    <s v="Dr. Farah"/>
    <d v="2024-02-24T00:00:00"/>
    <d v="2024-03-18T00:00:00"/>
    <n v="8000"/>
    <s v="Online Transfer"/>
    <s v="Under Treatment"/>
  </r>
  <r>
    <s v="Sana Malik"/>
    <n v="51"/>
    <x v="3"/>
    <s v="Male"/>
    <s v="Lahore"/>
    <x v="3"/>
    <s v="Dr. Tariq"/>
    <d v="2024-02-19T00:00:00"/>
    <d v="2024-02-29T00:00:00"/>
    <n v="12000"/>
    <s v="Cash"/>
    <s v="Critical"/>
  </r>
  <r>
    <s v="Sana Malik"/>
    <n v="22"/>
    <x v="0"/>
    <s v="Male"/>
    <s v="Islamabad"/>
    <x v="2"/>
    <s v="Dr. Sana"/>
    <d v="2024-07-22T00:00:00"/>
    <d v="2024-07-27T00:00:00"/>
    <n v="15000"/>
    <s v="Cash"/>
    <s v="Under Treatment"/>
  </r>
  <r>
    <s v="Ahmed Iqbal"/>
    <n v="67"/>
    <x v="1"/>
    <s v="Male"/>
    <s v="Peshawar"/>
    <x v="6"/>
    <s v="Dr. Zubair"/>
    <d v="2024-01-08T00:00:00"/>
    <d v="2024-08-18T00:00:00"/>
    <n v="8000"/>
    <s v="Online Transfer"/>
    <s v="Recovered"/>
  </r>
  <r>
    <s v="Fatima Nawaz"/>
    <s v="Unknown"/>
    <x v="4"/>
    <s v="Male"/>
    <s v="Islamabad"/>
    <x v="0"/>
    <s v="Dr. Khalid"/>
    <d v="2024-12-10T00:00:00"/>
    <d v="2024-10-24T00:00:00"/>
    <n v="100000"/>
    <s v="Online Transfer"/>
    <s v="Under Treatment"/>
  </r>
  <r>
    <s v="Hassan Malik"/>
    <n v="14"/>
    <x v="2"/>
    <s v="Female"/>
    <s v="Karachi"/>
    <x v="5"/>
    <s v="Dr. Tariq"/>
    <d v="2024-03-05T00:00:00"/>
    <d v="2024-03-23T00:00:00"/>
    <n v="15000"/>
    <s v="Insurance"/>
    <s v="Discharged"/>
  </r>
  <r>
    <s v="Sobia Khan"/>
    <n v="27"/>
    <x v="0"/>
    <s v="Male"/>
    <s v="Faisalabad"/>
    <x v="0"/>
    <s v="Dr. Zubair"/>
    <d v="2024-05-10T00:00:00"/>
    <d v="2024-10-10T00:00:00"/>
    <n v="5000"/>
    <s v="Online Transfer"/>
    <s v="Discharged"/>
  </r>
  <r>
    <s v="Sobia Chaudhry"/>
    <n v="83"/>
    <x v="1"/>
    <s v="Female"/>
    <s v="Faisalabad"/>
    <x v="6"/>
    <s v="Dr. Ayesha"/>
    <d v="2024-02-19T00:00:00"/>
    <d v="2024-02-25T00:00:00"/>
    <n v="8000"/>
    <s v="Card"/>
    <s v="Recovered"/>
  </r>
  <r>
    <s v="Uzma Nawaz"/>
    <n v="32"/>
    <x v="0"/>
    <s v="Female"/>
    <s v="Multan"/>
    <x v="1"/>
    <s v="Dr. Khalid"/>
    <d v="2024-02-24T00:00:00"/>
    <d v="2024-03-22T00:00:00"/>
    <n v="8000"/>
    <s v="Cash"/>
    <s v="Discharged"/>
  </r>
  <r>
    <s v="Sara Hassan"/>
    <n v="81"/>
    <x v="1"/>
    <s v="Female"/>
    <s v="Multan"/>
    <x v="5"/>
    <s v="Dr. Khalid"/>
    <d v="2024-07-03T00:00:00"/>
    <d v="2024-03-17T00:00:00"/>
    <n v="15000"/>
    <s v="Online Transfer"/>
    <s v="Recovered"/>
  </r>
  <r>
    <s v="Hamid Ali"/>
    <n v="29"/>
    <x v="0"/>
    <s v="Female"/>
    <s v="Quetta"/>
    <x v="4"/>
    <s v="Dr. Zubair"/>
    <d v="2024-07-08T00:00:00"/>
    <d v="2024-08-22T00:00:00"/>
    <n v="12000"/>
    <s v="Card"/>
    <s v="Discharged"/>
  </r>
  <r>
    <s v="Bilal Malik"/>
    <n v="88"/>
    <x v="1"/>
    <s v="Female"/>
    <s v="Quetta"/>
    <x v="4"/>
    <s v="Dr. Ayesha"/>
    <d v="2024-02-10T00:00:00"/>
    <d v="2024-10-14T00:00:00"/>
    <n v="20000"/>
    <s v="Card"/>
    <s v="Recovered"/>
  </r>
  <r>
    <s v="Asad Iqbal"/>
    <n v="68"/>
    <x v="1"/>
    <s v="Female"/>
    <s v="Quetta"/>
    <x v="5"/>
    <s v="Dr. Sana"/>
    <d v="2024-06-27T00:00:00"/>
    <d v="2024-07-09T00:00:00"/>
    <n v="25000"/>
    <s v="Insurance"/>
    <s v="Under Treatment"/>
  </r>
  <r>
    <s v="Nadia Nawaz"/>
    <n v="17"/>
    <x v="2"/>
    <s v="Female"/>
    <s v="Faisalabad"/>
    <x v="2"/>
    <s v="Dr. Tariq"/>
    <d v="2024-02-14T00:00:00"/>
    <d v="2024-03-10T00:00:00"/>
    <n v="8000"/>
    <s v="Insurance"/>
    <s v="Under Treatment"/>
  </r>
  <r>
    <s v="Ali Javed"/>
    <n v="71"/>
    <x v="1"/>
    <s v="Male"/>
    <s v="Multan"/>
    <x v="4"/>
    <s v="Dr. Khalid"/>
    <d v="2024-07-03T00:00:00"/>
    <d v="2024-03-10T00:00:00"/>
    <n v="8000"/>
    <s v="Card"/>
    <s v="Critical"/>
  </r>
  <r>
    <s v="Tariq Abbasi"/>
    <n v="80"/>
    <x v="1"/>
    <s v="Male"/>
    <s v="Quetta"/>
    <x v="2"/>
    <s v="Dr. Sana"/>
    <d v="2024-09-06T00:00:00"/>
    <d v="2024-07-02T00:00:00"/>
    <n v="12000"/>
    <s v="Cash"/>
    <s v="Critical"/>
  </r>
  <r>
    <s v="Omer Ali"/>
    <n v="9"/>
    <x v="2"/>
    <s v="Unknown"/>
    <s v="Faisalabad"/>
    <x v="0"/>
    <s v="Dr. Ayesha"/>
    <d v="2024-06-01T00:00:00"/>
    <d v="2024-01-14T00:00:00"/>
    <n v="25000"/>
    <s v="Cash"/>
    <s v="Critical"/>
  </r>
  <r>
    <s v="Saima Hassan"/>
    <n v="13"/>
    <x v="2"/>
    <s v="Male"/>
    <s v="Lahore"/>
    <x v="2"/>
    <s v="Dr. Farah"/>
    <d v="2024-12-08T00:00:00"/>
    <d v="2024-08-20T00:00:00"/>
    <n v="100000"/>
    <s v="Insurance"/>
    <s v="Recovered"/>
  </r>
  <r>
    <s v="Asad Nawaz"/>
    <n v="69"/>
    <x v="1"/>
    <s v="Female"/>
    <s v="Multan"/>
    <x v="0"/>
    <s v="Dr. Imran"/>
    <d v="2024-02-16T00:00:00"/>
    <d v="2024-02-25T00:00:00"/>
    <n v="100000"/>
    <s v="Unknown"/>
    <s v="Critical"/>
  </r>
  <r>
    <s v="Nida Chaudhry"/>
    <n v="27"/>
    <x v="0"/>
    <s v="Male"/>
    <s v="Faisalabad"/>
    <x v="6"/>
    <s v="Dr. Khalid"/>
    <d v="2024-06-25T00:00:00"/>
    <d v="2024-07-07T00:00:00"/>
    <n v="75000"/>
    <s v="Card"/>
    <s v="Under Treatment"/>
  </r>
  <r>
    <s v="Mehwish Ali"/>
    <n v="10"/>
    <x v="2"/>
    <s v="Male"/>
    <s v="Lahore"/>
    <x v="5"/>
    <s v="Dr. Imran"/>
    <d v="2024-10-24T00:00:00"/>
    <d v="2024-11-08T00:00:00"/>
    <n v="5000"/>
    <s v="Card"/>
    <s v="Recovered"/>
  </r>
  <r>
    <s v="Imran Ali"/>
    <n v="90"/>
    <x v="1"/>
    <s v="Male"/>
    <s v="Lahore"/>
    <x v="4"/>
    <s v="Dr. Zubair"/>
    <d v="2024-08-13T00:00:00"/>
    <d v="2024-08-19T00:00:00"/>
    <n v="25000"/>
    <s v="Insurance"/>
    <s v="Discharged"/>
  </r>
  <r>
    <s v="Sana Sheikh"/>
    <n v="75"/>
    <x v="1"/>
    <s v="Female"/>
    <s v="Multan"/>
    <x v="1"/>
    <s v="Dr. Ayesha"/>
    <d v="2024-07-24T00:00:00"/>
    <d v="2024-08-11T00:00:00"/>
    <n v="25000"/>
    <s v="Card"/>
    <s v="Under Treatment"/>
  </r>
  <r>
    <s v="Fariha Sheikh"/>
    <n v="26"/>
    <x v="0"/>
    <s v="Female"/>
    <s v="Unknown"/>
    <x v="5"/>
    <s v="Dr. Zubair"/>
    <d v="2024-08-06T00:00:00"/>
    <d v="2024-07-04T00:00:00"/>
    <n v="50000"/>
    <s v="Online Transfer"/>
    <s v="Recovered"/>
  </r>
  <r>
    <s v="Amna Ali"/>
    <n v="17"/>
    <x v="2"/>
    <s v="Female"/>
    <s v="Karachi"/>
    <x v="6"/>
    <s v="Dr. Imran"/>
    <d v="2024-05-21T00:00:00"/>
    <d v="2024-06-06T00:00:00"/>
    <n v="100000"/>
    <s v="Cash"/>
    <s v="Critical"/>
  </r>
  <r>
    <s v="Imran Javed"/>
    <n v="72"/>
    <x v="1"/>
    <s v="Female"/>
    <s v="Faisalabad"/>
    <x v="0"/>
    <s v="Dr. Ayesha"/>
    <d v="2024-03-17T00:00:00"/>
    <d v="2024-04-03T00:00:00"/>
    <n v="25000"/>
    <s v="Online Transfer"/>
    <s v="Critical"/>
  </r>
  <r>
    <s v="Usman Malik"/>
    <n v="88"/>
    <x v="1"/>
    <s v="Male"/>
    <s v="Islamabad"/>
    <x v="5"/>
    <s v="Dr. Sana"/>
    <d v="2024-01-17T00:00:00"/>
    <d v="2024-02-12T00:00:00"/>
    <n v="8000"/>
    <s v="Card"/>
    <s v="Under Treatment"/>
  </r>
  <r>
    <s v="Nida Abbasi"/>
    <n v="55"/>
    <x v="3"/>
    <s v="Male"/>
    <s v="Karachi"/>
    <x v="5"/>
    <s v="Dr. Imran"/>
    <d v="2024-05-07T00:00:00"/>
    <d v="2024-07-25T00:00:00"/>
    <n v="20000"/>
    <s v="Cash"/>
    <s v="Recovered"/>
  </r>
  <r>
    <s v="Ali Iqbal"/>
    <n v="45"/>
    <x v="3"/>
    <s v="Female"/>
    <s v="Multan"/>
    <x v="1"/>
    <s v="Dr. Imran"/>
    <d v="2024-01-27T00:00:00"/>
    <d v="2024-02-10T00:00:00"/>
    <n v="15000"/>
    <s v="Online Transfer"/>
    <s v="Discharged"/>
  </r>
  <r>
    <s v="Lubna Qureshi"/>
    <n v="35"/>
    <x v="0"/>
    <s v="Male"/>
    <s v="Lahore"/>
    <x v="1"/>
    <s v="Dr. Ayesha"/>
    <d v="2024-02-10T00:00:00"/>
    <d v="2024-10-15T00:00:00"/>
    <n v="5000"/>
    <s v="Insurance"/>
    <s v="Discharged"/>
  </r>
  <r>
    <s v="Imran Ahmed"/>
    <n v="44"/>
    <x v="3"/>
    <s v="Male"/>
    <s v="Multan"/>
    <x v="6"/>
    <s v="Dr. Imran"/>
    <d v="2024-08-09T00:00:00"/>
    <d v="2024-09-20T00:00:00"/>
    <n v="25000"/>
    <s v="Online Transfer"/>
    <s v="Recovered"/>
  </r>
  <r>
    <s v="Zara Siddiqui"/>
    <n v="22"/>
    <x v="0"/>
    <s v="Male"/>
    <s v="Faisalabad"/>
    <x v="3"/>
    <s v="Dr. Zubair"/>
    <d v="2024-07-14T00:00:00"/>
    <d v="2024-08-01T00:00:00"/>
    <n v="35000"/>
    <s v="Insurance"/>
    <s v="Recovered"/>
  </r>
  <r>
    <s v="Danish Abbasi"/>
    <n v="72"/>
    <x v="1"/>
    <s v="Male"/>
    <s v="Karachi"/>
    <x v="0"/>
    <s v="Dr. Farah"/>
    <d v="2024-01-06T00:00:00"/>
    <d v="2024-06-10T00:00:00"/>
    <n v="8000"/>
    <s v="Card"/>
    <s v="Under Treatment"/>
  </r>
  <r>
    <s v="Lubna Niazi"/>
    <n v="74"/>
    <x v="1"/>
    <s v="Female"/>
    <s v="Lahore"/>
    <x v="2"/>
    <s v="Dr. Ayesha"/>
    <d v="2024-06-09T00:00:00"/>
    <d v="2024-07-07T00:00:00"/>
    <n v="75000"/>
    <s v="Online Transfer"/>
    <s v="Discharged"/>
  </r>
  <r>
    <s v="Sobia Qureshi"/>
    <n v="56"/>
    <x v="3"/>
    <s v="Male"/>
    <s v="Islamabad"/>
    <x v="2"/>
    <s v="Dr. Ayesha"/>
    <d v="2024-07-16T00:00:00"/>
    <d v="2024-07-22T00:00:00"/>
    <n v="25000"/>
    <s v="Online Transfer"/>
    <s v="Under Treatment"/>
  </r>
  <r>
    <s v="Kamran Javed"/>
    <n v="8"/>
    <x v="2"/>
    <s v="Female"/>
    <s v="Peshawar"/>
    <x v="4"/>
    <s v="Dr. Tariq"/>
    <d v="2024-09-21T00:00:00"/>
    <d v="2024-09-29T00:00:00"/>
    <n v="25000"/>
    <s v="Insurance"/>
    <s v="Critical"/>
  </r>
  <r>
    <s v="Hamid Sheikh"/>
    <n v="32"/>
    <x v="0"/>
    <s v="Female"/>
    <s v="Lahore"/>
    <x v="4"/>
    <s v="Dr. Ayesha"/>
    <d v="2024-06-18T00:00:00"/>
    <d v="2024-07-16T00:00:00"/>
    <n v="20000"/>
    <s v="Online Transfer"/>
    <s v="Under Treatment"/>
  </r>
  <r>
    <s v="Rabia Ahmed"/>
    <n v="5"/>
    <x v="2"/>
    <s v="Male"/>
    <s v="Multan"/>
    <x v="3"/>
    <s v="Dr. Tariq"/>
    <d v="2024-05-21T00:00:00"/>
    <d v="2024-06-12T00:00:00"/>
    <n v="20000"/>
    <s v="Insurance"/>
    <s v="Critical"/>
  </r>
  <r>
    <s v="Fatima Hassan"/>
    <n v="20"/>
    <x v="0"/>
    <s v="Female"/>
    <s v="Karachi"/>
    <x v="3"/>
    <s v="Dr. Khalid"/>
    <d v="2024-08-16T00:00:00"/>
    <d v="2024-09-05T00:00:00"/>
    <n v="12000"/>
    <s v="Cash"/>
    <s v="Discharged"/>
  </r>
  <r>
    <s v="Asad Akhtar"/>
    <n v="83"/>
    <x v="1"/>
    <s v="Female"/>
    <s v="Peshawar"/>
    <x v="6"/>
    <s v="Dr. Imran"/>
    <d v="2024-09-07T00:00:00"/>
    <d v="2024-07-23T00:00:00"/>
    <n v="75000"/>
    <s v="Insurance"/>
    <s v="Recovered"/>
  </r>
  <r>
    <s v="Waqas Ahmed"/>
    <n v="67"/>
    <x v="1"/>
    <s v="Male"/>
    <s v="Peshawar"/>
    <x v="5"/>
    <s v="Dr. Imran"/>
    <d v="2024-02-24T00:00:00"/>
    <d v="2024-03-18T00:00:00"/>
    <n v="100000"/>
    <s v="Card"/>
    <s v="Critical"/>
  </r>
  <r>
    <s v="Imran Chaudhry"/>
    <n v="78"/>
    <x v="1"/>
    <s v="Female"/>
    <s v="Karachi"/>
    <x v="0"/>
    <s v="Dr. Farah"/>
    <d v="2024-06-01T00:00:00"/>
    <d v="2024-01-17T00:00:00"/>
    <n v="100000"/>
    <s v="Online Transfer"/>
    <s v="Discharged"/>
  </r>
  <r>
    <s v="Saima Malik"/>
    <n v="81"/>
    <x v="1"/>
    <s v="Female"/>
    <s v="Islamabad"/>
    <x v="6"/>
    <s v="Dr. Khalid"/>
    <d v="2024-07-19T00:00:00"/>
    <d v="2024-07-24T00:00:00"/>
    <n v="25000"/>
    <s v="Card"/>
    <s v="Recovered"/>
  </r>
  <r>
    <s v="Omer Akhtar"/>
    <n v="34"/>
    <x v="0"/>
    <s v="Female"/>
    <s v="Islamabad"/>
    <x v="1"/>
    <s v="Dr. Zubair"/>
    <d v="2024-09-09T00:00:00"/>
    <d v="2024-09-21T00:00:00"/>
    <n v="12000"/>
    <s v="Card"/>
    <s v="Under Treatment"/>
  </r>
  <r>
    <s v="Saima Nawaz"/>
    <n v="23"/>
    <x v="0"/>
    <s v="Male"/>
    <s v="Karachi"/>
    <x v="4"/>
    <s v="Dr. Tariq"/>
    <d v="2024-06-15T00:00:00"/>
    <d v="2024-07-11T00:00:00"/>
    <n v="12000"/>
    <s v="Insurance"/>
    <s v="Discharged"/>
  </r>
  <r>
    <s v="Sara Raza"/>
    <n v="11"/>
    <x v="2"/>
    <s v="Female"/>
    <s v="Faisalabad"/>
    <x v="5"/>
    <s v="Dr. Imran"/>
    <d v="2024-08-05T00:00:00"/>
    <d v="2024-05-26T00:00:00"/>
    <n v="100000"/>
    <s v="Online Transfer"/>
    <s v="Under Treatment"/>
  </r>
  <r>
    <s v="Zara Ansari"/>
    <n v="30"/>
    <x v="0"/>
    <s v="Male"/>
    <s v="Lahore"/>
    <x v="6"/>
    <s v="Dr. Zubair"/>
    <d v="2024-04-18T00:00:00"/>
    <d v="2024-04-25T00:00:00"/>
    <n v="75000"/>
    <s v="Insurance"/>
    <s v="Recovered"/>
  </r>
  <r>
    <s v="Nadia Nawaz"/>
    <n v="34"/>
    <x v="0"/>
    <s v="Female"/>
    <s v="Peshawar"/>
    <x v="0"/>
    <s v="Dr. Sana"/>
    <d v="2024-04-13T00:00:00"/>
    <d v="2024-05-09T00:00:00"/>
    <n v="50000"/>
    <s v="Card"/>
    <s v="Critical"/>
  </r>
  <r>
    <s v="Rabia Mirza"/>
    <s v="Unknown"/>
    <x v="4"/>
    <s v="Female"/>
    <s v="Quetta"/>
    <x v="1"/>
    <s v="Dr. Ayesha"/>
    <d v="2024-12-08T00:00:00"/>
    <d v="2024-08-30T00:00:00"/>
    <n v="75000"/>
    <s v="Insurance"/>
    <s v="Under Treatment"/>
  </r>
  <r>
    <s v="Tariq Siddiqui"/>
    <n v="35"/>
    <x v="0"/>
    <s v="Female"/>
    <s v="Faisalabad"/>
    <x v="2"/>
    <s v="Dr. Sana"/>
    <d v="2024-04-21T00:00:00"/>
    <d v="2024-05-17T00:00:00"/>
    <n v="35000"/>
    <s v="Online Transfer"/>
    <s v="Discharged"/>
  </r>
  <r>
    <s v="Ali Mirza"/>
    <n v="22"/>
    <x v="0"/>
    <s v="Female"/>
    <s v="Faisalabad"/>
    <x v="4"/>
    <s v="Dr. Sana"/>
    <d v="2024-05-17T00:00:00"/>
    <d v="2024-05-21T00:00:00"/>
    <n v="5000"/>
    <s v="Cash"/>
    <s v="Discharged"/>
  </r>
  <r>
    <s v="Amna Sheikh"/>
    <n v="75"/>
    <x v="1"/>
    <s v="Female"/>
    <s v="Quetta"/>
    <x v="2"/>
    <s v="Dr. Zubair"/>
    <d v="2024-01-29T00:00:00"/>
    <d v="2024-02-21T00:00:00"/>
    <n v="8000"/>
    <s v="Online Transfer"/>
    <s v="Under Treatment"/>
  </r>
  <r>
    <s v="Omer Bhatti"/>
    <n v="71"/>
    <x v="1"/>
    <s v="Female"/>
    <s v="Multan"/>
    <x v="1"/>
    <s v="Dr. Ayesha"/>
    <d v="2024-08-27T00:00:00"/>
    <d v="2024-09-07T00:00:00"/>
    <n v="75000"/>
    <s v="Cash"/>
    <s v="Under Treatment"/>
  </r>
  <r>
    <s v="Lubna Abbasi"/>
    <n v="1"/>
    <x v="2"/>
    <s v="Male"/>
    <s v="Peshawar"/>
    <x v="5"/>
    <s v="Dr. Farah"/>
    <d v="2024-10-01T00:00:00"/>
    <d v="2024-01-31T00:00:00"/>
    <n v="5000"/>
    <s v="Card"/>
    <s v="Under Treatment"/>
  </r>
  <r>
    <s v="Ali Niazi"/>
    <n v="43"/>
    <x v="3"/>
    <s v="Female"/>
    <s v="Faisalabad"/>
    <x v="0"/>
    <s v="Dr. Ayesha"/>
    <d v="2024-02-20T00:00:00"/>
    <d v="2024-03-10T00:00:00"/>
    <n v="100000"/>
    <s v="Online Transfer"/>
    <s v="Discharged"/>
  </r>
  <r>
    <s v="Nida Raza"/>
    <n v="62"/>
    <x v="1"/>
    <s v="Male"/>
    <s v="Quetta"/>
    <x v="6"/>
    <s v="Dr. Khalid"/>
    <d v="2024-10-09T00:00:00"/>
    <d v="2024-09-26T00:00:00"/>
    <n v="100000"/>
    <s v="Insurance"/>
    <s v="Discharged"/>
  </r>
  <r>
    <s v="Usman Butt"/>
    <n v="42"/>
    <x v="3"/>
    <s v="Male"/>
    <s v="Faisalabad"/>
    <x v="2"/>
    <s v="Dr. Zubair"/>
    <d v="2024-06-05T00:00:00"/>
    <d v="2024-05-10T00:00:00"/>
    <n v="15000"/>
    <s v="Online Transfer"/>
    <s v="Recovered"/>
  </r>
  <r>
    <s v="Zara Raza"/>
    <n v="13"/>
    <x v="2"/>
    <s v="Male"/>
    <s v="Peshawar"/>
    <x v="4"/>
    <s v="Dr. Imran"/>
    <d v="2024-10-07T00:00:00"/>
    <d v="2024-08-05T00:00:00"/>
    <n v="5000"/>
    <s v="Online Transfer"/>
    <s v="Under Treatment"/>
  </r>
  <r>
    <s v="Omer Sheikh"/>
    <n v="90"/>
    <x v="1"/>
    <s v="Female"/>
    <s v="Multan"/>
    <x v="4"/>
    <s v="Dr. Tariq"/>
    <d v="2024-03-07T00:00:00"/>
    <d v="2024-07-23T00:00:00"/>
    <n v="75000"/>
    <s v="Online Transfer"/>
    <s v="Under Treatment"/>
  </r>
  <r>
    <s v="Lubna Chaudhry"/>
    <n v="47"/>
    <x v="3"/>
    <s v="Male"/>
    <s v="Karachi"/>
    <x v="5"/>
    <s v="Dr. Farah"/>
    <d v="2024-04-14T00:00:00"/>
    <d v="2024-05-04T00:00:00"/>
    <n v="5000"/>
    <s v="Insurance"/>
    <s v="Under Treatment"/>
  </r>
  <r>
    <s v="Omer Iqbal"/>
    <n v="40"/>
    <x v="3"/>
    <s v="Female"/>
    <s v="Quetta"/>
    <x v="1"/>
    <s v="Dr. Imran"/>
    <d v="2024-03-05T00:00:00"/>
    <d v="2024-05-06T00:00:00"/>
    <n v="12000"/>
    <s v="Online Transfer"/>
    <s v="Discharged"/>
  </r>
  <r>
    <s v="Hassan Ansari"/>
    <n v="45"/>
    <x v="3"/>
    <s v="Male"/>
    <s v="Quetta"/>
    <x v="0"/>
    <s v="Dr. Zubair"/>
    <d v="2024-03-15T00:00:00"/>
    <d v="2024-04-03T00:00:00"/>
    <n v="50000"/>
    <s v="Online Transfer"/>
    <s v="Critical"/>
  </r>
  <r>
    <s v="Nadia Raza"/>
    <n v="31"/>
    <x v="0"/>
    <s v="Male"/>
    <s v="Multan"/>
    <x v="4"/>
    <s v="Dr. Imran"/>
    <d v="2024-06-07T00:00:00"/>
    <d v="2024-08-03T00:00:00"/>
    <n v="15000"/>
    <s v="Insurance"/>
    <s v="Under Treatment"/>
  </r>
  <r>
    <s v="Ali Akhtar"/>
    <n v="35"/>
    <x v="0"/>
    <s v="Male"/>
    <s v="Karachi"/>
    <x v="5"/>
    <s v="Dr. Ayesha"/>
    <d v="2024-07-25T00:00:00"/>
    <d v="2024-08-03T00:00:00"/>
    <n v="25000"/>
    <s v="Cash"/>
    <s v="Discharged"/>
  </r>
  <r>
    <s v="Lubna Iqbal"/>
    <n v="38"/>
    <x v="0"/>
    <s v="Female"/>
    <s v="Lahore"/>
    <x v="5"/>
    <s v="Dr. Tariq"/>
    <d v="2024-07-05T00:00:00"/>
    <d v="2024-05-12T00:00:00"/>
    <n v="75000"/>
    <s v="Online Transfer"/>
    <s v="Discharged"/>
  </r>
  <r>
    <s v="Sobia Raza"/>
    <n v="81"/>
    <x v="1"/>
    <s v="Male"/>
    <s v="Faisalabad"/>
    <x v="6"/>
    <s v="Dr. Zubair"/>
    <d v="2024-06-04T00:00:00"/>
    <d v="2024-05-04T00:00:00"/>
    <n v="12000"/>
    <s v="Unknown"/>
    <s v="Critical"/>
  </r>
  <r>
    <s v="Hina Niazi"/>
    <n v="5"/>
    <x v="2"/>
    <s v="Male"/>
    <s v="Quetta"/>
    <x v="5"/>
    <s v="Dr. Farah"/>
    <d v="2024-02-23T00:00:00"/>
    <d v="2024-02-28T00:00:00"/>
    <n v="5000"/>
    <s v="Insurance"/>
    <s v="Discharged"/>
  </r>
  <r>
    <s v="Tariq Javed"/>
    <n v="11"/>
    <x v="2"/>
    <s v="Male"/>
    <s v="Multan"/>
    <x v="3"/>
    <s v="Dr. Tariq"/>
    <d v="2024-01-02T00:00:00"/>
    <d v="2024-02-24T00:00:00"/>
    <n v="12000"/>
    <s v="Insurance"/>
    <s v="Recovered"/>
  </r>
  <r>
    <s v="Amna Abbasi"/>
    <n v="26"/>
    <x v="0"/>
    <s v="Female"/>
    <s v="Karachi"/>
    <x v="3"/>
    <s v="Dr. Tariq"/>
    <d v="2024-06-17T00:00:00"/>
    <d v="2024-06-18T00:00:00"/>
    <n v="15000"/>
    <s v="Card"/>
    <s v="Discharged"/>
  </r>
  <r>
    <s v="Danish Hassan"/>
    <n v="39"/>
    <x v="0"/>
    <s v="Male"/>
    <s v="Faisalabad"/>
    <x v="3"/>
    <s v="Dr. Ayesha"/>
    <d v="2024-04-06T00:00:00"/>
    <d v="2024-05-04T00:00:00"/>
    <n v="75000"/>
    <s v="Insurance"/>
    <s v="Recovered"/>
  </r>
  <r>
    <s v="Sobia Malik"/>
    <n v="66"/>
    <x v="1"/>
    <s v="Male"/>
    <s v="Islamabad"/>
    <x v="2"/>
    <s v="Dr. Ayesha"/>
    <d v="2024-01-03T00:00:00"/>
    <d v="2024-01-23T00:00:00"/>
    <n v="15000"/>
    <s v="Card"/>
    <s v="Discharged"/>
  </r>
  <r>
    <s v="Nida Sheikh"/>
    <n v="29"/>
    <x v="0"/>
    <s v="Female"/>
    <s v="Faisalabad"/>
    <x v="4"/>
    <s v="Dr. Tariq"/>
    <d v="2024-06-16T00:00:00"/>
    <d v="2024-06-27T00:00:00"/>
    <n v="100000"/>
    <s v="Online Transfer"/>
    <s v="Critical"/>
  </r>
  <r>
    <s v="Rabia Nawaz"/>
    <n v="49"/>
    <x v="3"/>
    <s v="Male"/>
    <s v="Peshawar"/>
    <x v="4"/>
    <s v="Dr. Tariq"/>
    <d v="2024-09-15T00:00:00"/>
    <d v="2024-09-25T00:00:00"/>
    <n v="100000"/>
    <s v="Card"/>
    <s v="Unknown"/>
  </r>
  <r>
    <s v="Hassan Bhatti"/>
    <s v="Unknown"/>
    <x v="4"/>
    <s v="Male"/>
    <s v="Multan"/>
    <x v="5"/>
    <s v="Dr. Khalid"/>
    <d v="2024-04-28T00:00:00"/>
    <d v="2024-05-04T00:00:00"/>
    <n v="100000"/>
    <s v="Cash"/>
    <s v="Recovered"/>
  </r>
  <r>
    <s v="Imran Hassan"/>
    <n v="82"/>
    <x v="1"/>
    <s v="Female"/>
    <s v="Karachi"/>
    <x v="5"/>
    <s v="Dr. Tariq"/>
    <d v="2024-08-14T00:00:00"/>
    <d v="2024-08-26T00:00:00"/>
    <n v="25000"/>
    <s v="Online Transfer"/>
    <s v="Recovered"/>
  </r>
  <r>
    <s v="Nida Nawaz"/>
    <n v="56"/>
    <x v="3"/>
    <s v="Male"/>
    <s v="Peshawar"/>
    <x v="6"/>
    <s v="Dr. Ayesha"/>
    <d v="2024-05-31T00:00:00"/>
    <d v="2024-06-17T00:00:00"/>
    <n v="15000"/>
    <s v="Online Transfer"/>
    <s v="Under Treatment"/>
  </r>
  <r>
    <s v="Nida Siddiqui"/>
    <n v="52"/>
    <x v="3"/>
    <s v="Female"/>
    <s v="Multan"/>
    <x v="6"/>
    <s v="Dr. Zubair"/>
    <d v="2024-08-23T00:00:00"/>
    <d v="2024-08-24T00:00:00"/>
    <n v="0"/>
    <s v="Insurance"/>
    <s v="Discharged"/>
  </r>
  <r>
    <s v="Fariha Qureshi"/>
    <n v="52"/>
    <x v="3"/>
    <s v="Male"/>
    <s v="Peshawar"/>
    <x v="5"/>
    <s v="Dr. Tariq"/>
    <d v="2024-04-06T00:00:00"/>
    <d v="2024-06-10T00:00:00"/>
    <n v="50000"/>
    <s v="Online Transfer"/>
    <s v="Critical"/>
  </r>
  <r>
    <s v="Amna Siddiqui"/>
    <n v="70"/>
    <x v="1"/>
    <s v="Male"/>
    <s v="Faisalabad"/>
    <x v="6"/>
    <s v="Dr. Khalid"/>
    <d v="2024-03-26T00:00:00"/>
    <d v="2024-04-09T00:00:00"/>
    <n v="8000"/>
    <s v="Cash"/>
    <s v="Critical"/>
  </r>
  <r>
    <s v="Zubair Malik"/>
    <n v="87"/>
    <x v="1"/>
    <s v="Male"/>
    <s v="Multan"/>
    <x v="1"/>
    <s v="Dr. Imran"/>
    <d v="2024-05-29T00:00:00"/>
    <d v="2024-06-28T00:00:00"/>
    <n v="20000"/>
    <s v="Card"/>
    <s v="Recovered"/>
  </r>
  <r>
    <s v="Waqas Ansari"/>
    <n v="25"/>
    <x v="0"/>
    <s v="Female"/>
    <s v="Lahore"/>
    <x v="5"/>
    <s v="Dr. Khalid"/>
    <d v="2024-04-02T00:00:00"/>
    <d v="2024-02-23T00:00:00"/>
    <n v="35000"/>
    <s v="Online Transfer"/>
    <s v="Under Treatment"/>
  </r>
  <r>
    <s v="Nida Hassan"/>
    <n v="14"/>
    <x v="2"/>
    <s v="Female"/>
    <s v="Peshawar"/>
    <x v="2"/>
    <s v="Dr. Imran"/>
    <d v="2024-04-21T00:00:00"/>
    <d v="2024-04-25T00:00:00"/>
    <n v="5000"/>
    <s v="Online Transfer"/>
    <s v="Recovered"/>
  </r>
  <r>
    <s v="Nida Hassan"/>
    <n v="14"/>
    <x v="2"/>
    <s v="Female"/>
    <s v="Peshawar"/>
    <x v="2"/>
    <s v="Dr. Imran"/>
    <d v="2024-04-21T00:00:00"/>
    <d v="2024-04-25T00:00:00"/>
    <n v="5000"/>
    <s v="Online Transfer"/>
    <s v="Recovered"/>
  </r>
  <r>
    <s v="Omer Bhatti"/>
    <n v="83"/>
    <x v="1"/>
    <s v="Male"/>
    <s v="Peshawar"/>
    <x v="5"/>
    <s v="Dr. Zubair"/>
    <d v="2024-07-15T00:00:00"/>
    <d v="2024-08-01T00:00:00"/>
    <n v="8000"/>
    <s v="Cash"/>
    <s v="Under Treatment"/>
  </r>
  <r>
    <s v="Nadia Javed"/>
    <n v="72"/>
    <x v="1"/>
    <s v="Unknown"/>
    <s v="Multan"/>
    <x v="3"/>
    <s v="Dr. Tariq"/>
    <d v="2024-09-30T00:00:00"/>
    <d v="2024-10-04T00:00:00"/>
    <n v="5000"/>
    <s v="Card"/>
    <s v="Recovered"/>
  </r>
  <r>
    <s v="Waqas Qureshi"/>
    <n v="56"/>
    <x v="3"/>
    <s v="Female"/>
    <s v="Peshawar"/>
    <x v="5"/>
    <s v="Dr. Imran"/>
    <d v="2024-10-15T00:00:00"/>
    <d v="2024-11-08T00:00:00"/>
    <n v="100000"/>
    <s v="Cash"/>
    <s v="Discharged"/>
  </r>
  <r>
    <s v="Danish Qureshi"/>
    <n v="37"/>
    <x v="0"/>
    <s v="Male"/>
    <s v="Peshawar"/>
    <x v="6"/>
    <s v="Dr. Zubair"/>
    <d v="2024-04-17T00:00:00"/>
    <d v="2024-04-29T00:00:00"/>
    <n v="15000"/>
    <s v="Card"/>
    <s v="Recovered"/>
  </r>
  <r>
    <s v="Danish Raza"/>
    <n v="68"/>
    <x v="1"/>
    <s v="Female"/>
    <s v="Islamabad"/>
    <x v="3"/>
    <s v="Dr. Imran"/>
    <d v="2024-02-05T00:00:00"/>
    <d v="2024-05-30T00:00:00"/>
    <n v="15000"/>
    <s v="Online Transfer"/>
    <s v="Critical"/>
  </r>
  <r>
    <s v="Usman Nawaz"/>
    <n v="54"/>
    <x v="3"/>
    <s v="Female"/>
    <s v="Karachi"/>
    <x v="6"/>
    <s v="Dr. Khalid"/>
    <d v="2024-05-13T00:00:00"/>
    <d v="2024-05-20T00:00:00"/>
    <n v="5000"/>
    <s v="Insurance"/>
    <s v="Recovered"/>
  </r>
  <r>
    <s v="Mehwish Javed"/>
    <n v="80"/>
    <x v="1"/>
    <s v="Female"/>
    <s v="Karachi"/>
    <x v="1"/>
    <s v="Dr. Ayesha"/>
    <d v="2024-04-04T00:00:00"/>
    <d v="2024-04-12T00:00:00"/>
    <n v="25000"/>
    <s v="Cash"/>
    <s v="Recovered"/>
  </r>
  <r>
    <s v="Danish Akhtar"/>
    <n v="38"/>
    <x v="0"/>
    <s v="Male"/>
    <s v="Multan"/>
    <x v="0"/>
    <s v="Dr. Farah"/>
    <d v="2024-03-10T00:00:00"/>
    <d v="2024-11-01T00:00:00"/>
    <n v="20000"/>
    <s v="Cash"/>
    <s v="Under Treatment"/>
  </r>
  <r>
    <s v="Hamid Hassan"/>
    <n v="89"/>
    <x v="1"/>
    <s v="Male"/>
    <s v="Faisalabad"/>
    <x v="4"/>
    <s v="Dr. Zubair"/>
    <d v="2024-04-07T00:00:00"/>
    <d v="2024-07-25T00:00:00"/>
    <n v="20000"/>
    <s v="Insurance"/>
    <s v="Discharged"/>
  </r>
  <r>
    <s v="Ali Hassan"/>
    <n v="32"/>
    <x v="0"/>
    <s v="Female"/>
    <s v="Quetta"/>
    <x v="1"/>
    <s v="Dr. Zubair"/>
    <d v="2024-09-02T00:00:00"/>
    <d v="2024-02-21T00:00:00"/>
    <n v="5000"/>
    <s v="Card"/>
    <s v="Recovered"/>
  </r>
  <r>
    <s v="Sana Butt"/>
    <n v="44"/>
    <x v="3"/>
    <s v="Female"/>
    <s v="Karachi"/>
    <x v="5"/>
    <s v="Dr. Imran"/>
    <d v="2024-05-08T00:00:00"/>
    <d v="2024-08-18T00:00:00"/>
    <n v="15000"/>
    <s v="Cash"/>
    <s v="Under Treatment"/>
  </r>
  <r>
    <s v="Sobia Ali"/>
    <n v="32"/>
    <x v="0"/>
    <s v="Male"/>
    <s v="Lahore"/>
    <x v="3"/>
    <s v="Dr. Sana"/>
    <d v="2024-01-30T00:00:00"/>
    <d v="2024-02-25T00:00:00"/>
    <n v="75000"/>
    <s v="Cash"/>
    <s v="Discharged"/>
  </r>
  <r>
    <s v="Omer Raza"/>
    <n v="72"/>
    <x v="1"/>
    <s v="Male"/>
    <s v="Faisalabad"/>
    <x v="6"/>
    <s v="Dr. Farah"/>
    <d v="2024-04-24T00:00:00"/>
    <d v="2024-05-13T00:00:00"/>
    <n v="5000"/>
    <s v="Card"/>
    <s v="Discharged"/>
  </r>
  <r>
    <s v="Lubna Nawaz"/>
    <n v="41"/>
    <x v="3"/>
    <s v="Male"/>
    <s v="Quetta"/>
    <x v="6"/>
    <s v="Dr. Farah"/>
    <d v="2024-02-15T00:00:00"/>
    <d v="2024-02-20T00:00:00"/>
    <n v="50000"/>
    <s v="Insurance"/>
    <s v="Critical"/>
  </r>
  <r>
    <s v="Hina Sheikh"/>
    <n v="8"/>
    <x v="2"/>
    <s v="Male"/>
    <s v="Islamabad"/>
    <x v="3"/>
    <s v="Dr. Zubair"/>
    <d v="2024-06-27T00:00:00"/>
    <d v="2024-07-04T00:00:00"/>
    <n v="75000"/>
    <s v="Cash"/>
    <s v="Critical"/>
  </r>
  <r>
    <s v="Zubair Khan"/>
    <n v="73"/>
    <x v="1"/>
    <s v="Female"/>
    <s v="Islamabad"/>
    <x v="3"/>
    <s v="Dr. Imran"/>
    <d v="2024-04-28T00:00:00"/>
    <d v="2024-05-06T00:00:00"/>
    <n v="75000"/>
    <s v="Insurance"/>
    <s v="Critical"/>
  </r>
  <r>
    <s v="Fariha Nawaz"/>
    <n v="90"/>
    <x v="1"/>
    <s v="Male"/>
    <s v="Quetta"/>
    <x v="4"/>
    <s v="Dr. Tariq"/>
    <d v="2024-03-15T00:00:00"/>
    <d v="2024-03-21T00:00:00"/>
    <n v="15000"/>
    <s v="Card"/>
    <s v="Under Treatment"/>
  </r>
  <r>
    <s v="Ali Ansari"/>
    <n v="14"/>
    <x v="2"/>
    <s v="Unknown"/>
    <s v="Multan"/>
    <x v="6"/>
    <s v="Dr. Khalid"/>
    <d v="2024-04-04T00:00:00"/>
    <d v="2024-04-11T00:00:00"/>
    <n v="5000"/>
    <s v="Card"/>
    <s v="Critical"/>
  </r>
  <r>
    <s v="Asad Malik"/>
    <n v="86"/>
    <x v="1"/>
    <s v="Female"/>
    <s v="Islamabad"/>
    <x v="1"/>
    <s v="Dr. Khalid"/>
    <d v="2024-01-25T00:00:00"/>
    <d v="2024-02-14T00:00:00"/>
    <n v="35000"/>
    <s v="Insurance"/>
    <s v="Recovered"/>
  </r>
  <r>
    <s v="Waqas Ansari"/>
    <s v="Unknown"/>
    <x v="4"/>
    <s v="Female"/>
    <s v="Islamabad"/>
    <x v="3"/>
    <s v="Dr. Zubair"/>
    <d v="2024-06-16T00:00:00"/>
    <d v="2024-07-10T00:00:00"/>
    <n v="12000"/>
    <s v="Insurance"/>
    <s v="Critical"/>
  </r>
  <r>
    <s v="Waqas Mirza"/>
    <n v="65"/>
    <x v="1"/>
    <s v="Female"/>
    <s v="Peshawar"/>
    <x v="5"/>
    <s v="Dr. Imran"/>
    <d v="2024-05-06T00:00:00"/>
    <d v="2024-06-30T00:00:00"/>
    <n v="50000"/>
    <s v="Cash"/>
    <s v="Critical"/>
  </r>
  <r>
    <s v="Asad Khan"/>
    <n v="6"/>
    <x v="2"/>
    <s v="Female"/>
    <s v="Islamabad"/>
    <x v="6"/>
    <s v="Dr. Farah"/>
    <d v="2024-07-31T00:00:00"/>
    <d v="2024-08-16T00:00:00"/>
    <n v="15000"/>
    <s v="Cash"/>
    <s v="Discharged"/>
  </r>
  <r>
    <s v="Uzma Mirza"/>
    <n v="60"/>
    <x v="1"/>
    <s v="Female"/>
    <s v="Faisalabad"/>
    <x v="0"/>
    <s v="Dr. Imran"/>
    <d v="2024-07-15T00:00:00"/>
    <d v="2024-07-19T00:00:00"/>
    <n v="50000"/>
    <s v="Insurance"/>
    <s v="Discharged"/>
  </r>
  <r>
    <s v="Nadia Raza"/>
    <n v="3"/>
    <x v="2"/>
    <s v="Male"/>
    <s v="Lahore"/>
    <x v="1"/>
    <s v="Dr. Zubair"/>
    <d v="2024-09-09T00:00:00"/>
    <d v="2024-09-14T00:00:00"/>
    <n v="12000"/>
    <s v="Insurance"/>
    <s v="Discharged"/>
  </r>
  <r>
    <s v="Saima Ansari"/>
    <n v="80"/>
    <x v="1"/>
    <s v="Male"/>
    <s v="Quetta"/>
    <x v="5"/>
    <s v="Dr. Ayesha"/>
    <d v="2024-03-22T00:00:00"/>
    <d v="2024-04-15T00:00:00"/>
    <n v="8000"/>
    <s v="Online Transfer"/>
    <s v="Under Treatment"/>
  </r>
  <r>
    <s v="Asad Nawaz"/>
    <n v="17"/>
    <x v="2"/>
    <s v="Female"/>
    <s v="Islamabad"/>
    <x v="4"/>
    <s v="Dr. Imran"/>
    <d v="2024-02-20T00:00:00"/>
    <d v="2024-02-23T00:00:00"/>
    <n v="5000"/>
    <s v="Cash"/>
    <s v="Recovered"/>
  </r>
  <r>
    <s v="Hamid Akhtar"/>
    <n v="34"/>
    <x v="0"/>
    <s v="Female"/>
    <s v="Quetta"/>
    <x v="3"/>
    <s v="Dr. Khalid"/>
    <d v="2024-10-23T00:00:00"/>
    <d v="2024-11-14T00:00:00"/>
    <n v="100000"/>
    <s v="Cash"/>
    <s v="Recovered"/>
  </r>
  <r>
    <s v="Mehwish Iqbal"/>
    <n v="49"/>
    <x v="3"/>
    <s v="Male"/>
    <s v="Unknown"/>
    <x v="2"/>
    <s v="Dr. Ayesha"/>
    <d v="2024-09-03T00:00:00"/>
    <d v="2024-04-06T00:00:00"/>
    <n v="25000"/>
    <s v="Insurance"/>
    <s v="Under Treatment"/>
  </r>
  <r>
    <s v="Sobia Ansari"/>
    <n v="17"/>
    <x v="2"/>
    <s v="Male"/>
    <s v="Faisalabad"/>
    <x v="0"/>
    <s v="Dr. Tariq"/>
    <d v="2024-03-13T00:00:00"/>
    <d v="2024-03-20T00:00:00"/>
    <n v="35000"/>
    <s v="Cash"/>
    <s v="Under Treatment"/>
  </r>
  <r>
    <s v="Hina Malik"/>
    <n v="57"/>
    <x v="3"/>
    <s v="Female"/>
    <s v="Multan"/>
    <x v="1"/>
    <s v="Dr. Zubair"/>
    <d v="2024-01-20T00:00:00"/>
    <d v="2024-01-30T00:00:00"/>
    <n v="100000"/>
    <s v="Insurance"/>
    <s v="Discharged"/>
  </r>
  <r>
    <s v="Rabia Bhatti"/>
    <n v="10"/>
    <x v="2"/>
    <s v="Male"/>
    <s v="Peshawar"/>
    <x v="0"/>
    <s v="Dr. Farah"/>
    <d v="2024-08-06T00:00:00"/>
    <d v="2024-07-08T00:00:00"/>
    <n v="15000"/>
    <s v="Card"/>
    <s v="Recovered"/>
  </r>
  <r>
    <s v="Omer Mirza"/>
    <n v="24"/>
    <x v="0"/>
    <s v="Female"/>
    <s v="Islamabad"/>
    <x v="6"/>
    <s v="Dr. Imran"/>
    <d v="2024-07-21T00:00:00"/>
    <d v="2024-08-10T00:00:00"/>
    <n v="100000"/>
    <s v="Online Transfer"/>
    <s v="Recovered"/>
  </r>
  <r>
    <s v="Mehwish Raza"/>
    <n v="14"/>
    <x v="2"/>
    <s v="Female"/>
    <s v="Islamabad"/>
    <x v="2"/>
    <s v="Dr. Sana"/>
    <d v="2024-07-05T00:00:00"/>
    <d v="2024-05-08T00:00:00"/>
    <n v="25000"/>
    <s v="Cash"/>
    <s v="Under Treatment"/>
  </r>
  <r>
    <s v="Danish Khan"/>
    <n v="51"/>
    <x v="3"/>
    <s v="Female"/>
    <s v="Faisalabad"/>
    <x v="4"/>
    <s v="Dr. Imran"/>
    <d v="2024-05-17T00:00:00"/>
    <d v="2024-05-22T00:00:00"/>
    <n v="5000"/>
    <s v="Insurance"/>
    <s v="Critical"/>
  </r>
  <r>
    <s v="Danish Bhatti"/>
    <n v="64"/>
    <x v="1"/>
    <s v="Female"/>
    <s v="Islamabad"/>
    <x v="2"/>
    <s v="Dr. Khalid"/>
    <d v="2024-01-22T00:00:00"/>
    <d v="2024-02-14T00:00:00"/>
    <n v="25000"/>
    <s v="Online Transfer"/>
    <s v="Recovered"/>
  </r>
  <r>
    <s v="Ali Javed"/>
    <n v="1"/>
    <x v="2"/>
    <s v="Female"/>
    <s v="Faisalabad"/>
    <x v="0"/>
    <s v="Dr. Ayesha"/>
    <d v="2024-05-28T00:00:00"/>
    <d v="2024-06-26T00:00:00"/>
    <n v="15000"/>
    <s v="Online Transfer"/>
    <s v="Critical"/>
  </r>
  <r>
    <s v="Fatima Niazi"/>
    <n v="17"/>
    <x v="2"/>
    <s v="Female"/>
    <s v="Multan"/>
    <x v="3"/>
    <s v="Dr. Farah"/>
    <d v="2024-01-16T00:00:00"/>
    <d v="2024-01-24T00:00:00"/>
    <n v="8000"/>
    <s v="Online Transfer"/>
    <s v="Recovered"/>
  </r>
  <r>
    <s v="Nida Iqbal"/>
    <n v="43"/>
    <x v="3"/>
    <s v="Male"/>
    <s v="Faisalabad"/>
    <x v="4"/>
    <s v="Dr. Farah"/>
    <d v="2024-07-01T00:00:00"/>
    <d v="2024-01-12T00:00:00"/>
    <n v="5000"/>
    <s v="Online Transfer"/>
    <s v="Discharged"/>
  </r>
  <r>
    <s v="Sobia Butt"/>
    <n v="6"/>
    <x v="2"/>
    <s v="Male"/>
    <s v="Peshawar"/>
    <x v="2"/>
    <s v="Dr. Imran"/>
    <d v="2024-05-02T00:00:00"/>
    <d v="2024-02-28T00:00:00"/>
    <n v="25000"/>
    <s v="Cash"/>
    <s v="Under Treatment"/>
  </r>
  <r>
    <s v="Rabia Ansari"/>
    <n v="13"/>
    <x v="2"/>
    <s v="Male"/>
    <s v="Islamabad"/>
    <x v="1"/>
    <s v="Dr. Imran"/>
    <d v="2024-01-31T00:00:00"/>
    <d v="2024-02-23T00:00:00"/>
    <n v="50000"/>
    <s v="Card"/>
    <s v="Discharged"/>
  </r>
  <r>
    <s v="Hina Nawaz"/>
    <n v="84"/>
    <x v="1"/>
    <s v="Female"/>
    <s v="Quetta"/>
    <x v="0"/>
    <s v="Dr. Sana"/>
    <d v="2024-08-23T00:00:00"/>
    <d v="2024-09-18T00:00:00"/>
    <n v="12000"/>
    <s v="Online Transfer"/>
    <s v="Discharged"/>
  </r>
  <r>
    <s v="Nadia Ahmed"/>
    <n v="35"/>
    <x v="0"/>
    <s v="Male"/>
    <s v="Multan"/>
    <x v="2"/>
    <s v="Dr. Imran"/>
    <d v="2024-08-01T00:00:00"/>
    <d v="2024-01-26T00:00:00"/>
    <n v="15000"/>
    <s v="Online Transfer"/>
    <s v="Recovered"/>
  </r>
  <r>
    <s v="Hamid Raza"/>
    <n v="84"/>
    <x v="1"/>
    <s v="Female"/>
    <s v="Peshawar"/>
    <x v="4"/>
    <s v="Dr. Zubair"/>
    <d v="2024-05-23T00:00:00"/>
    <d v="2024-06-07T00:00:00"/>
    <n v="75000"/>
    <s v="Cash"/>
    <s v="Under Treatment"/>
  </r>
  <r>
    <s v="Sobia Malik"/>
    <s v="Unknown"/>
    <x v="4"/>
    <s v="Female"/>
    <s v="Multan"/>
    <x v="6"/>
    <s v="Dr. Zubair"/>
    <d v="2024-12-07T00:00:00"/>
    <d v="2024-07-23T00:00:00"/>
    <n v="5000"/>
    <s v="Card"/>
    <s v="Recovered"/>
  </r>
  <r>
    <s v="Nida Javed"/>
    <n v="1"/>
    <x v="2"/>
    <s v="Male"/>
    <s v="Peshawar"/>
    <x v="4"/>
    <s v="Dr. Zubair"/>
    <d v="2024-09-13T00:00:00"/>
    <d v="2024-09-29T00:00:00"/>
    <n v="8000"/>
    <s v="Insurance"/>
    <s v="Discharged"/>
  </r>
  <r>
    <s v="Uzma Iqbal"/>
    <n v="70"/>
    <x v="1"/>
    <s v="Female"/>
    <s v="Karachi"/>
    <x v="0"/>
    <s v="Dr. Khalid"/>
    <d v="2024-03-24T00:00:00"/>
    <d v="2024-04-11T00:00:00"/>
    <n v="20000"/>
    <s v="Cash"/>
    <s v="Under Treatment"/>
  </r>
  <r>
    <s v="Fariha Butt"/>
    <n v="46"/>
    <x v="3"/>
    <s v="Female"/>
    <s v="Quetta"/>
    <x v="5"/>
    <s v="Dr. Imran"/>
    <d v="2024-09-10T00:00:00"/>
    <d v="2024-11-03T00:00:00"/>
    <n v="20000"/>
    <s v="Online Transfer"/>
    <s v="Recovered"/>
  </r>
  <r>
    <s v="Lubna Qureshi"/>
    <n v="78"/>
    <x v="1"/>
    <s v="Male"/>
    <s v="Karachi"/>
    <x v="0"/>
    <s v="Dr. Khalid"/>
    <d v="2024-03-23T00:00:00"/>
    <d v="2024-04-15T00:00:00"/>
    <n v="50000"/>
    <s v="Online Transfer"/>
    <s v="Under Treatment"/>
  </r>
  <r>
    <s v="Asad Iqbal"/>
    <n v="12"/>
    <x v="2"/>
    <s v="Male"/>
    <s v="Karachi"/>
    <x v="3"/>
    <s v="Dr. Ayesha"/>
    <d v="2024-07-28T00:00:00"/>
    <d v="2024-08-12T00:00:00"/>
    <n v="15000"/>
    <s v="Cash"/>
    <s v="Critical"/>
  </r>
  <r>
    <s v="Ali Raza"/>
    <n v="80"/>
    <x v="1"/>
    <s v="Male"/>
    <s v="Quetta"/>
    <x v="3"/>
    <s v="Dr. Khalid"/>
    <d v="2024-07-22T00:00:00"/>
    <d v="2024-07-23T00:00:00"/>
    <n v="5000"/>
    <s v="Insurance"/>
    <s v="Recovered"/>
  </r>
  <r>
    <s v="Imran Niazi"/>
    <n v="1"/>
    <x v="2"/>
    <s v="Male"/>
    <s v="Lahore"/>
    <x v="1"/>
    <s v="Dr. Farah"/>
    <d v="2024-08-20T00:00:00"/>
    <d v="2024-09-19T00:00:00"/>
    <n v="35000"/>
    <s v="Cash"/>
    <s v="Critical"/>
  </r>
  <r>
    <s v="Hamid Butt"/>
    <s v="Unknown"/>
    <x v="4"/>
    <s v="Female"/>
    <s v="Quetta"/>
    <x v="6"/>
    <s v="Dr. Khalid"/>
    <d v="2024-04-07T00:00:00"/>
    <d v="2024-07-08T00:00:00"/>
    <n v="12000"/>
    <s v="Insurance"/>
    <s v="Critical"/>
  </r>
  <r>
    <s v="Danish Ali"/>
    <n v="31"/>
    <x v="0"/>
    <s v="Female"/>
    <s v="Lahore"/>
    <x v="0"/>
    <s v="Dr. Zubair"/>
    <d v="2024-07-15T00:00:00"/>
    <d v="2024-08-04T00:00:00"/>
    <n v="8000"/>
    <s v="Card"/>
    <s v="Critical"/>
  </r>
  <r>
    <s v="Lubna Chaudhry"/>
    <n v="46"/>
    <x v="3"/>
    <s v="Male"/>
    <s v="Karachi"/>
    <x v="3"/>
    <s v="Dr. Sana"/>
    <d v="2024-06-23T00:00:00"/>
    <d v="2024-07-22T00:00:00"/>
    <n v="20000"/>
    <s v="Cash"/>
    <s v="Under Treatment"/>
  </r>
  <r>
    <s v="Ahmed Ali"/>
    <n v="47"/>
    <x v="3"/>
    <s v="Male"/>
    <s v="Multan"/>
    <x v="3"/>
    <s v="Dr. Sana"/>
    <d v="2024-12-03T00:00:00"/>
    <d v="2024-03-30T00:00:00"/>
    <n v="35000"/>
    <s v="Online Transfer"/>
    <s v="Under Treatment"/>
  </r>
  <r>
    <s v="Sobia Raza"/>
    <n v="39"/>
    <x v="0"/>
    <s v="Female"/>
    <s v="Faisalabad"/>
    <x v="0"/>
    <s v="Dr. Khalid"/>
    <d v="2024-05-19T00:00:00"/>
    <d v="2024-05-24T00:00:00"/>
    <n v="25000"/>
    <s v="Insurance"/>
    <s v="Critical"/>
  </r>
  <r>
    <s v="UsMalean Niazi"/>
    <n v="37"/>
    <x v="0"/>
    <s v="Male"/>
    <s v="Islamabad"/>
    <x v="2"/>
    <s v="Dr. Khalid"/>
    <d v="2024-05-21T00:00:00"/>
    <d v="2024-05-28T00:00:00"/>
    <n v="50000"/>
    <s v="Cash"/>
    <s v="Under Treatment"/>
  </r>
  <r>
    <s v="Kamran Raza"/>
    <n v="26"/>
    <x v="0"/>
    <s v="Female"/>
    <s v="Karachi"/>
    <x v="2"/>
    <s v="Dr. Ayesha"/>
    <d v="2024-10-04T00:00:00"/>
    <d v="2024-05-03T00:00:00"/>
    <n v="50000"/>
    <s v="Insurance"/>
    <s v="Discharged"/>
  </r>
  <r>
    <s v="Hamid Ali"/>
    <n v="51"/>
    <x v="3"/>
    <s v="Male"/>
    <s v="Peshawar"/>
    <x v="1"/>
    <s v="Dr. Ayesha"/>
    <d v="2024-05-01T00:00:00"/>
    <d v="2024-01-11T00:00:00"/>
    <n v="75000"/>
    <s v="Cash"/>
    <s v="Discharged"/>
  </r>
  <r>
    <s v="Ali Siddiqui"/>
    <n v="85"/>
    <x v="1"/>
    <s v="Female"/>
    <s v="Quetta"/>
    <x v="4"/>
    <s v="Dr. Imran"/>
    <d v="2024-01-06T00:00:00"/>
    <d v="2024-06-25T00:00:00"/>
    <n v="5000"/>
    <s v="Cash"/>
    <s v="Recovered"/>
  </r>
  <r>
    <s v="Hamid Malik"/>
    <n v="30"/>
    <x v="0"/>
    <s v="Female"/>
    <s v="Peshawar"/>
    <x v="0"/>
    <s v="Dr. Imran"/>
    <d v="2024-11-08T00:00:00"/>
    <d v="2024-08-19T00:00:00"/>
    <n v="35000"/>
    <s v="Online Transfer"/>
    <s v="Under Treatment"/>
  </r>
  <r>
    <s v="Nadia Nawaz"/>
    <n v="88"/>
    <x v="1"/>
    <s v="Female"/>
    <s v="Faisalabad"/>
    <x v="1"/>
    <s v="Dr. Zubair"/>
    <d v="2024-07-02T00:00:00"/>
    <d v="2024-02-19T00:00:00"/>
    <n v="20000"/>
    <s v="Insurance"/>
    <s v="Under Treatment"/>
  </r>
  <r>
    <s v="Usman Siddiqui"/>
    <n v="33"/>
    <x v="0"/>
    <s v="Male"/>
    <s v="Quetta"/>
    <x v="6"/>
    <s v="Dr. Ayesha"/>
    <d v="2024-01-13T00:00:00"/>
    <d v="2024-02-12T00:00:00"/>
    <n v="25000"/>
    <s v="Card"/>
    <s v="Under Treatment"/>
  </r>
  <r>
    <s v="Farhan Niazi"/>
    <n v="22"/>
    <x v="0"/>
    <s v="Female"/>
    <s v="Faisalabad"/>
    <x v="2"/>
    <s v="Dr. Sana"/>
    <d v="2024-04-15T00:00:00"/>
    <d v="2024-05-10T00:00:00"/>
    <n v="25000"/>
    <s v="Insurance"/>
    <s v="Discharged"/>
  </r>
  <r>
    <s v="Asad Ansari"/>
    <n v="20"/>
    <x v="0"/>
    <s v="Female"/>
    <s v="Quetta"/>
    <x v="1"/>
    <s v="Dr. Sana"/>
    <d v="2024-08-04T00:00:00"/>
    <d v="2024-04-09T00:00:00"/>
    <n v="75000"/>
    <s v="Online Transfer"/>
    <s v="Recovered"/>
  </r>
  <r>
    <s v="Hina Raza"/>
    <n v="21"/>
    <x v="0"/>
    <s v="Male"/>
    <s v="Karachi"/>
    <x v="3"/>
    <s v="Dr. Ayesha"/>
    <d v="2024-10-13T00:00:00"/>
    <d v="2024-11-06T00:00:00"/>
    <n v="35000"/>
    <s v="Cash"/>
    <s v="Under Treatment"/>
  </r>
  <r>
    <s v="Danish Chaudhry"/>
    <n v="63"/>
    <x v="1"/>
    <s v="Male"/>
    <s v="Multan"/>
    <x v="5"/>
    <s v="Dr. Tariq"/>
    <d v="2024-03-10T00:00:00"/>
    <d v="2024-10-09T00:00:00"/>
    <n v="20000"/>
    <s v="Online Transfer"/>
    <s v="Critical"/>
  </r>
  <r>
    <s v="Mehwish Ali"/>
    <n v="9"/>
    <x v="2"/>
    <s v="Female"/>
    <s v="Multan"/>
    <x v="3"/>
    <s v="Dr. Khalid"/>
    <d v="2024-09-22T00:00:00"/>
    <d v="2024-09-28T00:00:00"/>
    <n v="8000"/>
    <s v="Online Transfer"/>
    <s v="Critical"/>
  </r>
  <r>
    <s v="Lubna Abbasi"/>
    <n v="67"/>
    <x v="1"/>
    <s v="Male"/>
    <s v="Lahore"/>
    <x v="6"/>
    <s v="Dr. Tariq"/>
    <d v="2024-02-28T00:00:00"/>
    <d v="2024-03-15T00:00:00"/>
    <n v="100000"/>
    <s v="Card"/>
    <s v="Under Treatment"/>
  </r>
  <r>
    <s v="Fatima Mirza"/>
    <n v="10"/>
    <x v="2"/>
    <s v="Male"/>
    <s v="Quetta"/>
    <x v="0"/>
    <s v="Dr. Sana"/>
    <d v="2024-02-01T00:00:00"/>
    <d v="2024-03-01T00:00:00"/>
    <n v="15000"/>
    <s v="Cash"/>
    <s v="Critical"/>
  </r>
  <r>
    <s v="Hamid Akhtar"/>
    <n v="15"/>
    <x v="2"/>
    <s v="Male"/>
    <s v="Quetta"/>
    <x v="2"/>
    <s v="Dr. Farah"/>
    <d v="2024-02-07T00:00:00"/>
    <d v="2024-07-04T00:00:00"/>
    <n v="35000"/>
    <s v="Cash"/>
    <s v="Critical"/>
  </r>
  <r>
    <s v="Farhan Abbasi"/>
    <n v="70"/>
    <x v="1"/>
    <s v="Female"/>
    <s v="Faisalabad"/>
    <x v="0"/>
    <s v="Dr. Sana"/>
    <d v="2024-12-02T00:00:00"/>
    <d v="2024-02-26T00:00:00"/>
    <n v="15000"/>
    <s v="Card"/>
    <s v="Critical"/>
  </r>
  <r>
    <s v="Farhan Hassan"/>
    <n v="15"/>
    <x v="2"/>
    <s v="Male"/>
    <s v="Quetta"/>
    <x v="3"/>
    <s v="Dr. Ayesha"/>
    <d v="2024-01-14T00:00:00"/>
    <d v="2024-01-20T00:00:00"/>
    <n v="50000"/>
    <s v="Online Transfer"/>
    <s v="Critical"/>
  </r>
  <r>
    <s v="Nadia Malik"/>
    <n v="86"/>
    <x v="1"/>
    <s v="Female"/>
    <s v="Faisalabad"/>
    <x v="6"/>
    <s v="Dr. Sana"/>
    <d v="2024-11-06T00:00:00"/>
    <d v="2024-07-10T00:00:00"/>
    <n v="35000"/>
    <s v="Cash"/>
    <s v="Critical"/>
  </r>
  <r>
    <s v="Omer Mirza"/>
    <n v="9"/>
    <x v="2"/>
    <s v="Female"/>
    <s v="Faisalabad"/>
    <x v="0"/>
    <s v="Dr. Tariq"/>
    <d v="2024-04-23T00:00:00"/>
    <d v="2024-04-28T00:00:00"/>
    <n v="20000"/>
    <s v="Online Transfer"/>
    <s v="Under Treatment"/>
  </r>
  <r>
    <s v="Zara Nawaz"/>
    <n v="71"/>
    <x v="1"/>
    <s v="Female"/>
    <s v="Multan"/>
    <x v="1"/>
    <s v="Dr. Sana"/>
    <d v="2024-11-07T00:00:00"/>
    <d v="2024-08-09T00:00:00"/>
    <n v="15000"/>
    <s v="Online Transfer"/>
    <s v="Discharged"/>
  </r>
  <r>
    <s v="Amna Akhtar"/>
    <s v="Unknown"/>
    <x v="4"/>
    <s v="Male"/>
    <s v="Lahore"/>
    <x v="1"/>
    <s v="Dr. Zubair"/>
    <d v="2024-08-08T00:00:00"/>
    <d v="2024-09-01T00:00:00"/>
    <n v="15000"/>
    <s v="Online Transfer"/>
    <s v="Discharged"/>
  </r>
  <r>
    <s v="Waqas Mirza"/>
    <n v="3"/>
    <x v="2"/>
    <s v="Female"/>
    <s v="Quetta"/>
    <x v="0"/>
    <s v="Dr. Imran"/>
    <d v="2024-11-03T00:00:00"/>
    <d v="2024-03-29T00:00:00"/>
    <n v="15000"/>
    <s v="Online Transfer"/>
    <s v="Under Treatment"/>
  </r>
  <r>
    <s v="Zubair Malik"/>
    <n v="76"/>
    <x v="1"/>
    <s v="Male"/>
    <s v="Islamabad"/>
    <x v="1"/>
    <s v="Dr. Farah"/>
    <d v="2024-04-30T00:00:00"/>
    <d v="2024-05-02T00:00:00"/>
    <n v="8000"/>
    <s v="Cash"/>
    <s v="Recovered"/>
  </r>
  <r>
    <s v="Kamran Butt"/>
    <n v="42"/>
    <x v="3"/>
    <s v="Male"/>
    <s v="Quetta"/>
    <x v="0"/>
    <s v="Dr. Sana"/>
    <d v="2024-06-07T00:00:00"/>
    <d v="2024-06-13T00:00:00"/>
    <n v="5000"/>
    <s v="Insurance"/>
    <s v="Under Treatment"/>
  </r>
  <r>
    <s v="Tariq Khan"/>
    <n v="20"/>
    <x v="0"/>
    <s v="Male"/>
    <s v="Faisalabad"/>
    <x v="3"/>
    <s v="Dr. Sana"/>
    <d v="2024-01-23T00:00:00"/>
    <d v="2024-02-07T00:00:00"/>
    <n v="25000"/>
    <s v="Insurance"/>
    <s v="Under Treatment"/>
  </r>
  <r>
    <s v="Kamran Ali"/>
    <n v="5"/>
    <x v="2"/>
    <s v="Male"/>
    <s v="Islamabad"/>
    <x v="3"/>
    <s v="Dr. Ayesha"/>
    <d v="2024-07-31T00:00:00"/>
    <d v="2024-08-16T00:00:00"/>
    <n v="25000"/>
    <s v="Cash"/>
    <s v="Recovered"/>
  </r>
  <r>
    <s v="Bilal Ali"/>
    <s v="Unknown"/>
    <x v="4"/>
    <s v="Male"/>
    <s v="Quetta"/>
    <x v="5"/>
    <s v="Dr. Zubair"/>
    <d v="2024-04-30T00:00:00"/>
    <d v="2024-05-07T00:00:00"/>
    <n v="35000"/>
    <s v="Cash"/>
    <s v="Under Treatment"/>
  </r>
  <r>
    <s v="Rabia Iqbal"/>
    <n v="10"/>
    <x v="2"/>
    <s v="Male"/>
    <s v="Quetta"/>
    <x v="5"/>
    <s v="Dr. Farah"/>
    <d v="2024-07-02T00:00:00"/>
    <d v="2024-02-08T00:00:00"/>
    <n v="50000"/>
    <s v="Card"/>
    <s v="Discharged"/>
  </r>
  <r>
    <s v="Fariha Chaudhry"/>
    <n v="11"/>
    <x v="2"/>
    <s v="Male"/>
    <s v="Islamabad"/>
    <x v="2"/>
    <s v="Dr. Ayesha"/>
    <d v="2024-02-09T00:00:00"/>
    <d v="2024-09-12T00:00:00"/>
    <n v="25000"/>
    <s v="Insurance"/>
    <s v="Unknown"/>
  </r>
  <r>
    <s v="Waqas Raza"/>
    <n v="76"/>
    <x v="1"/>
    <s v="Male"/>
    <s v="Quetta"/>
    <x v="2"/>
    <s v="Dr. Zubair"/>
    <d v="2024-04-17T00:00:00"/>
    <d v="2024-05-16T00:00:00"/>
    <n v="35000"/>
    <s v="Insurance"/>
    <s v="Critical"/>
  </r>
  <r>
    <s v="Sana Ansari"/>
    <n v="17"/>
    <x v="2"/>
    <s v="Male"/>
    <s v="Lahore"/>
    <x v="5"/>
    <s v="Dr. Ayesha"/>
    <d v="2024-02-19T00:00:00"/>
    <d v="2024-02-22T00:00:00"/>
    <n v="25000"/>
    <s v="Insurance"/>
    <s v="Discharged"/>
  </r>
  <r>
    <s v="Bilal Iqbal"/>
    <n v="83"/>
    <x v="1"/>
    <s v="Male"/>
    <s v="Karachi"/>
    <x v="2"/>
    <s v="Dr. Farah"/>
    <d v="2024-01-05T00:00:00"/>
    <d v="2024-05-09T00:00:00"/>
    <n v="20000"/>
    <s v="Online Transfer"/>
    <s v="Critical"/>
  </r>
  <r>
    <s v="Danish Akhtar"/>
    <n v="34"/>
    <x v="0"/>
    <s v="Female"/>
    <s v="Quetta"/>
    <x v="1"/>
    <s v="Dr. Sana"/>
    <d v="2024-07-07T00:00:00"/>
    <d v="2024-07-15T00:00:00"/>
    <n v="50000"/>
    <s v="Online Transfer"/>
    <s v="Critical"/>
  </r>
  <r>
    <s v="Tariq Khan"/>
    <n v="33"/>
    <x v="0"/>
    <s v="Female"/>
    <s v="Faisalabad"/>
    <x v="5"/>
    <s v="Dr. Khalid"/>
    <d v="2024-11-02T00:00:00"/>
    <d v="2024-02-23T00:00:00"/>
    <n v="15000"/>
    <s v="Online Transfer"/>
    <s v="Critical"/>
  </r>
  <r>
    <s v="Sobia Mirza"/>
    <n v="85"/>
    <x v="1"/>
    <s v="Female"/>
    <s v="Karachi"/>
    <x v="4"/>
    <s v="Dr. Tariq"/>
    <d v="2024-07-07T00:00:00"/>
    <d v="2024-07-21T00:00:00"/>
    <n v="5000"/>
    <s v="Online Transfer"/>
    <s v="Under Treatment"/>
  </r>
  <r>
    <s v="Sobia Akhtar"/>
    <n v="52"/>
    <x v="3"/>
    <s v="Male"/>
    <s v="Multan"/>
    <x v="5"/>
    <s v="Dr. Khalid"/>
    <d v="2024-04-03T00:00:00"/>
    <d v="2024-03-27T00:00:00"/>
    <n v="35000"/>
    <s v="Online Transfer"/>
    <s v="Under Treatment"/>
  </r>
  <r>
    <s v="Nadia Raza"/>
    <n v="73"/>
    <x v="1"/>
    <s v="Female"/>
    <s v="Multan"/>
    <x v="3"/>
    <s v="Dr. Ayesha"/>
    <d v="2024-10-04T00:00:00"/>
    <d v="2024-04-30T00:00:00"/>
    <n v="50000"/>
    <s v="Insurance"/>
    <s v="Critical"/>
  </r>
  <r>
    <s v="Sara Siddiqui"/>
    <n v="42"/>
    <x v="3"/>
    <s v="Male"/>
    <s v="Multan"/>
    <x v="1"/>
    <s v="Dr. Zubair"/>
    <d v="2024-07-02T00:00:00"/>
    <d v="2024-03-07T00:00:00"/>
    <n v="12000"/>
    <s v="Cash"/>
    <s v="Critical"/>
  </r>
  <r>
    <s v="Rabia Bhatti"/>
    <n v="78"/>
    <x v="1"/>
    <s v="Male"/>
    <s v="Lahore"/>
    <x v="1"/>
    <s v="Dr. Ayesha"/>
    <d v="2024-10-13T00:00:00"/>
    <d v="2024-11-03T00:00:00"/>
    <n v="100000"/>
    <s v="Online Transfer"/>
    <s v="Under Treatment"/>
  </r>
  <r>
    <s v="Tariq Ahmed"/>
    <n v="22"/>
    <x v="0"/>
    <s v="Female"/>
    <s v="Islamabad"/>
    <x v="2"/>
    <s v="Dr. Imran"/>
    <d v="2024-10-08T00:00:00"/>
    <d v="2024-08-15T00:00:00"/>
    <n v="75000"/>
    <s v="Insurance"/>
    <s v="Critical"/>
  </r>
  <r>
    <s v="Fatima Abbasi"/>
    <n v="50"/>
    <x v="3"/>
    <s v="Unknown"/>
    <s v="Islamabad"/>
    <x v="0"/>
    <s v="Dr. Khalid"/>
    <d v="2024-08-21T00:00:00"/>
    <d v="2024-09-07T00:00:00"/>
    <n v="20000"/>
    <s v="Cash"/>
    <s v="Critical"/>
  </r>
  <r>
    <s v="Omer Mirza"/>
    <n v="70"/>
    <x v="1"/>
    <s v="Female"/>
    <s v="Islamabad"/>
    <x v="3"/>
    <s v="Dr. Zubair"/>
    <d v="2024-09-06T00:00:00"/>
    <d v="2024-06-17T00:00:00"/>
    <n v="0"/>
    <s v="Cash"/>
    <s v="Recovered"/>
  </r>
  <r>
    <s v="Zubair Khan"/>
    <n v="78"/>
    <x v="1"/>
    <s v="Male"/>
    <s v="Multan"/>
    <x v="6"/>
    <s v="Dr. Tariq"/>
    <d v="2024-09-07T00:00:00"/>
    <d v="2024-07-23T00:00:00"/>
    <n v="25000"/>
    <s v="Cash"/>
    <s v="Recovered"/>
  </r>
  <r>
    <s v="Farhan Nawaz"/>
    <n v="29"/>
    <x v="0"/>
    <s v="Male"/>
    <s v="Faisalabad"/>
    <x v="5"/>
    <s v="Dr. Sana"/>
    <d v="2024-05-14T00:00:00"/>
    <d v="2024-05-16T00:00:00"/>
    <n v="35000"/>
    <s v="Card"/>
    <s v="Under Treatment"/>
  </r>
  <r>
    <s v="Saima Qureshi"/>
    <n v="88"/>
    <x v="1"/>
    <s v="Female"/>
    <s v="Multan"/>
    <x v="2"/>
    <s v="Dr. Ayesha"/>
    <d v="2024-03-17T00:00:00"/>
    <d v="2024-04-04T00:00:00"/>
    <n v="75000"/>
    <s v="Online Transfer"/>
    <s v="Under Treatment"/>
  </r>
  <r>
    <s v="Tariq Butt"/>
    <n v="75"/>
    <x v="1"/>
    <s v="Female"/>
    <s v="Lahore"/>
    <x v="2"/>
    <s v="Dr. Imran"/>
    <d v="2024-06-13T00:00:00"/>
    <d v="2024-06-15T00:00:00"/>
    <n v="15000"/>
    <s v="Card"/>
    <s v="Recovered"/>
  </r>
  <r>
    <s v="Ahmed Bhatti"/>
    <n v="9"/>
    <x v="2"/>
    <s v="Male"/>
    <s v="Islamabad"/>
    <x v="6"/>
    <s v="Dr. Imran"/>
    <d v="2024-09-04T00:00:00"/>
    <d v="2024-04-28T00:00:00"/>
    <n v="50000"/>
    <s v="Card"/>
    <s v="Under Treatment"/>
  </r>
  <r>
    <s v="Imran Ahmed"/>
    <n v="82"/>
    <x v="1"/>
    <s v="Female"/>
    <s v="Lahore"/>
    <x v="5"/>
    <s v="Dr. Sana"/>
    <d v="2024-11-05T00:00:00"/>
    <d v="2024-05-30T00:00:00"/>
    <n v="35000"/>
    <s v="Online Transfer"/>
    <s v="Under Treatment"/>
  </r>
  <r>
    <s v="Sara Mirza"/>
    <s v="Unknown"/>
    <x v="4"/>
    <s v="Male"/>
    <s v="Faisalabad"/>
    <x v="5"/>
    <s v="Dr. Ayesha"/>
    <d v="2024-08-13T00:00:00"/>
    <d v="2024-09-08T00:00:00"/>
    <n v="12000"/>
    <s v="Card"/>
    <s v="Critical"/>
  </r>
  <r>
    <s v="Usman Raza"/>
    <n v="89"/>
    <x v="1"/>
    <s v="Male"/>
    <s v="Faisalabad"/>
    <x v="4"/>
    <s v="Dr. Khalid"/>
    <d v="2024-04-30T00:00:00"/>
    <d v="2024-05-27T00:00:00"/>
    <n v="25000"/>
    <s v="Online Transfer"/>
    <s v="Critical"/>
  </r>
  <r>
    <s v="Waqas Niazi"/>
    <n v="46"/>
    <x v="3"/>
    <s v="Male"/>
    <s v="Multan"/>
    <x v="6"/>
    <s v="Dr. Imran"/>
    <d v="2024-10-07T00:00:00"/>
    <d v="2024-11-05T00:00:00"/>
    <n v="50000"/>
    <s v="Cash"/>
    <s v="Under Treatment"/>
  </r>
  <r>
    <s v="Rabia Siddiqui"/>
    <n v="16"/>
    <x v="2"/>
    <s v="Female"/>
    <s v="Islamabad"/>
    <x v="5"/>
    <s v="Dr. Zubair"/>
    <d v="2024-09-14T00:00:00"/>
    <d v="2024-10-09T00:00:00"/>
    <n v="15000"/>
    <s v="Card"/>
    <s v="Discharged"/>
  </r>
  <r>
    <s v="Tariq Sheikh"/>
    <n v="67"/>
    <x v="1"/>
    <s v="Female"/>
    <s v="Peshawar"/>
    <x v="4"/>
    <s v="Dr. Khalid"/>
    <d v="2024-06-27T00:00:00"/>
    <d v="2024-06-29T00:00:00"/>
    <n v="12000"/>
    <s v="Online Transfer"/>
    <s v="Discharged"/>
  </r>
  <r>
    <s v="Sobia Sheikh"/>
    <n v="40"/>
    <x v="3"/>
    <s v="Male"/>
    <s v="Faisalabad"/>
    <x v="3"/>
    <s v="Dr. Khalid"/>
    <d v="2024-08-14T00:00:00"/>
    <d v="2024-08-28T00:00:00"/>
    <n v="20000"/>
    <s v="Cash"/>
    <s v="Discharged"/>
  </r>
  <r>
    <s v="Uzma Niazi"/>
    <n v="26"/>
    <x v="0"/>
    <s v="Male"/>
    <s v="Karachi"/>
    <x v="0"/>
    <s v="Dr. Ayesha"/>
    <d v="2024-01-02T00:00:00"/>
    <d v="2024-02-21T00:00:00"/>
    <n v="12000"/>
    <s v="Card"/>
    <s v="Critical"/>
  </r>
  <r>
    <s v="Rabia Javed"/>
    <n v="79"/>
    <x v="1"/>
    <s v="Male"/>
    <s v="Lahore"/>
    <x v="0"/>
    <s v="Dr. Sana"/>
    <d v="2024-01-08T00:00:00"/>
    <d v="2024-08-02T00:00:00"/>
    <n v="75000"/>
    <s v="Card"/>
    <s v="Under Treatment"/>
  </r>
  <r>
    <s v="Ali Ansari"/>
    <n v="20"/>
    <x v="0"/>
    <s v="Male"/>
    <s v="Karachi"/>
    <x v="2"/>
    <s v="Dr. Imran"/>
    <d v="2024-01-23T00:00:00"/>
    <d v="2024-02-18T00:00:00"/>
    <n v="8000"/>
    <s v="Cash"/>
    <s v="Recovered"/>
  </r>
  <r>
    <s v="Zara Ali"/>
    <n v="5"/>
    <x v="2"/>
    <s v="Female"/>
    <s v="Karachi"/>
    <x v="3"/>
    <s v="Dr. Sana"/>
    <d v="2024-10-24T00:00:00"/>
    <d v="2024-11-02T00:00:00"/>
    <n v="50000"/>
    <s v="Insurance"/>
    <s v="Critical"/>
  </r>
  <r>
    <s v="Usman Mirza"/>
    <n v="23"/>
    <x v="0"/>
    <s v="Male"/>
    <s v="Islamabad"/>
    <x v="0"/>
    <s v="Dr. Farah"/>
    <d v="2024-11-08T00:00:00"/>
    <d v="2024-09-01T00:00:00"/>
    <n v="50000"/>
    <s v="Online Transfer"/>
    <s v="Critical"/>
  </r>
  <r>
    <s v="Sara Khan"/>
    <n v="82"/>
    <x v="1"/>
    <s v="Male"/>
    <s v="Islamabad"/>
    <x v="0"/>
    <s v="Dr. Imran"/>
    <d v="2024-05-28T00:00:00"/>
    <d v="2024-05-30T00:00:00"/>
    <n v="8000"/>
    <s v="Cash"/>
    <s v="Under Treatment"/>
  </r>
  <r>
    <s v="Bilal Bhatti"/>
    <n v="90"/>
    <x v="1"/>
    <s v="Male"/>
    <s v="Peshawar"/>
    <x v="0"/>
    <s v="Dr. Farah"/>
    <d v="2024-08-21T00:00:00"/>
    <d v="2024-09-08T00:00:00"/>
    <n v="8000"/>
    <s v="Card"/>
    <s v="Under Treatment"/>
  </r>
  <r>
    <s v="Farhan Chaudhry"/>
    <n v="19"/>
    <x v="0"/>
    <s v="Male"/>
    <s v="Islamabad"/>
    <x v="4"/>
    <s v="Dr. Imran"/>
    <d v="2024-03-20T00:00:00"/>
    <d v="2024-04-10T00:00:00"/>
    <n v="75000"/>
    <s v="Card"/>
    <s v="Recovered"/>
  </r>
  <r>
    <s v="Lubna Niazi"/>
    <n v="82"/>
    <x v="1"/>
    <s v="Female"/>
    <s v="Faisalabad"/>
    <x v="1"/>
    <s v="Dr. Farah"/>
    <d v="2024-09-10T00:00:00"/>
    <d v="2024-11-07T00:00:00"/>
    <n v="20000"/>
    <s v="Unknown"/>
    <s v="Discharged"/>
  </r>
  <r>
    <s v="Kamran Khan"/>
    <n v="79"/>
    <x v="1"/>
    <s v="Female"/>
    <s v="Lahore"/>
    <x v="5"/>
    <s v="Dr. Imran"/>
    <d v="2024-03-14T00:00:00"/>
    <d v="2024-03-26T00:00:00"/>
    <n v="50000"/>
    <s v="Card"/>
    <s v="Discharged"/>
  </r>
  <r>
    <s v="Nadia Akhtar"/>
    <n v="25"/>
    <x v="0"/>
    <s v="Male"/>
    <s v="Lahore"/>
    <x v="1"/>
    <s v="Dr. Imran"/>
    <d v="2024-10-21T00:00:00"/>
    <d v="2024-11-06T00:00:00"/>
    <n v="100000"/>
    <s v="Insurance"/>
    <s v="Discharged"/>
  </r>
  <r>
    <s v="Sara Ali"/>
    <n v="46"/>
    <x v="3"/>
    <s v="Male"/>
    <s v="Lahore"/>
    <x v="4"/>
    <s v="Dr. Farah"/>
    <d v="2024-06-25T00:00:00"/>
    <d v="2024-07-17T00:00:00"/>
    <n v="100000"/>
    <s v="Card"/>
    <s v="Recovered"/>
  </r>
  <r>
    <s v="Rabia Sheikh"/>
    <n v="6"/>
    <x v="2"/>
    <s v="Male"/>
    <s v="Lahore"/>
    <x v="3"/>
    <s v="Dr. Sana"/>
    <d v="2024-04-18T00:00:00"/>
    <d v="2024-05-06T00:00:00"/>
    <n v="100000"/>
    <s v="Insurance"/>
    <s v="Discharged"/>
  </r>
  <r>
    <s v="Hamid Abbasi"/>
    <n v="13"/>
    <x v="2"/>
    <s v="Male"/>
    <s v="Quetta"/>
    <x v="3"/>
    <s v="Dr. Imran"/>
    <d v="2024-09-24T00:00:00"/>
    <d v="2024-10-22T00:00:00"/>
    <n v="12000"/>
    <s v="Card"/>
    <s v="Discharged"/>
  </r>
  <r>
    <s v="Amna Ansari"/>
    <n v="21"/>
    <x v="0"/>
    <s v="Male"/>
    <s v="Peshawar"/>
    <x v="1"/>
    <s v="Dr. Sana"/>
    <d v="2024-05-15T00:00:00"/>
    <d v="2024-05-19T00:00:00"/>
    <n v="25000"/>
    <s v="Online Transfer"/>
    <s v="Discharged"/>
  </r>
  <r>
    <s v="Sobia Chaudhry"/>
    <n v="9"/>
    <x v="2"/>
    <s v="Female"/>
    <s v="Islamabad"/>
    <x v="1"/>
    <s v="Dr. Tariq"/>
    <d v="2024-08-06T00:00:00"/>
    <d v="2024-06-13T00:00:00"/>
    <n v="8000"/>
    <s v="Card"/>
    <s v="Discharged"/>
  </r>
  <r>
    <s v="Nida Khan"/>
    <n v="79"/>
    <x v="1"/>
    <s v="Male"/>
    <s v="Multan"/>
    <x v="0"/>
    <s v="Dr. Imran"/>
    <d v="2024-10-03T00:00:00"/>
    <d v="2024-03-11T00:00:00"/>
    <n v="5000"/>
    <s v="Cash"/>
    <s v="Critical"/>
  </r>
  <r>
    <s v="Waqas Akhtar"/>
    <n v="11"/>
    <x v="2"/>
    <s v="Female"/>
    <s v="Islamabad"/>
    <x v="5"/>
    <s v="Dr. Khalid"/>
    <d v="2024-05-21T00:00:00"/>
    <d v="2024-06-04T00:00:00"/>
    <n v="50000"/>
    <s v="Online Transfer"/>
    <s v="Under Treatment"/>
  </r>
  <r>
    <s v="Imran Qureshi"/>
    <n v="69"/>
    <x v="1"/>
    <s v="Female"/>
    <s v="Karachi"/>
    <x v="2"/>
    <s v="Dr. Sana"/>
    <d v="2024-07-16T00:00:00"/>
    <d v="2024-08-02T00:00:00"/>
    <n v="20000"/>
    <s v="Insurance"/>
    <s v="Under Treatment"/>
  </r>
  <r>
    <s v="Lubna Khan"/>
    <n v="10"/>
    <x v="2"/>
    <s v="Male"/>
    <s v="Faisalabad"/>
    <x v="2"/>
    <s v="Dr. Sana"/>
    <d v="2024-06-25T00:00:00"/>
    <d v="2024-07-06T00:00:00"/>
    <n v="75000"/>
    <s v="Online Transfer"/>
    <s v="Discharged"/>
  </r>
  <r>
    <s v="Fariha Abbasi"/>
    <n v="88"/>
    <x v="1"/>
    <s v="Male"/>
    <s v="Karachi"/>
    <x v="1"/>
    <s v="Dr. Ayesha"/>
    <d v="2024-10-11T00:00:00"/>
    <d v="2024-10-20T00:00:00"/>
    <n v="12000"/>
    <s v="Cash"/>
    <s v="Under Treatment"/>
  </r>
  <r>
    <s v="Sara Akhtar"/>
    <n v="1"/>
    <x v="2"/>
    <s v="Male"/>
    <s v="Karachi"/>
    <x v="3"/>
    <s v="Dr. Farah"/>
    <d v="2024-08-26T00:00:00"/>
    <d v="2024-09-12T00:00:00"/>
    <n v="0"/>
    <s v="Cash"/>
    <s v="Under Treatment"/>
  </r>
  <r>
    <s v="Imran Sheikh"/>
    <n v="51"/>
    <x v="3"/>
    <s v="Female"/>
    <s v="Islamabad"/>
    <x v="0"/>
    <s v="Dr. Sana"/>
    <d v="2024-02-24T00:00:00"/>
    <d v="2024-03-07T00:00:00"/>
    <n v="12000"/>
    <s v="Online Transfer"/>
    <s v="Discharged"/>
  </r>
  <r>
    <s v="Nida Raza"/>
    <n v="56"/>
    <x v="3"/>
    <s v="Female"/>
    <s v="Multan"/>
    <x v="6"/>
    <s v="Dr. Sana"/>
    <d v="2024-01-18T00:00:00"/>
    <d v="2024-01-27T00:00:00"/>
    <n v="5000"/>
    <s v="Online Transfer"/>
    <s v="Critical"/>
  </r>
  <r>
    <s v="Kamran Ahmed"/>
    <s v="Unknown"/>
    <x v="4"/>
    <s v="Female"/>
    <s v="Karachi"/>
    <x v="2"/>
    <s v="Dr. Ayesha"/>
    <d v="2024-05-26T00:00:00"/>
    <d v="2024-06-01T00:00:00"/>
    <n v="75000"/>
    <s v="Card"/>
    <s v="Recovered"/>
  </r>
  <r>
    <s v="Sana Ahmed"/>
    <n v="23"/>
    <x v="0"/>
    <s v="Female"/>
    <s v="Peshawar"/>
    <x v="5"/>
    <s v="Dr. Farah"/>
    <d v="2024-02-08T00:00:00"/>
    <d v="2024-02-13T00:00:00"/>
    <n v="25000"/>
    <s v="Online Transfer"/>
    <s v="Recovered"/>
  </r>
  <r>
    <s v="Mehwish Sheikh"/>
    <n v="11"/>
    <x v="2"/>
    <s v="Unknown"/>
    <s v="Quetta"/>
    <x v="2"/>
    <s v="Dr. Farah"/>
    <d v="2024-05-22T00:00:00"/>
    <d v="2024-05-24T00:00:00"/>
    <n v="12000"/>
    <s v="Cash"/>
    <s v="Discharged"/>
  </r>
  <r>
    <s v="Sobia Niazi"/>
    <s v="Unknown"/>
    <x v="4"/>
    <s v="Male"/>
    <s v="Multan"/>
    <x v="0"/>
    <s v="Dr. Zubair"/>
    <d v="2024-01-22T00:00:00"/>
    <d v="2024-02-05T00:00:00"/>
    <n v="12000"/>
    <s v="Cash"/>
    <s v="Recovered"/>
  </r>
  <r>
    <s v="Sana Sheikh"/>
    <n v="74"/>
    <x v="1"/>
    <s v="Male"/>
    <s v="Islamabad"/>
    <x v="4"/>
    <s v="Dr. Khalid"/>
    <d v="2024-06-07T00:00:00"/>
    <d v="2024-07-01T00:00:00"/>
    <n v="35000"/>
    <s v="Card"/>
    <s v="Discharged"/>
  </r>
  <r>
    <s v="Amna Khan"/>
    <n v="71"/>
    <x v="1"/>
    <s v="Female"/>
    <s v="Karachi"/>
    <x v="3"/>
    <s v="Dr. Sana"/>
    <d v="2024-12-06T00:00:00"/>
    <d v="2024-07-02T00:00:00"/>
    <n v="12000"/>
    <s v="Insurance"/>
    <s v="Critical"/>
  </r>
  <r>
    <s v="Ali Mirza"/>
    <n v="60"/>
    <x v="1"/>
    <s v="Female"/>
    <s v="Karachi"/>
    <x v="1"/>
    <s v="Dr. Sana"/>
    <d v="2024-03-09T00:00:00"/>
    <d v="2024-03-14T00:00:00"/>
    <n v="35000"/>
    <s v="Card"/>
    <s v="Recovered"/>
  </r>
  <r>
    <s v="Zubair Niazi"/>
    <n v="56"/>
    <x v="3"/>
    <s v="Male"/>
    <s v="Faisalabad"/>
    <x v="1"/>
    <s v="Dr. Sana"/>
    <d v="2024-02-08T00:00:00"/>
    <d v="2024-08-20T00:00:00"/>
    <n v="20000"/>
    <s v="Online Transfer"/>
    <s v="Critical"/>
  </r>
  <r>
    <s v="Hassan Butt"/>
    <n v="28"/>
    <x v="0"/>
    <s v="Female"/>
    <s v="Faisalabad"/>
    <x v="6"/>
    <s v="Dr. Zubair"/>
    <d v="2024-06-22T00:00:00"/>
    <d v="2024-07-19T00:00:00"/>
    <n v="12000"/>
    <s v="Insurance"/>
    <s v="Under Treatment"/>
  </r>
  <r>
    <s v="Hassan Butt"/>
    <n v="27"/>
    <x v="0"/>
    <s v="Unknown"/>
    <s v="Multan"/>
    <x v="3"/>
    <s v="Dr. Farah"/>
    <d v="2024-03-18T00:00:00"/>
    <d v="2024-04-14T00:00:00"/>
    <n v="8000"/>
    <s v="Card"/>
    <s v="Critical"/>
  </r>
  <r>
    <s v="Imran Raza"/>
    <n v="10"/>
    <x v="2"/>
    <s v="Female"/>
    <s v="Multan"/>
    <x v="4"/>
    <s v="Dr. Imran"/>
    <d v="2024-06-03T00:00:00"/>
    <d v="2024-04-02T00:00:00"/>
    <n v="50000"/>
    <s v="Online Transfer"/>
    <s v="Recovered"/>
  </r>
  <r>
    <s v="Omer Raza"/>
    <n v="2"/>
    <x v="2"/>
    <s v="Male"/>
    <s v="Faisalabad"/>
    <x v="2"/>
    <s v="Dr. Sana"/>
    <d v="2024-08-28T00:00:00"/>
    <d v="2024-09-17T00:00:00"/>
    <n v="100000"/>
    <s v="Card"/>
    <s v="Recovered"/>
  </r>
  <r>
    <s v="Sara Hassan"/>
    <n v="26"/>
    <x v="0"/>
    <s v="Female"/>
    <s v="Peshawar"/>
    <x v="4"/>
    <s v="Dr. Ayesha"/>
    <d v="2024-08-15T00:00:00"/>
    <d v="2024-08-17T00:00:00"/>
    <n v="75000"/>
    <s v="Insurance"/>
    <s v="Critical"/>
  </r>
  <r>
    <s v="Farhan Akhtar"/>
    <n v="19"/>
    <x v="0"/>
    <s v="Male"/>
    <s v="Lahore"/>
    <x v="5"/>
    <s v="Dr. Ayesha"/>
    <d v="2024-08-04T00:00:00"/>
    <d v="2024-04-17T00:00:00"/>
    <n v="75000"/>
    <s v="Online Transfer"/>
    <s v="Recovered"/>
  </r>
  <r>
    <s v="Uzma Chaudhry"/>
    <n v="42"/>
    <x v="3"/>
    <s v="Male"/>
    <s v="Islamabad"/>
    <x v="0"/>
    <s v="Dr. Imran"/>
    <d v="2024-10-17T00:00:00"/>
    <d v="2024-10-24T00:00:00"/>
    <n v="75000"/>
    <s v="Cash"/>
    <s v="Critical"/>
  </r>
  <r>
    <s v="Tariq Chaudhry"/>
    <n v="86"/>
    <x v="1"/>
    <s v="Female"/>
    <s v="Lahore"/>
    <x v="2"/>
    <s v="Dr. Ayesha"/>
    <d v="2024-07-16T00:00:00"/>
    <d v="2024-08-06T00:00:00"/>
    <n v="12000"/>
    <s v="Cash"/>
    <s v="Discharged"/>
  </r>
  <r>
    <s v="Zara Iqbal"/>
    <n v="2"/>
    <x v="2"/>
    <s v="Male"/>
    <s v="Islamabad"/>
    <x v="3"/>
    <s v="Dr. Zubair"/>
    <d v="2024-08-01T00:00:00"/>
    <d v="2024-01-21T00:00:00"/>
    <n v="100000"/>
    <s v="Card"/>
    <s v="Critical"/>
  </r>
  <r>
    <s v="Asad Sheikh"/>
    <n v="73"/>
    <x v="1"/>
    <s v="Male"/>
    <s v="Karachi"/>
    <x v="1"/>
    <s v="Dr. Farah"/>
    <d v="2024-09-25T00:00:00"/>
    <d v="2024-10-07T00:00:00"/>
    <n v="12000"/>
    <s v="Card"/>
    <s v="Critical"/>
  </r>
  <r>
    <s v="Amna Mirza"/>
    <n v="37"/>
    <x v="0"/>
    <s v="Female"/>
    <s v="Peshawar"/>
    <x v="6"/>
    <s v="Dr. Ayesha"/>
    <d v="2024-06-05T00:00:00"/>
    <d v="2024-05-08T00:00:00"/>
    <n v="20000"/>
    <s v="Online Transfer"/>
    <s v="Discharged"/>
  </r>
  <r>
    <s v="Waqas Niazi"/>
    <n v="37"/>
    <x v="0"/>
    <s v="Male"/>
    <s v="Faisalabad"/>
    <x v="6"/>
    <s v="Dr. Tariq"/>
    <d v="2024-07-18T00:00:00"/>
    <d v="2024-07-22T00:00:00"/>
    <n v="75000"/>
    <s v="Card"/>
    <s v="Critical"/>
  </r>
  <r>
    <s v="Ahmed Iqbal"/>
    <n v="65"/>
    <x v="1"/>
    <s v="Female"/>
    <s v="Faisalabad"/>
    <x v="2"/>
    <s v="Dr. Khalid"/>
    <d v="2024-07-25T00:00:00"/>
    <d v="2024-08-14T00:00:00"/>
    <n v="25000"/>
    <s v="Insurance"/>
    <s v="Under Treatment"/>
  </r>
  <r>
    <s v="Imran Ahmed"/>
    <n v="18"/>
    <x v="0"/>
    <s v="Female"/>
    <s v="Islamabad"/>
    <x v="3"/>
    <s v="Dr. Imran"/>
    <d v="2024-02-21T00:00:00"/>
    <d v="2024-03-21T00:00:00"/>
    <n v="50000"/>
    <s v="Cash"/>
    <s v="Discharged"/>
  </r>
  <r>
    <s v="Tariq Nawaz"/>
    <n v="55"/>
    <x v="3"/>
    <s v="Female"/>
    <s v="Islamabad"/>
    <x v="6"/>
    <s v="Dr. Tariq"/>
    <d v="2024-10-25T00:00:00"/>
    <d v="2024-11-01T00:00:00"/>
    <n v="100000"/>
    <s v="Card"/>
    <s v="Recovered"/>
  </r>
  <r>
    <s v="Asad Akhtar"/>
    <n v="18"/>
    <x v="0"/>
    <s v="Male"/>
    <s v="Faisalabad"/>
    <x v="3"/>
    <s v="Dr. Zubair"/>
    <d v="2024-06-01T00:00:00"/>
    <d v="2024-06-24T00:00:00"/>
    <n v="20000"/>
    <s v="Cash"/>
    <s v="Discharged"/>
  </r>
  <r>
    <s v="Nadia Siddiqui"/>
    <n v="37"/>
    <x v="0"/>
    <s v="Male"/>
    <s v="Karachi"/>
    <x v="6"/>
    <s v="Dr. Khalid"/>
    <d v="2024-12-05T00:00:00"/>
    <d v="2024-05-20T00:00:00"/>
    <n v="8000"/>
    <s v="Cash"/>
    <s v="Under Treatment"/>
  </r>
  <r>
    <s v="Hina Bhatti"/>
    <n v="62"/>
    <x v="1"/>
    <s v="Male"/>
    <s v="Islamabad"/>
    <x v="4"/>
    <s v="Dr. Imran"/>
    <d v="2024-07-13T00:00:00"/>
    <d v="2024-08-12T00:00:00"/>
    <n v="5000"/>
    <s v="Card"/>
    <s v="Recovered"/>
  </r>
  <r>
    <s v="Sobia Butt"/>
    <n v="35"/>
    <x v="0"/>
    <s v="Female"/>
    <s v="Quetta"/>
    <x v="0"/>
    <s v="Dr. Farah"/>
    <d v="2024-09-05T00:00:00"/>
    <d v="2024-05-23T00:00:00"/>
    <n v="5000"/>
    <s v="Cash"/>
    <s v="Under Treatment"/>
  </r>
  <r>
    <s v="Imran Niazi"/>
    <n v="34"/>
    <x v="0"/>
    <s v="Male"/>
    <s v="Islamabad"/>
    <x v="5"/>
    <s v="Dr. Farah"/>
    <d v="2024-07-26T00:00:00"/>
    <d v="2024-08-22T00:00:00"/>
    <n v="20000"/>
    <s v="Insurance"/>
    <s v="Recovered"/>
  </r>
  <r>
    <s v="Tariq Ali"/>
    <n v="84"/>
    <x v="1"/>
    <s v="Male"/>
    <s v="Islamabad"/>
    <x v="2"/>
    <s v="Dr. Farah"/>
    <d v="2024-03-25T00:00:00"/>
    <d v="2024-04-22T00:00:00"/>
    <n v="5000"/>
    <s v="Insurance"/>
    <s v="Under Treatment"/>
  </r>
  <r>
    <s v="Sara Akhtar"/>
    <n v="63"/>
    <x v="1"/>
    <s v="Male"/>
    <s v="Lahore"/>
    <x v="0"/>
    <s v="Dr. Tariq"/>
    <d v="2024-04-27T00:00:00"/>
    <d v="2024-05-14T00:00:00"/>
    <n v="100000"/>
    <s v="Card"/>
    <s v="Under Treatment"/>
  </r>
  <r>
    <s v="Zara Nawaz"/>
    <n v="5"/>
    <x v="2"/>
    <s v="Male"/>
    <s v="Islamabad"/>
    <x v="5"/>
    <s v="Dr. Farah"/>
    <d v="2024-09-04T00:00:00"/>
    <d v="2024-04-17T00:00:00"/>
    <n v="20000"/>
    <s v="Cash"/>
    <s v="Recovered"/>
  </r>
  <r>
    <s v="Bilal Abbasi"/>
    <n v="23"/>
    <x v="0"/>
    <s v="Female"/>
    <s v="Karachi"/>
    <x v="3"/>
    <s v="Dr. Sana"/>
    <d v="2024-01-22T00:00:00"/>
    <d v="2024-02-21T00:00:00"/>
    <n v="5000"/>
    <s v="Insurance"/>
    <s v="Recovered"/>
  </r>
  <r>
    <s v="Sobia Chaudhry"/>
    <n v="17"/>
    <x v="2"/>
    <s v="Female"/>
    <s v="Multan"/>
    <x v="0"/>
    <s v="Dr. Khalid"/>
    <d v="2024-01-27T00:00:00"/>
    <d v="2024-02-21T00:00:00"/>
    <n v="100000"/>
    <s v="Online Transfer"/>
    <s v="Recovered"/>
  </r>
  <r>
    <s v="Sana Iqbal"/>
    <n v="72"/>
    <x v="1"/>
    <s v="Male"/>
    <s v="Multan"/>
    <x v="1"/>
    <s v="Dr. Ayesha"/>
    <d v="2024-11-09T00:00:00"/>
    <d v="2024-09-22T00:00:00"/>
    <n v="75000"/>
    <s v="Card"/>
    <s v="Critical"/>
  </r>
  <r>
    <s v="Waqas Nawaz"/>
    <n v="82"/>
    <x v="1"/>
    <s v="Male"/>
    <s v="Islamabad"/>
    <x v="4"/>
    <s v="Dr. Imran"/>
    <d v="2024-04-24T00:00:00"/>
    <d v="2024-05-11T00:00:00"/>
    <n v="20000"/>
    <s v="Online Transfer"/>
    <s v="Recovered"/>
  </r>
  <r>
    <s v="Hassan Chaudhry"/>
    <n v="72"/>
    <x v="1"/>
    <s v="Male"/>
    <s v="Unknown"/>
    <x v="3"/>
    <s v="Dr. Khalid"/>
    <d v="2024-03-10T00:00:00"/>
    <d v="2024-10-17T00:00:00"/>
    <n v="100000"/>
    <s v="Cash"/>
    <s v="Critical"/>
  </r>
  <r>
    <s v="Fatima Qureshi"/>
    <n v="68"/>
    <x v="1"/>
    <s v="Male"/>
    <s v="Quetta"/>
    <x v="5"/>
    <s v="Dr. Farah"/>
    <d v="2024-08-18T00:00:00"/>
    <d v="2024-08-31T00:00:00"/>
    <n v="12000"/>
    <s v="Cash"/>
    <s v="Critical"/>
  </r>
  <r>
    <s v="Ali Raza"/>
    <n v="90"/>
    <x v="1"/>
    <s v="Female"/>
    <s v="Karachi"/>
    <x v="4"/>
    <s v="Dr. Imran"/>
    <d v="2024-01-13T00:00:00"/>
    <d v="2024-02-06T00:00:00"/>
    <n v="50000"/>
    <s v="Insurance"/>
    <s v="Critical"/>
  </r>
  <r>
    <s v="Hassan Malik"/>
    <n v="56"/>
    <x v="3"/>
    <s v="Male"/>
    <s v="Multan"/>
    <x v="6"/>
    <s v="Dr. Sana"/>
    <d v="2024-05-07T00:00:00"/>
    <d v="2024-05-16T00:00:00"/>
    <n v="35000"/>
    <s v="Cash"/>
    <s v="Under Treatment"/>
  </r>
  <r>
    <s v="Lubna Khan"/>
    <n v="63"/>
    <x v="1"/>
    <s v="Male"/>
    <s v="Lahore"/>
    <x v="5"/>
    <s v="Dr. Farah"/>
    <d v="2024-09-14T00:00:00"/>
    <d v="2024-10-01T00:00:00"/>
    <n v="20000"/>
    <s v="Online Transfer"/>
    <s v="Critical"/>
  </r>
  <r>
    <s v="Imran Siddiqui"/>
    <n v="67"/>
    <x v="1"/>
    <s v="Male"/>
    <s v="Karachi"/>
    <x v="5"/>
    <s v="Dr. Zubair"/>
    <d v="2024-05-19T00:00:00"/>
    <d v="2024-05-28T00:00:00"/>
    <n v="5000"/>
    <s v="Card"/>
    <s v="Under Treatment"/>
  </r>
  <r>
    <s v="Lubna Iqbal"/>
    <n v="42"/>
    <x v="3"/>
    <s v="Male"/>
    <s v="Faisalabad"/>
    <x v="6"/>
    <s v="Dr. Sana"/>
    <d v="2024-09-26T00:00:00"/>
    <d v="2024-10-23T00:00:00"/>
    <n v="20000"/>
    <s v="Card"/>
    <s v="Recovered"/>
  </r>
  <r>
    <s v="Farhan Raza"/>
    <n v="84"/>
    <x v="1"/>
    <s v="Male"/>
    <s v="Islamabad"/>
    <x v="4"/>
    <s v="Dr. Sana"/>
    <d v="2024-02-03T00:00:00"/>
    <d v="2024-03-21T00:00:00"/>
    <n v="8000"/>
    <s v="Online Transfer"/>
    <s v="Recovered"/>
  </r>
  <r>
    <s v="Ahmed Raza"/>
    <n v="88"/>
    <x v="1"/>
    <s v="Female"/>
    <s v="Lahore"/>
    <x v="6"/>
    <s v="Dr. Zubair"/>
    <d v="2024-07-08T00:00:00"/>
    <d v="2024-08-13T00:00:00"/>
    <n v="25000"/>
    <s v="Online Transfer"/>
    <s v="Critical"/>
  </r>
  <r>
    <s v="Saima Ali"/>
    <n v="82"/>
    <x v="1"/>
    <s v="Male"/>
    <s v="Faisalabad"/>
    <x v="2"/>
    <s v="Dr. Sana"/>
    <d v="2024-08-07T00:00:00"/>
    <d v="2024-08-22T00:00:00"/>
    <n v="8000"/>
    <s v="Cash"/>
    <s v="Under Treatment"/>
  </r>
  <r>
    <s v="Saima Qureshi"/>
    <n v="62"/>
    <x v="1"/>
    <s v="Female"/>
    <s v="Lahore"/>
    <x v="6"/>
    <s v="Dr. Tariq"/>
    <d v="2024-09-08T00:00:00"/>
    <d v="2024-08-20T00:00:00"/>
    <n v="5000"/>
    <s v="Online Transfer"/>
    <s v="Recovered"/>
  </r>
  <r>
    <s v="Kamran Ahmed"/>
    <n v="88"/>
    <x v="1"/>
    <s v="Male"/>
    <s v="Lahore"/>
    <x v="0"/>
    <s v="Dr. Sana"/>
    <d v="2024-01-07T00:00:00"/>
    <d v="2024-07-02T00:00:00"/>
    <n v="8000"/>
    <s v="Online Transfer"/>
    <s v="Discharged"/>
  </r>
  <r>
    <s v="Uzma Qureshi"/>
    <n v="5"/>
    <x v="2"/>
    <s v="Female"/>
    <s v="Peshawar"/>
    <x v="2"/>
    <s v="Dr. Imran"/>
    <d v="2024-10-19T00:00:00"/>
    <d v="2024-11-15T00:00:00"/>
    <n v="20000"/>
    <s v="Online Transfer"/>
    <s v="Discharged"/>
  </r>
  <r>
    <s v="Saima Raza"/>
    <n v="58"/>
    <x v="3"/>
    <s v="Male"/>
    <s v="Quetta"/>
    <x v="5"/>
    <s v="Dr. Ayesha"/>
    <d v="2024-06-01T00:00:00"/>
    <d v="2024-01-10T00:00:00"/>
    <n v="20000"/>
    <s v="Card"/>
    <s v="Discharged"/>
  </r>
  <r>
    <s v="Nida Malik"/>
    <n v="41"/>
    <x v="3"/>
    <s v="Female"/>
    <s v="Lahore"/>
    <x v="4"/>
    <s v="Dr. Tariq"/>
    <d v="2024-08-20T00:00:00"/>
    <d v="2024-09-01T00:00:00"/>
    <n v="5000"/>
    <s v="Cash"/>
    <s v="Critical"/>
  </r>
  <r>
    <s v="Imran Niazi"/>
    <n v="20"/>
    <x v="0"/>
    <s v="Male"/>
    <s v="Islamabad"/>
    <x v="5"/>
    <s v="Dr. Zubair"/>
    <d v="2024-06-16T00:00:00"/>
    <d v="2024-06-18T00:00:00"/>
    <n v="100000"/>
    <s v="Insurance"/>
    <s v="Recovered"/>
  </r>
  <r>
    <s v="Amna Siddiqui"/>
    <n v="8"/>
    <x v="2"/>
    <s v="Female"/>
    <s v="Karachi"/>
    <x v="5"/>
    <s v="Dr. Imran"/>
    <d v="2024-08-18T00:00:00"/>
    <d v="2024-09-05T00:00:00"/>
    <n v="25000"/>
    <s v="Insurance"/>
    <s v="Discharged"/>
  </r>
  <r>
    <s v="Zara Bhatti"/>
    <n v="83"/>
    <x v="1"/>
    <s v="Female"/>
    <s v="Quetta"/>
    <x v="6"/>
    <s v="Dr. Sana"/>
    <d v="2024-10-16T00:00:00"/>
    <d v="2024-10-26T00:00:00"/>
    <n v="75000"/>
    <s v="Online Transfer"/>
    <s v="Critical"/>
  </r>
  <r>
    <s v="Sana Malik"/>
    <n v="53"/>
    <x v="3"/>
    <s v="Male"/>
    <s v="Multan"/>
    <x v="2"/>
    <s v="Dr. Tariq"/>
    <d v="2024-03-29T00:00:00"/>
    <d v="2024-04-23T00:00:00"/>
    <n v="5000"/>
    <s v="Insurance"/>
    <s v="Recovered"/>
  </r>
  <r>
    <s v="Nida Nawaz"/>
    <n v="11"/>
    <x v="2"/>
    <s v="Female"/>
    <s v="Peshawar"/>
    <x v="3"/>
    <s v="Dr. Khalid"/>
    <d v="2024-05-04T00:00:00"/>
    <d v="2024-04-06T00:00:00"/>
    <n v="20000"/>
    <s v="Online Transfer"/>
    <s v="Recovered"/>
  </r>
  <r>
    <s v="Waqas Iqbal"/>
    <n v="54"/>
    <x v="3"/>
    <s v="Male"/>
    <s v="Faisalabad"/>
    <x v="5"/>
    <s v="Dr. Zubair"/>
    <d v="2024-09-23T00:00:00"/>
    <d v="2024-10-10T00:00:00"/>
    <n v="25000"/>
    <s v="Insurance"/>
    <s v="Under Treatment"/>
  </r>
  <r>
    <s v="Sobia Iqbal"/>
    <n v="33"/>
    <x v="0"/>
    <s v="Female"/>
    <s v="Quetta"/>
    <x v="1"/>
    <s v="Dr. Farah"/>
    <d v="2024-01-03T00:00:00"/>
    <d v="2024-03-07T00:00:00"/>
    <n v="12000"/>
    <s v="Online Transfer"/>
    <s v="Under Treatment"/>
  </r>
  <r>
    <s v="Waqas Akhtar"/>
    <n v="78"/>
    <x v="1"/>
    <s v="Female"/>
    <s v="Quetta"/>
    <x v="4"/>
    <s v="Dr. Khalid"/>
    <d v="2024-01-30T00:00:00"/>
    <d v="2024-02-26T00:00:00"/>
    <n v="20000"/>
    <s v="Card"/>
    <s v="Under Treatment"/>
  </r>
  <r>
    <s v="Bilal Nawaz"/>
    <n v="42"/>
    <x v="3"/>
    <s v="Male"/>
    <s v="Lahore"/>
    <x v="5"/>
    <s v="Dr. Ayesha"/>
    <d v="2024-10-10T00:00:00"/>
    <d v="2024-11-05T00:00:00"/>
    <n v="15000"/>
    <s v="Card"/>
    <s v="Under Treatment"/>
  </r>
  <r>
    <s v="Asad Iqbal"/>
    <n v="14"/>
    <x v="2"/>
    <s v="Female"/>
    <s v="Karachi"/>
    <x v="1"/>
    <s v="Dr. Imran"/>
    <d v="2024-02-04T00:00:00"/>
    <d v="2024-04-22T00:00:00"/>
    <n v="0"/>
    <s v="Insurance"/>
    <s v="Discharged"/>
  </r>
  <r>
    <s v="Asad Mirza"/>
    <n v="34"/>
    <x v="0"/>
    <s v="Female"/>
    <s v="Islamabad"/>
    <x v="6"/>
    <s v="Dr. Farah"/>
    <d v="2024-05-31T00:00:00"/>
    <d v="2024-06-17T00:00:00"/>
    <n v="5000"/>
    <s v="Card"/>
    <s v="Critical"/>
  </r>
  <r>
    <s v="Imran Khan"/>
    <n v="62"/>
    <x v="1"/>
    <s v="Male"/>
    <s v="Quetta"/>
    <x v="1"/>
    <s v="Dr. Tariq"/>
    <d v="2024-02-19T00:00:00"/>
    <d v="2024-03-11T00:00:00"/>
    <n v="20000"/>
    <s v="Insurance"/>
    <s v="Critical"/>
  </r>
  <r>
    <s v="Hamid Hassan"/>
    <n v="53"/>
    <x v="3"/>
    <s v="Male"/>
    <s v="Faisalabad"/>
    <x v="0"/>
    <s v="Dr. Ayesha"/>
    <d v="2024-08-14T00:00:00"/>
    <d v="2024-08-31T00:00:00"/>
    <n v="5000"/>
    <s v="Online Transfer"/>
    <s v="Unknown"/>
  </r>
  <r>
    <s v="Hina Sheikh"/>
    <n v="69"/>
    <x v="1"/>
    <s v="Male"/>
    <s v="Peshawar"/>
    <x v="4"/>
    <s v="Dr. Tariq"/>
    <d v="2024-08-03T00:00:00"/>
    <d v="2024-03-25T00:00:00"/>
    <n v="20000"/>
    <s v="Card"/>
    <s v="Critical"/>
  </r>
  <r>
    <s v="Imran Akhtar"/>
    <s v="Unknown"/>
    <x v="4"/>
    <s v="Female"/>
    <s v="Quetta"/>
    <x v="5"/>
    <s v="Dr. Imran"/>
    <d v="2024-05-31T00:00:00"/>
    <d v="2024-06-30T00:00:00"/>
    <n v="0"/>
    <s v="Insurance"/>
    <s v="Discharged"/>
  </r>
  <r>
    <s v="Ali Chaudhry"/>
    <n v="35"/>
    <x v="0"/>
    <s v="Male"/>
    <s v="Lahore"/>
    <x v="4"/>
    <s v="Dr. Sana"/>
    <d v="2024-06-02T00:00:00"/>
    <d v="2024-02-26T00:00:00"/>
    <n v="25000"/>
    <s v="Insurance"/>
    <s v="Under Treatment"/>
  </r>
  <r>
    <s v="Lubna Siddiqui"/>
    <n v="6"/>
    <x v="2"/>
    <s v="Female"/>
    <s v="Faisalabad"/>
    <x v="5"/>
    <s v="Dr. Ayesha"/>
    <d v="2024-01-16T00:00:00"/>
    <d v="2024-01-18T00:00:00"/>
    <n v="20000"/>
    <s v="Card"/>
    <s v="Critical"/>
  </r>
  <r>
    <s v="Asad Bhatti"/>
    <n v="27"/>
    <x v="0"/>
    <s v="Female"/>
    <s v="Lahore"/>
    <x v="2"/>
    <s v="Dr. Sana"/>
    <d v="2024-04-07T00:00:00"/>
    <d v="2024-07-28T00:00:00"/>
    <n v="15000"/>
    <s v="Card"/>
    <s v="Recovered"/>
  </r>
  <r>
    <s v="Sara Sheikh"/>
    <n v="62"/>
    <x v="1"/>
    <s v="Female"/>
    <s v="Faisalabad"/>
    <x v="2"/>
    <s v="Dr. Imran"/>
    <d v="2024-08-31T00:00:00"/>
    <d v="2024-09-14T00:00:00"/>
    <n v="75000"/>
    <s v="Online Transfer"/>
    <s v="Unknown"/>
  </r>
  <r>
    <s v="Asad Nawaz"/>
    <n v="25"/>
    <x v="0"/>
    <s v="Male"/>
    <s v="Lahore"/>
    <x v="4"/>
    <s v="Dr. Zubair"/>
    <d v="2024-08-10T00:00:00"/>
    <d v="2024-11-02T00:00:00"/>
    <n v="25000"/>
    <s v="Online Transfer"/>
    <s v="Recovered"/>
  </r>
  <r>
    <s v="Fatima Bhatti"/>
    <n v="83"/>
    <x v="1"/>
    <s v="Male"/>
    <s v="Karachi"/>
    <x v="2"/>
    <s v="Dr. Ayesha"/>
    <d v="2024-09-16T00:00:00"/>
    <d v="2024-09-17T00:00:00"/>
    <n v="15000"/>
    <s v="Insurance"/>
    <s v="Critical"/>
  </r>
  <r>
    <s v="Asad Raza"/>
    <n v="80"/>
    <x v="1"/>
    <s v="Male"/>
    <s v="Lahore"/>
    <x v="2"/>
    <s v="Dr. Tariq"/>
    <d v="2024-02-04T00:00:00"/>
    <d v="2024-04-27T00:00:00"/>
    <n v="25000"/>
    <s v="Online Transfer"/>
    <s v="Discharged"/>
  </r>
  <r>
    <s v="Uzma Butt"/>
    <n v="75"/>
    <x v="1"/>
    <s v="Female"/>
    <s v="Islamabad"/>
    <x v="4"/>
    <s v="Dr. Zubair"/>
    <d v="2024-05-08T00:00:00"/>
    <d v="2024-08-26T00:00:00"/>
    <n v="8000"/>
    <s v="Online Transfer"/>
    <s v="Recovered"/>
  </r>
  <r>
    <s v="Zubair Raza"/>
    <n v="76"/>
    <x v="1"/>
    <s v="Female"/>
    <s v="Islamabad"/>
    <x v="1"/>
    <s v="Dr. Zubair"/>
    <d v="2024-08-04T00:00:00"/>
    <d v="2024-05-07T00:00:00"/>
    <n v="15000"/>
    <s v="Cash"/>
    <s v="Critical"/>
  </r>
  <r>
    <s v="Tariq Raza"/>
    <n v="61"/>
    <x v="1"/>
    <s v="Male"/>
    <s v="Peshawar"/>
    <x v="5"/>
    <s v="Dr. Sana"/>
    <d v="2024-12-04T00:00:00"/>
    <d v="2024-04-28T00:00:00"/>
    <n v="15000"/>
    <s v="Online Transfer"/>
    <s v="Critical"/>
  </r>
  <r>
    <s v="Lubna Mirza"/>
    <n v="60"/>
    <x v="1"/>
    <s v="Male"/>
    <s v="Faisalabad"/>
    <x v="3"/>
    <s v="Dr. Zubair"/>
    <d v="2024-09-09T00:00:00"/>
    <d v="2024-10-09T00:00:00"/>
    <n v="35000"/>
    <s v="Insurance"/>
    <s v="Under Treatment"/>
  </r>
  <r>
    <s v="Tariq Sheikh"/>
    <n v="82"/>
    <x v="1"/>
    <s v="Female"/>
    <s v="Quetta"/>
    <x v="0"/>
    <s v="Dr. Khalid"/>
    <d v="2024-01-02T00:00:00"/>
    <d v="2024-02-20T00:00:00"/>
    <n v="8000"/>
    <s v="Cash"/>
    <s v="Critical"/>
  </r>
  <r>
    <s v="Sana Ahmed"/>
    <n v="44"/>
    <x v="3"/>
    <s v="Female"/>
    <s v="Peshawar"/>
    <x v="3"/>
    <s v="Dr. Imran"/>
    <d v="2024-01-17T00:00:00"/>
    <d v="2024-01-25T00:00:00"/>
    <n v="15000"/>
    <s v="Online Transfer"/>
    <s v="Under Treatment"/>
  </r>
  <r>
    <s v="Saima Siddiqui"/>
    <n v="57"/>
    <x v="3"/>
    <s v="Male"/>
    <s v="Unknown"/>
    <x v="6"/>
    <s v="Dr. Zubair"/>
    <d v="2024-07-13T00:00:00"/>
    <d v="2024-07-21T00:00:00"/>
    <n v="20000"/>
    <s v="Cash"/>
    <s v="Discharged"/>
  </r>
  <r>
    <s v="Fariha Malik"/>
    <n v="56"/>
    <x v="3"/>
    <s v="Female"/>
    <s v="Islamabad"/>
    <x v="0"/>
    <s v="Dr. Zubair"/>
    <d v="2024-10-06T00:00:00"/>
    <d v="2024-07-09T00:00:00"/>
    <n v="25000"/>
    <s v="Insurance"/>
    <s v="Discharged"/>
  </r>
  <r>
    <s v="Ali Mirza"/>
    <n v="81"/>
    <x v="1"/>
    <s v="Female"/>
    <s v="Islamabad"/>
    <x v="0"/>
    <s v="Dr. Zubair"/>
    <d v="2024-04-18T00:00:00"/>
    <d v="2024-05-09T00:00:00"/>
    <n v="12000"/>
    <s v="Online Transfer"/>
    <s v="Under Treatment"/>
  </r>
  <r>
    <s v="Usman Iqbal"/>
    <n v="44"/>
    <x v="3"/>
    <s v="Female"/>
    <s v="Multan"/>
    <x v="6"/>
    <s v="Dr. Zubair"/>
    <d v="2024-02-25T00:00:00"/>
    <d v="2024-02-27T00:00:00"/>
    <n v="100000"/>
    <s v="Card"/>
    <s v="Discharged"/>
  </r>
  <r>
    <s v="Lubna Siddiqui"/>
    <n v="85"/>
    <x v="1"/>
    <s v="Female"/>
    <s v="Peshawar"/>
    <x v="0"/>
    <s v="Dr. Farah"/>
    <d v="2024-03-23T00:00:00"/>
    <d v="2024-04-07T00:00:00"/>
    <n v="75000"/>
    <s v="Card"/>
    <s v="Under Treatment"/>
  </r>
  <r>
    <s v="Hassan Nawaz"/>
    <n v="45"/>
    <x v="3"/>
    <s v="Female"/>
    <s v="Islamabad"/>
    <x v="3"/>
    <s v="Dr. Imran"/>
    <d v="2024-03-15T00:00:00"/>
    <d v="2024-04-10T00:00:00"/>
    <n v="50000"/>
    <s v="Online Transfer"/>
    <s v="Discharged"/>
  </r>
  <r>
    <s v="Hassan Hassan"/>
    <n v="4"/>
    <x v="2"/>
    <s v="Male"/>
    <s v="Multan"/>
    <x v="4"/>
    <s v="Dr. Imran"/>
    <d v="2024-06-28T00:00:00"/>
    <d v="2024-07-20T00:00:00"/>
    <n v="50000"/>
    <s v="Insurance"/>
    <s v="Discharged"/>
  </r>
  <r>
    <s v="Hassan Siddiqui"/>
    <n v="18"/>
    <x v="0"/>
    <s v="Female"/>
    <s v="Faisalabad"/>
    <x v="0"/>
    <s v="Dr. Tariq"/>
    <d v="2024-09-23T00:00:00"/>
    <d v="2024-10-10T00:00:00"/>
    <n v="8000"/>
    <s v="Insurance"/>
    <s v="Recovered"/>
  </r>
  <r>
    <s v="Imran Ahmed"/>
    <n v="55"/>
    <x v="3"/>
    <s v="Male"/>
    <s v="Quetta"/>
    <x v="6"/>
    <s v="Dr. Khalid"/>
    <d v="2024-04-10T00:00:00"/>
    <d v="2024-10-11T00:00:00"/>
    <n v="12000"/>
    <s v="Online Transfer"/>
    <s v="Critical"/>
  </r>
  <r>
    <s v="Bilal Ali"/>
    <n v="26"/>
    <x v="0"/>
    <s v="Male"/>
    <s v="Multan"/>
    <x v="3"/>
    <s v="Dr. Sana"/>
    <d v="2024-10-10T00:00:00"/>
    <d v="2024-10-13T00:00:00"/>
    <n v="50000"/>
    <s v="Cash"/>
    <s v="Discharged"/>
  </r>
  <r>
    <s v="Fatima Nawaz"/>
    <n v="45"/>
    <x v="3"/>
    <s v="Female"/>
    <s v="Multan"/>
    <x v="4"/>
    <s v="Dr. Farah"/>
    <d v="2024-05-30T00:00:00"/>
    <d v="2024-06-23T00:00:00"/>
    <n v="8000"/>
    <s v="Card"/>
    <s v="Recovered"/>
  </r>
  <r>
    <s v="Hina Bhatti"/>
    <n v="49"/>
    <x v="3"/>
    <s v="Female"/>
    <s v="Islamabad"/>
    <x v="2"/>
    <s v="Dr. Khalid"/>
    <d v="2024-03-07T00:00:00"/>
    <d v="2024-07-09T00:00:00"/>
    <n v="75000"/>
    <s v="Insurance"/>
    <s v="Discharged"/>
  </r>
  <r>
    <s v="Farhan Hassan"/>
    <n v="89"/>
    <x v="1"/>
    <s v="Male"/>
    <s v="Peshawar"/>
    <x v="4"/>
    <s v="Dr. Zubair"/>
    <d v="2024-02-01T00:00:00"/>
    <d v="2024-01-22T00:00:00"/>
    <n v="12000"/>
    <s v="Online Transfer"/>
    <s v="Discharged"/>
  </r>
  <r>
    <s v="Rabia Bhatti"/>
    <n v="57"/>
    <x v="3"/>
    <s v="Female"/>
    <s v="Karachi"/>
    <x v="5"/>
    <s v="Dr. Laiba"/>
    <d v="2024-09-04T00:00:00"/>
    <d v="2024-04-19T00:00:00"/>
    <n v="75000"/>
    <s v="Card"/>
    <s v="Recovered"/>
  </r>
  <r>
    <s v="Sara Bhatti"/>
    <n v="84"/>
    <x v="1"/>
    <s v="Female"/>
    <s v="Lahore"/>
    <x v="5"/>
    <s v="Dr. Ayesha"/>
    <d v="2024-10-17T00:00:00"/>
    <d v="2024-11-01T00:00:00"/>
    <n v="15000"/>
    <s v="Cash"/>
    <s v="Under Treatment"/>
  </r>
  <r>
    <s v="Uzma Akhtar"/>
    <n v="82"/>
    <x v="1"/>
    <s v="Female"/>
    <s v="Islamabad"/>
    <x v="2"/>
    <s v="Dr. Ayesha"/>
    <d v="2024-08-23T00:00:00"/>
    <d v="2024-09-20T00:00:00"/>
    <n v="8000"/>
    <s v="Card"/>
    <s v="Discharged"/>
  </r>
  <r>
    <s v="Waqas Abbasi"/>
    <n v="65"/>
    <x v="1"/>
    <s v="Unknown"/>
    <s v="Peshawar"/>
    <x v="4"/>
    <s v="Dr. Sana"/>
    <d v="2024-08-10T00:00:00"/>
    <d v="2024-10-20T00:00:00"/>
    <n v="5000"/>
    <s v="Online Transfer"/>
    <s v="Under Treatment"/>
  </r>
  <r>
    <s v="Amna Bhatti"/>
    <n v="57"/>
    <x v="3"/>
    <s v="Male"/>
    <s v="Islamabad"/>
    <x v="6"/>
    <s v="Dr. Imran"/>
    <d v="2024-02-24T00:00:00"/>
    <d v="2024-03-06T00:00:00"/>
    <n v="5000"/>
    <s v="Insurance"/>
    <s v="Recovered"/>
  </r>
  <r>
    <s v="Hamid Abbasi"/>
    <n v="3"/>
    <x v="2"/>
    <s v="Female"/>
    <s v="Lahore"/>
    <x v="3"/>
    <s v="Dr. Khalid"/>
    <d v="2024-10-24T00:00:00"/>
    <d v="2024-11-14T00:00:00"/>
    <n v="15000"/>
    <s v="Card"/>
    <s v="Critical"/>
  </r>
  <r>
    <s v="Hassan Javed"/>
    <n v="63"/>
    <x v="1"/>
    <s v="Male"/>
    <s v="Multan"/>
    <x v="2"/>
    <s v="Dr. Khalid"/>
    <d v="2024-05-23T00:00:00"/>
    <d v="2024-06-21T00:00:00"/>
    <n v="75000"/>
    <s v="Card"/>
    <s v="Discharged"/>
  </r>
  <r>
    <s v="Waqas Ali"/>
    <n v="5"/>
    <x v="2"/>
    <s v="Female"/>
    <s v="Lahore"/>
    <x v="1"/>
    <s v="Dr. Zubair"/>
    <d v="2024-02-09T00:00:00"/>
    <d v="2024-03-08T00:00:00"/>
    <n v="25000"/>
    <s v="Cash"/>
    <s v="Discharged"/>
  </r>
  <r>
    <s v="Zubair Sheikh"/>
    <n v="47"/>
    <x v="3"/>
    <s v="Male"/>
    <s v="Lahore"/>
    <x v="4"/>
    <s v="Dr. Tariq"/>
    <d v="2024-05-09T00:00:00"/>
    <d v="2024-05-13T00:00:00"/>
    <n v="50000"/>
    <s v="Card"/>
    <s v="Critical"/>
  </r>
  <r>
    <s v="Uzma Iqbal"/>
    <n v="21"/>
    <x v="0"/>
    <s v="Male"/>
    <s v="Peshawar"/>
    <x v="3"/>
    <s v="Dr. Farah"/>
    <d v="2024-08-16T00:00:00"/>
    <d v="2024-08-20T00:00:00"/>
    <n v="12000"/>
    <s v="Card"/>
    <s v="Discharged"/>
  </r>
  <r>
    <s v="Saima Ansari"/>
    <n v="5"/>
    <x v="2"/>
    <s v="Male"/>
    <s v="Multan"/>
    <x v="3"/>
    <s v="Dr. Tariq"/>
    <d v="2024-02-29T00:00:00"/>
    <d v="2024-03-06T00:00:00"/>
    <n v="20000"/>
    <s v="Online Transfer"/>
    <s v="Recovered"/>
  </r>
  <r>
    <s v="Sana Nawaz"/>
    <n v="41"/>
    <x v="3"/>
    <s v="Male"/>
    <s v="Islamabad"/>
    <x v="5"/>
    <s v="Dr. Zubair"/>
    <d v="2024-02-13T00:00:00"/>
    <d v="2024-02-25T00:00:00"/>
    <n v="5000"/>
    <s v="Card"/>
    <s v="Discharged"/>
  </r>
  <r>
    <s v="Asad Ali"/>
    <n v="61"/>
    <x v="1"/>
    <s v="Female"/>
    <s v="Peshawar"/>
    <x v="6"/>
    <s v="Dr. Imran"/>
    <d v="2024-08-09T00:00:00"/>
    <d v="2024-09-20T00:00:00"/>
    <n v="5000"/>
    <s v="Card"/>
    <s v="Discharged"/>
  </r>
  <r>
    <s v="Fariha Ahmed"/>
    <n v="90"/>
    <x v="1"/>
    <s v="Female"/>
    <s v="Quetta"/>
    <x v="5"/>
    <s v="Dr. Tariq"/>
    <d v="2024-06-09T00:00:00"/>
    <d v="2024-06-27T00:00:00"/>
    <n v="8000"/>
    <s v="Insurance"/>
    <s v="Recovered"/>
  </r>
  <r>
    <s v="Kamran Niazi"/>
    <n v="73"/>
    <x v="1"/>
    <s v="Female"/>
    <s v="Islamabad"/>
    <x v="1"/>
    <s v="Dr. Ayesha"/>
    <d v="2024-02-29T00:00:00"/>
    <d v="2024-03-19T00:00:00"/>
    <n v="5000"/>
    <s v="Cash"/>
    <s v="Discharged"/>
  </r>
  <r>
    <s v="Ali Malik"/>
    <n v="54"/>
    <x v="3"/>
    <s v="Female"/>
    <s v="Peshawar"/>
    <x v="6"/>
    <s v="Dr. Farah"/>
    <d v="2024-04-16T00:00:00"/>
    <d v="2024-05-09T00:00:00"/>
    <n v="8000"/>
    <s v="Cash"/>
    <s v="Critical"/>
  </r>
  <r>
    <s v="Zara Ali"/>
    <n v="87"/>
    <x v="1"/>
    <s v="Female"/>
    <s v="Peshawar"/>
    <x v="3"/>
    <s v="Dr. Zubair"/>
    <d v="2024-07-21T00:00:00"/>
    <d v="2024-07-30T00:00:00"/>
    <n v="20000"/>
    <s v="Insurance"/>
    <s v="Under Treatment"/>
  </r>
  <r>
    <s v="Imran Raza"/>
    <n v="35"/>
    <x v="0"/>
    <s v="Female"/>
    <s v="Quetta"/>
    <x v="2"/>
    <s v="Dr. Sana"/>
    <d v="2024-06-04T00:00:00"/>
    <d v="2024-04-21T00:00:00"/>
    <n v="12000"/>
    <s v="Insurance"/>
    <s v="Recovered"/>
  </r>
  <r>
    <s v="Rabia Chaudhry"/>
    <n v="88"/>
    <x v="1"/>
    <s v="Male"/>
    <s v="Multan"/>
    <x v="4"/>
    <s v="Dr. Imran"/>
    <d v="2024-05-09T00:00:00"/>
    <d v="2024-09-07T00:00:00"/>
    <n v="100000"/>
    <s v="Card"/>
    <s v="Discharged"/>
  </r>
  <r>
    <s v="Imran Ahmed"/>
    <n v="11"/>
    <x v="2"/>
    <s v="Female"/>
    <s v="Islamabad"/>
    <x v="5"/>
    <s v="Dr. Khalid"/>
    <d v="2024-10-15T00:00:00"/>
    <d v="2024-11-07T00:00:00"/>
    <n v="50000"/>
    <s v="Cash"/>
    <s v="Recovered"/>
  </r>
  <r>
    <s v="Uzma Mirza"/>
    <n v="82"/>
    <x v="1"/>
    <s v="Male"/>
    <s v="Peshawar"/>
    <x v="3"/>
    <s v="Dr. Farah"/>
    <d v="2024-01-17T00:00:00"/>
    <d v="2024-02-10T00:00:00"/>
    <n v="50000"/>
    <s v="Card"/>
    <s v="Discharged"/>
  </r>
  <r>
    <s v="Ahmed Ali"/>
    <n v="84"/>
    <x v="1"/>
    <s v="Female"/>
    <s v="Islamabad"/>
    <x v="2"/>
    <s v="Dr. Khalid"/>
    <d v="2024-10-17T00:00:00"/>
    <d v="2024-10-24T00:00:00"/>
    <n v="0"/>
    <s v="Insurance"/>
    <s v="Discharged"/>
  </r>
  <r>
    <s v="Ali Sheikh"/>
    <n v="61"/>
    <x v="1"/>
    <s v="Male"/>
    <s v="Islamabad"/>
    <x v="3"/>
    <s v="Dr. Zubair"/>
    <d v="2024-04-04T00:00:00"/>
    <d v="2024-04-11T00:00:00"/>
    <n v="50000"/>
    <s v="Card"/>
    <s v="Recovered"/>
  </r>
  <r>
    <s v="Nadia Iqbal"/>
    <n v="88"/>
    <x v="1"/>
    <s v="Female"/>
    <s v="Multan"/>
    <x v="0"/>
    <s v="Dr. Ayesha"/>
    <d v="2024-09-06T00:00:00"/>
    <d v="2024-09-13T00:00:00"/>
    <n v="15000"/>
    <s v="Cash"/>
    <s v="Under Treatment"/>
  </r>
  <r>
    <s v="Zubair Raza"/>
    <n v="82"/>
    <x v="1"/>
    <s v="Female"/>
    <s v="Lahore"/>
    <x v="5"/>
    <s v="Dr. Tariq"/>
    <d v="2024-02-19T00:00:00"/>
    <d v="2024-03-18T00:00:00"/>
    <n v="35000"/>
    <s v="Online Transfer"/>
    <s v="Recovered"/>
  </r>
  <r>
    <s v="Danish Nawaz"/>
    <n v="84"/>
    <x v="1"/>
    <s v="Male"/>
    <s v="Faisalabad"/>
    <x v="3"/>
    <s v="Dr. Ayesha"/>
    <d v="2024-04-04T00:00:00"/>
    <d v="2024-04-16T00:00:00"/>
    <n v="50000"/>
    <s v="Cash"/>
    <s v="Discharged"/>
  </r>
  <r>
    <s v="Fatima Javed"/>
    <n v="34"/>
    <x v="0"/>
    <s v="Female"/>
    <s v="Quetta"/>
    <x v="0"/>
    <s v="Dr. Ayesha"/>
    <d v="2024-06-27T00:00:00"/>
    <d v="2024-06-29T00:00:00"/>
    <n v="8000"/>
    <s v="Card"/>
    <s v="Recovered"/>
  </r>
  <r>
    <s v="Bilal Qureshi"/>
    <n v="21"/>
    <x v="0"/>
    <s v="Female"/>
    <s v="Peshawar"/>
    <x v="2"/>
    <s v="Dr. Ayesha"/>
    <d v="2024-04-10T00:00:00"/>
    <d v="2024-10-22T00:00:00"/>
    <n v="8000"/>
    <s v="Insurance"/>
    <s v="Critical"/>
  </r>
  <r>
    <s v="Saima Siddiqui"/>
    <n v="85"/>
    <x v="1"/>
    <s v="Unknown"/>
    <s v="Karachi"/>
    <x v="1"/>
    <s v="Dr. Imran"/>
    <d v="2024-03-05T00:00:00"/>
    <d v="2024-05-12T00:00:00"/>
    <n v="8000"/>
    <s v="Insurance"/>
    <s v="Recovered"/>
  </r>
  <r>
    <s v="Fatima Chaudhry"/>
    <n v="87"/>
    <x v="1"/>
    <s v="Male"/>
    <s v="Peshawar"/>
    <x v="3"/>
    <s v="Dr. Farah"/>
    <d v="2024-05-23T00:00:00"/>
    <d v="2024-06-04T00:00:00"/>
    <n v="0"/>
    <s v="Online Transfer"/>
    <s v="Under Treatment"/>
  </r>
  <r>
    <s v="Omer Qureshi"/>
    <n v="34"/>
    <x v="0"/>
    <s v="Female"/>
    <s v="Islamabad"/>
    <x v="5"/>
    <s v="Dr. Ayesha"/>
    <d v="2024-08-09T00:00:00"/>
    <d v="2024-09-27T00:00:00"/>
    <n v="5000"/>
    <s v="Online Transfer"/>
    <s v="Discharged"/>
  </r>
  <r>
    <s v="Ali Malik"/>
    <n v="18"/>
    <x v="0"/>
    <s v="Male"/>
    <s v="Faisalabad"/>
    <x v="2"/>
    <s v="Dr. Zubair"/>
    <d v="2024-11-06T00:00:00"/>
    <d v="2024-07-10T00:00:00"/>
    <n v="12000"/>
    <s v="Insurance"/>
    <s v="Discharged"/>
  </r>
  <r>
    <s v="Sobia Siddiqui"/>
    <n v="84"/>
    <x v="1"/>
    <s v="Female"/>
    <s v="Multan"/>
    <x v="0"/>
    <s v="Dr. Zubair"/>
    <d v="2024-01-21T00:00:00"/>
    <d v="2024-02-17T00:00:00"/>
    <n v="35000"/>
    <s v="Cash"/>
    <s v="Unknown"/>
  </r>
  <r>
    <s v="Ahmed Malik"/>
    <n v="68"/>
    <x v="1"/>
    <s v="Male"/>
    <s v="Lahore"/>
    <x v="1"/>
    <s v="Dr. Tariq"/>
    <d v="2024-10-18T00:00:00"/>
    <d v="2024-10-22T00:00:00"/>
    <n v="25000"/>
    <s v="Insurance"/>
    <s v="Discharged"/>
  </r>
  <r>
    <s v="Hamid Akhtar"/>
    <n v="20"/>
    <x v="0"/>
    <s v="Male"/>
    <s v="Multan"/>
    <x v="3"/>
    <s v="Dr. Imran"/>
    <d v="2024-08-20T00:00:00"/>
    <d v="2024-08-21T00:00:00"/>
    <n v="5000"/>
    <s v="Online Transfer"/>
    <s v="Critical"/>
  </r>
  <r>
    <s v="Amna Malik"/>
    <n v="25"/>
    <x v="0"/>
    <s v="Male"/>
    <s v="Faisalabad"/>
    <x v="5"/>
    <s v="Dr. Tariq"/>
    <d v="2024-11-06T00:00:00"/>
    <d v="2024-07-05T00:00:00"/>
    <n v="20000"/>
    <s v="Online Transfer"/>
    <s v="Recovered"/>
  </r>
  <r>
    <s v="Bilal Chaudhry"/>
    <n v="74"/>
    <x v="1"/>
    <s v="Male"/>
    <s v="Karachi"/>
    <x v="5"/>
    <s v="Dr. Tariq"/>
    <d v="2024-09-05T00:00:00"/>
    <d v="2024-05-11T00:00:00"/>
    <n v="12000"/>
    <s v="Online Transfer"/>
    <s v="Critical"/>
  </r>
  <r>
    <s v="Sana Niazi"/>
    <s v="Unknown"/>
    <x v="4"/>
    <s v="Male"/>
    <s v="Multan"/>
    <x v="4"/>
    <s v="Dr. Khalid"/>
    <d v="2024-03-03T00:00:00"/>
    <d v="2024-03-20T00:00:00"/>
    <n v="50000"/>
    <s v="Online Transfer"/>
    <s v="Recovered"/>
  </r>
  <r>
    <s v="Sara Siddiqui"/>
    <n v="89"/>
    <x v="1"/>
    <s v="Male"/>
    <s v="Islamabad"/>
    <x v="6"/>
    <s v="Dr. Zubair"/>
    <d v="2024-08-21T00:00:00"/>
    <d v="2024-09-08T00:00:00"/>
    <n v="0"/>
    <s v="Card"/>
    <s v="Discharged"/>
  </r>
  <r>
    <s v="Farhan Nawaz"/>
    <n v="11"/>
    <x v="2"/>
    <s v="Male"/>
    <s v="Islamabad"/>
    <x v="5"/>
    <s v="Dr. Tariq"/>
    <d v="2024-04-06T00:00:00"/>
    <d v="2024-06-28T00:00:00"/>
    <n v="100000"/>
    <s v="Online Transfer"/>
    <s v="Under Treatment"/>
  </r>
  <r>
    <s v="Sara Javed"/>
    <n v="55"/>
    <x v="3"/>
    <s v="Female"/>
    <s v="Islamabad"/>
    <x v="6"/>
    <s v="Dr. Tariq"/>
    <d v="2024-02-21T00:00:00"/>
    <d v="2024-03-18T00:00:00"/>
    <n v="100000"/>
    <s v="Card"/>
    <s v="Under Treatment"/>
  </r>
  <r>
    <s v="Nida Javed"/>
    <n v="29"/>
    <x v="0"/>
    <s v="Female"/>
    <s v="Multan"/>
    <x v="3"/>
    <s v="Dr. Ayesha"/>
    <d v="2024-03-18T00:00:00"/>
    <d v="2024-03-27T00:00:00"/>
    <n v="0"/>
    <s v="Card"/>
    <s v="Recovered"/>
  </r>
  <r>
    <s v="Imran Mirza"/>
    <n v="82"/>
    <x v="1"/>
    <s v="Male"/>
    <s v="Quetta"/>
    <x v="5"/>
    <s v="Dr. Farah"/>
    <d v="2024-03-31T00:00:00"/>
    <d v="2024-04-19T00:00:00"/>
    <n v="12000"/>
    <s v="Cash"/>
    <s v="Discharged"/>
  </r>
  <r>
    <s v="Bilal Ahmed"/>
    <n v="46"/>
    <x v="3"/>
    <s v="Female"/>
    <s v="Islamabad"/>
    <x v="1"/>
    <s v="Dr. Farah"/>
    <d v="2024-09-01T00:00:00"/>
    <d v="2024-09-10T00:00:00"/>
    <n v="5000"/>
    <s v="Online Transfer"/>
    <s v="Under Treatment"/>
  </r>
  <r>
    <s v="Usman Ali"/>
    <n v="22"/>
    <x v="0"/>
    <s v="Male"/>
    <s v="Faisalabad"/>
    <x v="4"/>
    <s v="Dr. Farah"/>
    <d v="2024-06-27T00:00:00"/>
    <d v="2024-07-18T00:00:00"/>
    <n v="35000"/>
    <s v="Insurance"/>
    <s v="Discharged"/>
  </r>
  <r>
    <s v="Hamid Ansari"/>
    <n v="43"/>
    <x v="3"/>
    <s v="Female"/>
    <s v="Karachi"/>
    <x v="3"/>
    <s v="Dr. Zubair"/>
    <d v="2024-02-29T00:00:00"/>
    <d v="2024-03-19T00:00:00"/>
    <n v="0"/>
    <s v="Cash"/>
    <s v="Discharged"/>
  </r>
  <r>
    <s v="Imran Nawaz"/>
    <n v="1"/>
    <x v="2"/>
    <s v="Female"/>
    <s v="Karachi"/>
    <x v="4"/>
    <s v="Dr. Zubair"/>
    <d v="2024-06-25T00:00:00"/>
    <d v="2024-07-01T00:00:00"/>
    <n v="100000"/>
    <s v="Card"/>
    <s v="Under Treatment"/>
  </r>
  <r>
    <s v="Nadia Chaudhry"/>
    <n v="31"/>
    <x v="0"/>
    <s v="Female"/>
    <s v="Multan"/>
    <x v="5"/>
    <s v="Dr. Khalid"/>
    <d v="2024-12-08T00:00:00"/>
    <d v="2024-09-10T00:00:00"/>
    <n v="20000"/>
    <s v="Online Transfer"/>
    <s v="Critical"/>
  </r>
  <r>
    <s v="Sana Butt"/>
    <n v="47"/>
    <x v="3"/>
    <s v="Female"/>
    <s v="Quetta"/>
    <x v="4"/>
    <s v="Dr. Imran"/>
    <d v="2024-10-27T00:00:00"/>
    <d v="2024-11-13T00:00:00"/>
    <n v="75000"/>
    <s v="Online Transfer"/>
    <s v="Under Treatment"/>
  </r>
  <r>
    <s v="Usman Akhtar"/>
    <n v="81"/>
    <x v="1"/>
    <s v="Male"/>
    <s v="Multan"/>
    <x v="4"/>
    <s v="Dr. Imran"/>
    <d v="2024-05-16T00:00:00"/>
    <d v="2024-05-31T00:00:00"/>
    <n v="15000"/>
    <s v="Cash"/>
    <s v="Under Treatment"/>
  </r>
  <r>
    <s v="Hassan Abbasi"/>
    <n v="8"/>
    <x v="2"/>
    <s v="Male"/>
    <s v="Lahore"/>
    <x v="4"/>
    <s v="Dr. Sana"/>
    <d v="2024-09-30T00:00:00"/>
    <d v="2024-10-22T00:00:00"/>
    <n v="15000"/>
    <s v="Online Transfer"/>
    <s v="Recovered"/>
  </r>
  <r>
    <s v="Tariq Ali"/>
    <n v="16"/>
    <x v="2"/>
    <s v="Female"/>
    <s v="Karachi"/>
    <x v="2"/>
    <s v="Dr. Zubair"/>
    <d v="2024-12-01T00:00:00"/>
    <d v="2024-01-13T00:00:00"/>
    <n v="20000"/>
    <s v="Online Transfer"/>
    <s v="Critical"/>
  </r>
  <r>
    <s v="Sara Butt"/>
    <n v="74"/>
    <x v="1"/>
    <s v="Female"/>
    <s v="Faisalabad"/>
    <x v="5"/>
    <s v="Dr. Khalid"/>
    <d v="2024-09-06T00:00:00"/>
    <d v="2024-06-28T00:00:00"/>
    <n v="8000"/>
    <s v="Insurance"/>
    <s v="Discharged"/>
  </r>
  <r>
    <s v="Zara Niazi"/>
    <n v="87"/>
    <x v="1"/>
    <s v="Male"/>
    <s v="Lahore"/>
    <x v="6"/>
    <s v="Dr. Farah"/>
    <d v="2024-12-08T00:00:00"/>
    <d v="2024-09-06T00:00:00"/>
    <n v="0"/>
    <s v="Insurance"/>
    <s v="Critical"/>
  </r>
  <r>
    <s v="Imran Khan"/>
    <n v="54"/>
    <x v="3"/>
    <s v="Female"/>
    <s v="Faisalabad"/>
    <x v="6"/>
    <s v="Dr. Sana"/>
    <d v="2024-04-29T00:00:00"/>
    <d v="2024-04-30T00:00:00"/>
    <n v="100000"/>
    <s v="Card"/>
    <s v="Recovered"/>
  </r>
  <r>
    <s v="Nida Siddiqui"/>
    <n v="39"/>
    <x v="0"/>
    <s v="Male"/>
    <s v="Faisalabad"/>
    <x v="0"/>
    <s v="Dr. Tariq"/>
    <d v="2024-07-13T00:00:00"/>
    <d v="2024-07-19T00:00:00"/>
    <n v="5000"/>
    <s v="Online Transfer"/>
    <s v="Discharged"/>
  </r>
  <r>
    <s v="Nida Qureshi"/>
    <s v="Unknown"/>
    <x v="4"/>
    <s v="Female"/>
    <s v="Multan"/>
    <x v="4"/>
    <s v="Dr. Farah"/>
    <d v="2024-12-04T00:00:00"/>
    <d v="2024-04-25T00:00:00"/>
    <n v="20000"/>
    <s v="Cash"/>
    <s v="Discharged"/>
  </r>
  <r>
    <s v="Saima Niazi"/>
    <n v="87"/>
    <x v="1"/>
    <s v="Male"/>
    <s v="Peshawar"/>
    <x v="1"/>
    <s v="Dr. Zubair"/>
    <d v="2024-07-13T00:00:00"/>
    <d v="2024-07-21T00:00:00"/>
    <n v="100000"/>
    <s v="Card"/>
    <s v="Critical"/>
  </r>
  <r>
    <s v="Rabia Nawaz"/>
    <n v="7"/>
    <x v="2"/>
    <s v="Male"/>
    <s v="Lahore"/>
    <x v="6"/>
    <s v="Dr. Khalid"/>
    <d v="2024-12-04T00:00:00"/>
    <d v="2024-04-22T00:00:00"/>
    <n v="35000"/>
    <s v="Card"/>
    <s v="Under Treatment"/>
  </r>
  <r>
    <s v="Mehwish Ahmed"/>
    <n v="31"/>
    <x v="0"/>
    <s v="Female"/>
    <s v="Faisalabad"/>
    <x v="2"/>
    <s v="Dr. Zubair"/>
    <d v="2024-01-29T00:00:00"/>
    <d v="2024-02-27T00:00:00"/>
    <n v="100000"/>
    <s v="Card"/>
    <s v="Recovered"/>
  </r>
  <r>
    <s v="Zubair Siddiqui"/>
    <n v="45"/>
    <x v="3"/>
    <s v="Female"/>
    <s v="Multan"/>
    <x v="5"/>
    <s v="Dr. Khalid"/>
    <d v="2024-08-29T00:00:00"/>
    <d v="2024-09-26T00:00:00"/>
    <n v="12000"/>
    <s v="Cash"/>
    <s v="Discharged"/>
  </r>
  <r>
    <s v="Hina Qureshi"/>
    <n v="29"/>
    <x v="0"/>
    <s v="Male"/>
    <s v="Multan"/>
    <x v="1"/>
    <s v="Dr. Farah"/>
    <d v="2024-01-02T00:00:00"/>
    <d v="2024-01-26T00:00:00"/>
    <n v="15000"/>
    <s v="Card"/>
    <s v="Discharged"/>
  </r>
  <r>
    <s v="Mehwish Javed"/>
    <n v="53"/>
    <x v="3"/>
    <s v="Male"/>
    <s v="Peshawar"/>
    <x v="4"/>
    <s v="Dr. Farah"/>
    <d v="2024-04-08T00:00:00"/>
    <d v="2024-04-25T00:00:00"/>
    <n v="50000"/>
    <s v="Online Transfer"/>
    <s v="Recovered"/>
  </r>
  <r>
    <s v="Rabia Mirza"/>
    <n v="23"/>
    <x v="0"/>
    <s v="Male"/>
    <s v="Lahore"/>
    <x v="0"/>
    <s v="Dr. Imran"/>
    <d v="2024-09-29T00:00:00"/>
    <d v="2024-10-09T00:00:00"/>
    <n v="75000"/>
    <s v="Card"/>
    <s v="Recovered"/>
  </r>
  <r>
    <s v="Asad Ali"/>
    <n v="63"/>
    <x v="1"/>
    <s v="Male"/>
    <s v="Quetta"/>
    <x v="1"/>
    <s v="Dr. Khalid"/>
    <d v="2024-03-09T00:00:00"/>
    <d v="2024-09-14T00:00:00"/>
    <n v="0"/>
    <s v="Card"/>
    <s v="Critical"/>
  </r>
  <r>
    <s v="Zara Siddiqui"/>
    <n v="29"/>
    <x v="0"/>
    <s v="Male"/>
    <s v="Multan"/>
    <x v="2"/>
    <s v="Dr. Ayesha"/>
    <d v="2024-08-16T00:00:00"/>
    <d v="2024-09-07T00:00:00"/>
    <n v="50000"/>
    <s v="Cash"/>
    <s v="Under Treatment"/>
  </r>
  <r>
    <s v="Sobia Nawaz"/>
    <n v="39"/>
    <x v="0"/>
    <s v="Female"/>
    <s v="Lahore"/>
    <x v="2"/>
    <s v="Dr. Farah"/>
    <d v="2024-09-22T00:00:00"/>
    <d v="2024-10-13T00:00:00"/>
    <n v="5000"/>
    <s v="Online Transfer"/>
    <s v="Critical"/>
  </r>
  <r>
    <s v="Asad Nawaz"/>
    <n v="5"/>
    <x v="2"/>
    <s v="Male"/>
    <s v="Lahore"/>
    <x v="4"/>
    <s v="Dr. Farah"/>
    <d v="2024-08-27T00:00:00"/>
    <d v="2024-08-31T00:00:00"/>
    <n v="8000"/>
    <s v="Unknown"/>
    <s v="Recovered"/>
  </r>
  <r>
    <s v="Zubair Butt"/>
    <n v="86"/>
    <x v="1"/>
    <s v="Male"/>
    <s v="Islamabad"/>
    <x v="3"/>
    <s v="Dr. Imran"/>
    <d v="2024-09-01T00:00:00"/>
    <d v="2024-09-19T00:00:00"/>
    <n v="75000"/>
    <s v="Insurance"/>
    <s v="Discharged"/>
  </r>
  <r>
    <s v="Sana Hassan"/>
    <n v="7"/>
    <x v="2"/>
    <s v="Female"/>
    <s v="Faisalabad"/>
    <x v="4"/>
    <s v="Dr. Imran"/>
    <d v="2024-04-26T00:00:00"/>
    <d v="2024-05-03T00:00:00"/>
    <n v="15000"/>
    <s v="Card"/>
    <s v="Recovered"/>
  </r>
  <r>
    <s v="Sobia Nawaz"/>
    <n v="89"/>
    <x v="1"/>
    <s v="Female"/>
    <s v="Faisalabad"/>
    <x v="0"/>
    <s v="Dr. Sana"/>
    <d v="2024-02-13T00:00:00"/>
    <d v="2024-02-16T00:00:00"/>
    <n v="50000"/>
    <s v="Card"/>
    <s v="Under Treatment"/>
  </r>
  <r>
    <s v="Saima Bhatti"/>
    <s v="Unknown"/>
    <x v="4"/>
    <s v="Male"/>
    <s v="Peshawar"/>
    <x v="4"/>
    <s v="Dr. Sana"/>
    <d v="2024-08-10T00:00:00"/>
    <d v="2024-10-25T00:00:00"/>
    <n v="8000"/>
    <s v="Cash"/>
    <s v="Recovered"/>
  </r>
  <r>
    <s v="Fatima Ahmed"/>
    <n v="25"/>
    <x v="0"/>
    <s v="Male"/>
    <s v="Quetta"/>
    <x v="3"/>
    <s v="Dr. Zubair"/>
    <d v="2024-04-19T00:00:00"/>
    <d v="2024-04-21T00:00:00"/>
    <n v="0"/>
    <s v="Cash"/>
    <s v="Under Treatment"/>
  </r>
  <r>
    <s v="Ali Qureshi"/>
    <n v="79"/>
    <x v="1"/>
    <s v="Female"/>
    <s v="Faisalabad"/>
    <x v="3"/>
    <s v="Dr. Ayesha"/>
    <d v="2024-02-18T00:00:00"/>
    <d v="2024-03-08T00:00:00"/>
    <n v="35000"/>
    <s v="Online Transfer"/>
    <s v="Under Treatment"/>
  </r>
  <r>
    <s v="Kamran Bhatti"/>
    <n v="25"/>
    <x v="0"/>
    <s v="Male"/>
    <s v="Quetta"/>
    <x v="3"/>
    <s v="Dr. Sana"/>
    <d v="2024-07-30T00:00:00"/>
    <d v="2024-08-13T00:00:00"/>
    <n v="8000"/>
    <s v="Insurance"/>
    <s v="Critical"/>
  </r>
  <r>
    <s v="Amna Mirza"/>
    <n v="56"/>
    <x v="3"/>
    <s v="Female"/>
    <s v="Faisalabad"/>
    <x v="1"/>
    <s v="Dr. Sana"/>
    <d v="2024-02-26T00:00:00"/>
    <d v="2024-03-06T00:00:00"/>
    <n v="12000"/>
    <s v="Card"/>
    <s v="Under Treatment"/>
  </r>
  <r>
    <s v="Asad Niazi"/>
    <n v="15"/>
    <x v="2"/>
    <s v="Female"/>
    <s v="Peshawar"/>
    <x v="4"/>
    <s v="Dr. Ayesha"/>
    <d v="2024-04-30T00:00:00"/>
    <d v="2024-05-05T00:00:00"/>
    <n v="8000"/>
    <s v="Online Transfer"/>
    <s v="Discharged"/>
  </r>
  <r>
    <s v="Asad Malik"/>
    <n v="63"/>
    <x v="1"/>
    <s v="Female"/>
    <s v="Quetta"/>
    <x v="5"/>
    <s v="Dr. Zubair"/>
    <d v="2024-08-22T00:00:00"/>
    <d v="2024-09-11T00:00:00"/>
    <n v="20000"/>
    <s v="Online Transfer"/>
    <s v="Under Treatment"/>
  </r>
  <r>
    <s v="Farhan Khan"/>
    <n v="4"/>
    <x v="2"/>
    <s v="Male"/>
    <s v="Islamabad"/>
    <x v="1"/>
    <s v="Dr. Khalid"/>
    <d v="2024-03-30T00:00:00"/>
    <d v="2024-04-19T00:00:00"/>
    <n v="5000"/>
    <s v="Card"/>
    <s v="Critical"/>
  </r>
  <r>
    <s v="Usman Khan"/>
    <n v="36"/>
    <x v="0"/>
    <s v="Male"/>
    <s v="Lahore"/>
    <x v="4"/>
    <s v="Dr. Ayesha"/>
    <d v="2024-03-29T00:00:00"/>
    <d v="2024-04-01T00:00:00"/>
    <n v="15000"/>
    <s v="Insurance"/>
    <s v="Discharged"/>
  </r>
  <r>
    <s v="Tariq Sheikh"/>
    <n v="33"/>
    <x v="0"/>
    <s v="Female"/>
    <s v="Faisalabad"/>
    <x v="1"/>
    <s v="Dr. Imran"/>
    <d v="2024-04-16T00:00:00"/>
    <d v="2024-05-13T00:00:00"/>
    <n v="35000"/>
    <s v="Card"/>
    <s v="Critical"/>
  </r>
  <r>
    <s v="Ali Bhatti"/>
    <n v="62"/>
    <x v="1"/>
    <s v="Female"/>
    <s v="Faisalabad"/>
    <x v="5"/>
    <s v="Dr. Farah"/>
    <d v="2024-03-09T00:00:00"/>
    <d v="2024-09-22T00:00:00"/>
    <n v="5000"/>
    <s v="Unknown"/>
    <s v="Discharged"/>
  </r>
  <r>
    <s v="Sana Chaudhry"/>
    <n v="52"/>
    <x v="3"/>
    <s v="Male"/>
    <s v="Islamabad"/>
    <x v="1"/>
    <s v="Dr. Imran"/>
    <d v="2024-07-16T00:00:00"/>
    <d v="2024-07-31T00:00:00"/>
    <n v="15000"/>
    <s v="Card"/>
    <s v="Under Treatment"/>
  </r>
  <r>
    <s v="Hassan Ali"/>
    <s v="Unknown"/>
    <x v="4"/>
    <s v="Male"/>
    <s v="Quetta"/>
    <x v="2"/>
    <s v="Dr. Imran"/>
    <d v="2024-02-04T00:00:00"/>
    <d v="2024-04-10T00:00:00"/>
    <n v="35000"/>
    <s v="Cash"/>
    <s v="Critical"/>
  </r>
  <r>
    <s v="Zubair Ansari"/>
    <n v="10"/>
    <x v="2"/>
    <s v="Male"/>
    <s v="Multan"/>
    <x v="5"/>
    <s v="Dr. Imran"/>
    <d v="2024-09-28T00:00:00"/>
    <d v="2024-10-06T00:00:00"/>
    <n v="5000"/>
    <s v="Online Transfer"/>
    <s v="Recovered"/>
  </r>
  <r>
    <s v="Sara Abbasi"/>
    <n v="73"/>
    <x v="1"/>
    <s v="Female"/>
    <s v="Islamabad"/>
    <x v="1"/>
    <s v="Dr. Zubair"/>
    <d v="2024-03-15T00:00:00"/>
    <d v="2024-04-08T00:00:00"/>
    <n v="35000"/>
    <s v="Insurance"/>
    <s v="Under Treatment"/>
  </r>
  <r>
    <s v="Nadia Nawaz"/>
    <n v="40"/>
    <x v="3"/>
    <s v="Male"/>
    <s v="Karachi"/>
    <x v="1"/>
    <s v="Dr. Farah"/>
    <d v="2024-09-04T00:00:00"/>
    <d v="2024-10-01T00:00:00"/>
    <n v="25000"/>
    <s v="Card"/>
    <s v="Under Treatment"/>
  </r>
  <r>
    <s v="Zara Iqbal"/>
    <n v="12"/>
    <x v="2"/>
    <s v="Female"/>
    <s v="Quetta"/>
    <x v="0"/>
    <s v="Dr. Imran"/>
    <d v="2024-02-27T00:00:00"/>
    <d v="2024-03-24T00:00:00"/>
    <n v="8000"/>
    <s v="Card"/>
    <s v="Recover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
  <r>
    <s v="P0001"/>
    <x v="0"/>
    <n v="26"/>
    <x v="0"/>
    <x v="0"/>
    <x v="0"/>
    <x v="0"/>
    <x v="0"/>
    <x v="0"/>
    <d v="2024-02-23T00:00:00"/>
    <n v="35000"/>
    <x v="0"/>
    <x v="0"/>
  </r>
  <r>
    <s v="P0002"/>
    <x v="1"/>
    <n v="79"/>
    <x v="1"/>
    <x v="0"/>
    <x v="1"/>
    <x v="1"/>
    <x v="1"/>
    <x v="1"/>
    <d v="2024-08-14T00:00:00"/>
    <n v="15000"/>
    <x v="1"/>
    <x v="0"/>
  </r>
  <r>
    <s v="P0003"/>
    <x v="2"/>
    <n v="73"/>
    <x v="1"/>
    <x v="1"/>
    <x v="2"/>
    <x v="2"/>
    <x v="2"/>
    <x v="0"/>
    <d v="2024-03-01T00:00:00"/>
    <n v="25000"/>
    <x v="2"/>
    <x v="1"/>
  </r>
  <r>
    <s v="P0004"/>
    <x v="3"/>
    <n v="1"/>
    <x v="2"/>
    <x v="1"/>
    <x v="0"/>
    <x v="3"/>
    <x v="2"/>
    <x v="2"/>
    <d v="2024-02-26T00:00:00"/>
    <n v="75000"/>
    <x v="1"/>
    <x v="0"/>
  </r>
  <r>
    <s v="P0005"/>
    <x v="4"/>
    <n v="17"/>
    <x v="2"/>
    <x v="0"/>
    <x v="3"/>
    <x v="0"/>
    <x v="3"/>
    <x v="3"/>
    <d v="2024-09-03T00:00:00"/>
    <n v="12000"/>
    <x v="1"/>
    <x v="1"/>
  </r>
  <r>
    <s v="P0006"/>
    <x v="5"/>
    <n v="22"/>
    <x v="0"/>
    <x v="1"/>
    <x v="3"/>
    <x v="1"/>
    <x v="4"/>
    <x v="2"/>
    <d v="2024-03-12T00:00:00"/>
    <n v="0"/>
    <x v="0"/>
    <x v="2"/>
  </r>
  <r>
    <s v="P0007"/>
    <x v="6"/>
    <n v="1"/>
    <x v="2"/>
    <x v="1"/>
    <x v="4"/>
    <x v="0"/>
    <x v="2"/>
    <x v="4"/>
    <d v="2024-08-02T00:00:00"/>
    <n v="5000"/>
    <x v="1"/>
    <x v="0"/>
  </r>
  <r>
    <s v="P0008"/>
    <x v="3"/>
    <n v="52"/>
    <x v="3"/>
    <x v="0"/>
    <x v="4"/>
    <x v="2"/>
    <x v="4"/>
    <x v="5"/>
    <d v="2024-02-03T00:00:00"/>
    <n v="0"/>
    <x v="1"/>
    <x v="0"/>
  </r>
  <r>
    <s v="P0009"/>
    <x v="7"/>
    <s v="Unknown"/>
    <x v="4"/>
    <x v="0"/>
    <x v="4"/>
    <x v="0"/>
    <x v="0"/>
    <x v="6"/>
    <d v="2024-08-02T00:00:00"/>
    <n v="0"/>
    <x v="3"/>
    <x v="0"/>
  </r>
  <r>
    <s v="P0010"/>
    <x v="8"/>
    <n v="33"/>
    <x v="0"/>
    <x v="0"/>
    <x v="1"/>
    <x v="1"/>
    <x v="1"/>
    <x v="7"/>
    <d v="2024-04-27T00:00:00"/>
    <n v="8000"/>
    <x v="3"/>
    <x v="1"/>
  </r>
  <r>
    <s v="P0011"/>
    <x v="9"/>
    <n v="44"/>
    <x v="3"/>
    <x v="0"/>
    <x v="5"/>
    <x v="4"/>
    <x v="1"/>
    <x v="8"/>
    <d v="2024-08-05T00:00:00"/>
    <n v="35000"/>
    <x v="3"/>
    <x v="1"/>
  </r>
  <r>
    <s v="P0012"/>
    <x v="10"/>
    <n v="48"/>
    <x v="3"/>
    <x v="1"/>
    <x v="1"/>
    <x v="4"/>
    <x v="0"/>
    <x v="9"/>
    <d v="2024-07-06T00:00:00"/>
    <n v="15000"/>
    <x v="3"/>
    <x v="3"/>
  </r>
  <r>
    <s v="P0013"/>
    <x v="11"/>
    <n v="28"/>
    <x v="0"/>
    <x v="0"/>
    <x v="5"/>
    <x v="3"/>
    <x v="4"/>
    <x v="2"/>
    <d v="2024-03-11T00:00:00"/>
    <n v="50000"/>
    <x v="2"/>
    <x v="4"/>
  </r>
  <r>
    <s v="P0014"/>
    <x v="12"/>
    <n v="38"/>
    <x v="0"/>
    <x v="1"/>
    <x v="1"/>
    <x v="4"/>
    <x v="2"/>
    <x v="10"/>
    <d v="2024-04-05T00:00:00"/>
    <n v="20000"/>
    <x v="2"/>
    <x v="4"/>
  </r>
  <r>
    <s v="P0015"/>
    <x v="13"/>
    <n v="21"/>
    <x v="0"/>
    <x v="1"/>
    <x v="5"/>
    <x v="2"/>
    <x v="3"/>
    <x v="11"/>
    <d v="2024-08-20T00:00:00"/>
    <n v="35000"/>
    <x v="3"/>
    <x v="2"/>
  </r>
  <r>
    <s v="P0016"/>
    <x v="14"/>
    <n v="86"/>
    <x v="1"/>
    <x v="1"/>
    <x v="3"/>
    <x v="3"/>
    <x v="5"/>
    <x v="12"/>
    <d v="2024-05-07T00:00:00"/>
    <n v="12000"/>
    <x v="3"/>
    <x v="0"/>
  </r>
  <r>
    <s v="P0017"/>
    <x v="15"/>
    <n v="53"/>
    <x v="3"/>
    <x v="1"/>
    <x v="3"/>
    <x v="4"/>
    <x v="6"/>
    <x v="13"/>
    <d v="2024-03-15T00:00:00"/>
    <n v="75000"/>
    <x v="1"/>
    <x v="1"/>
  </r>
  <r>
    <s v="P0018"/>
    <x v="16"/>
    <n v="87"/>
    <x v="1"/>
    <x v="0"/>
    <x v="6"/>
    <x v="1"/>
    <x v="5"/>
    <x v="14"/>
    <d v="2024-09-14T00:00:00"/>
    <n v="15000"/>
    <x v="3"/>
    <x v="0"/>
  </r>
  <r>
    <s v="P0019"/>
    <x v="17"/>
    <n v="68"/>
    <x v="1"/>
    <x v="1"/>
    <x v="0"/>
    <x v="2"/>
    <x v="6"/>
    <x v="15"/>
    <d v="2024-03-20T00:00:00"/>
    <n v="20000"/>
    <x v="0"/>
    <x v="1"/>
  </r>
  <r>
    <s v="P0020"/>
    <x v="18"/>
    <n v="39"/>
    <x v="0"/>
    <x v="1"/>
    <x v="6"/>
    <x v="2"/>
    <x v="3"/>
    <x v="16"/>
    <d v="2024-10-31T00:00:00"/>
    <n v="0"/>
    <x v="0"/>
    <x v="0"/>
  </r>
  <r>
    <s v="P0021"/>
    <x v="19"/>
    <n v="34"/>
    <x v="0"/>
    <x v="1"/>
    <x v="4"/>
    <x v="0"/>
    <x v="0"/>
    <x v="17"/>
    <d v="2024-09-13T00:00:00"/>
    <n v="35000"/>
    <x v="2"/>
    <x v="2"/>
  </r>
  <r>
    <s v="P0022"/>
    <x v="20"/>
    <n v="27"/>
    <x v="0"/>
    <x v="1"/>
    <x v="5"/>
    <x v="5"/>
    <x v="5"/>
    <x v="18"/>
    <d v="2024-07-20T00:00:00"/>
    <n v="50000"/>
    <x v="2"/>
    <x v="2"/>
  </r>
  <r>
    <s v="P0023"/>
    <x v="21"/>
    <n v="31"/>
    <x v="0"/>
    <x v="1"/>
    <x v="6"/>
    <x v="6"/>
    <x v="6"/>
    <x v="19"/>
    <d v="2024-07-13T00:00:00"/>
    <n v="50000"/>
    <x v="0"/>
    <x v="4"/>
  </r>
  <r>
    <s v="P0024"/>
    <x v="22"/>
    <n v="73"/>
    <x v="1"/>
    <x v="1"/>
    <x v="3"/>
    <x v="6"/>
    <x v="2"/>
    <x v="20"/>
    <d v="2024-06-26T00:00:00"/>
    <n v="20000"/>
    <x v="1"/>
    <x v="2"/>
  </r>
  <r>
    <s v="P0025"/>
    <x v="9"/>
    <n v="51"/>
    <x v="3"/>
    <x v="0"/>
    <x v="2"/>
    <x v="3"/>
    <x v="2"/>
    <x v="21"/>
    <d v="2024-05-15T00:00:00"/>
    <n v="20000"/>
    <x v="1"/>
    <x v="0"/>
  </r>
  <r>
    <s v="P0026"/>
    <x v="18"/>
    <n v="30"/>
    <x v="0"/>
    <x v="0"/>
    <x v="2"/>
    <x v="4"/>
    <x v="0"/>
    <x v="22"/>
    <d v="2024-05-28T00:00:00"/>
    <n v="25000"/>
    <x v="0"/>
    <x v="2"/>
  </r>
  <r>
    <s v="P0027"/>
    <x v="23"/>
    <n v="23"/>
    <x v="0"/>
    <x v="1"/>
    <x v="3"/>
    <x v="1"/>
    <x v="2"/>
    <x v="23"/>
    <d v="2024-03-06T00:00:00"/>
    <n v="8000"/>
    <x v="1"/>
    <x v="2"/>
  </r>
  <r>
    <s v="P0028"/>
    <x v="24"/>
    <n v="12"/>
    <x v="2"/>
    <x v="2"/>
    <x v="1"/>
    <x v="5"/>
    <x v="3"/>
    <x v="24"/>
    <d v="2024-07-19T00:00:00"/>
    <n v="25000"/>
    <x v="1"/>
    <x v="2"/>
  </r>
  <r>
    <s v="P0029"/>
    <x v="25"/>
    <n v="44"/>
    <x v="3"/>
    <x v="1"/>
    <x v="0"/>
    <x v="3"/>
    <x v="0"/>
    <x v="25"/>
    <d v="2024-03-02T00:00:00"/>
    <n v="50000"/>
    <x v="0"/>
    <x v="2"/>
  </r>
  <r>
    <s v="P0030"/>
    <x v="26"/>
    <n v="31"/>
    <x v="0"/>
    <x v="1"/>
    <x v="3"/>
    <x v="1"/>
    <x v="2"/>
    <x v="2"/>
    <d v="2024-03-11T00:00:00"/>
    <n v="12000"/>
    <x v="1"/>
    <x v="0"/>
  </r>
  <r>
    <s v="P0031"/>
    <x v="20"/>
    <n v="41"/>
    <x v="3"/>
    <x v="0"/>
    <x v="6"/>
    <x v="4"/>
    <x v="6"/>
    <x v="26"/>
    <d v="2024-06-08T00:00:00"/>
    <n v="12000"/>
    <x v="0"/>
    <x v="4"/>
  </r>
  <r>
    <s v="P0032"/>
    <x v="27"/>
    <n v="38"/>
    <x v="0"/>
    <x v="1"/>
    <x v="2"/>
    <x v="4"/>
    <x v="4"/>
    <x v="27"/>
    <d v="2024-02-09T00:00:00"/>
    <n v="25000"/>
    <x v="1"/>
    <x v="4"/>
  </r>
  <r>
    <s v="P0033"/>
    <x v="11"/>
    <n v="85"/>
    <x v="1"/>
    <x v="1"/>
    <x v="1"/>
    <x v="1"/>
    <x v="6"/>
    <x v="28"/>
    <d v="2024-08-07T00:00:00"/>
    <n v="20000"/>
    <x v="1"/>
    <x v="2"/>
  </r>
  <r>
    <s v="P0034"/>
    <x v="28"/>
    <n v="37"/>
    <x v="0"/>
    <x v="1"/>
    <x v="5"/>
    <x v="5"/>
    <x v="3"/>
    <x v="29"/>
    <d v="2024-05-02T00:00:00"/>
    <n v="75000"/>
    <x v="2"/>
    <x v="1"/>
  </r>
  <r>
    <s v="P0035"/>
    <x v="29"/>
    <n v="83"/>
    <x v="1"/>
    <x v="1"/>
    <x v="0"/>
    <x v="1"/>
    <x v="2"/>
    <x v="30"/>
    <d v="2024-03-03T00:00:00"/>
    <n v="5000"/>
    <x v="0"/>
    <x v="2"/>
  </r>
  <r>
    <s v="P0036"/>
    <x v="30"/>
    <n v="81"/>
    <x v="1"/>
    <x v="1"/>
    <x v="2"/>
    <x v="3"/>
    <x v="0"/>
    <x v="31"/>
    <d v="2024-11-17T00:00:00"/>
    <n v="35000"/>
    <x v="1"/>
    <x v="1"/>
  </r>
  <r>
    <s v="P0037"/>
    <x v="31"/>
    <n v="65"/>
    <x v="1"/>
    <x v="1"/>
    <x v="5"/>
    <x v="6"/>
    <x v="0"/>
    <x v="32"/>
    <d v="2024-05-10T00:00:00"/>
    <n v="35000"/>
    <x v="1"/>
    <x v="0"/>
  </r>
  <r>
    <s v="P0038"/>
    <x v="32"/>
    <n v="12"/>
    <x v="2"/>
    <x v="1"/>
    <x v="6"/>
    <x v="0"/>
    <x v="0"/>
    <x v="33"/>
    <d v="2024-11-05T00:00:00"/>
    <n v="15000"/>
    <x v="0"/>
    <x v="0"/>
  </r>
  <r>
    <s v="P0039"/>
    <x v="33"/>
    <n v="23"/>
    <x v="0"/>
    <x v="2"/>
    <x v="5"/>
    <x v="2"/>
    <x v="0"/>
    <x v="34"/>
    <d v="2024-04-25T00:00:00"/>
    <n v="20000"/>
    <x v="1"/>
    <x v="1"/>
  </r>
  <r>
    <s v="P0040"/>
    <x v="34"/>
    <n v="68"/>
    <x v="1"/>
    <x v="0"/>
    <x v="3"/>
    <x v="2"/>
    <x v="4"/>
    <x v="35"/>
    <d v="2024-08-07T00:00:00"/>
    <n v="75000"/>
    <x v="0"/>
    <x v="2"/>
  </r>
  <r>
    <s v="P0041"/>
    <x v="35"/>
    <n v="73"/>
    <x v="1"/>
    <x v="1"/>
    <x v="5"/>
    <x v="0"/>
    <x v="6"/>
    <x v="36"/>
    <d v="2024-01-18T00:00:00"/>
    <n v="35000"/>
    <x v="0"/>
    <x v="4"/>
  </r>
  <r>
    <s v="P0042"/>
    <x v="36"/>
    <n v="85"/>
    <x v="1"/>
    <x v="1"/>
    <x v="0"/>
    <x v="3"/>
    <x v="3"/>
    <x v="37"/>
    <d v="2024-05-11T00:00:00"/>
    <n v="100000"/>
    <x v="3"/>
    <x v="2"/>
  </r>
  <r>
    <s v="P0043"/>
    <x v="37"/>
    <n v="15"/>
    <x v="2"/>
    <x v="0"/>
    <x v="4"/>
    <x v="4"/>
    <x v="0"/>
    <x v="38"/>
    <d v="2024-06-22T00:00:00"/>
    <n v="20000"/>
    <x v="1"/>
    <x v="0"/>
  </r>
  <r>
    <s v="P0044"/>
    <x v="38"/>
    <n v="46"/>
    <x v="3"/>
    <x v="0"/>
    <x v="0"/>
    <x v="5"/>
    <x v="6"/>
    <x v="24"/>
    <d v="2024-07-14T00:00:00"/>
    <n v="25000"/>
    <x v="3"/>
    <x v="0"/>
  </r>
  <r>
    <s v="P0045"/>
    <x v="39"/>
    <n v="20"/>
    <x v="0"/>
    <x v="0"/>
    <x v="2"/>
    <x v="6"/>
    <x v="0"/>
    <x v="39"/>
    <d v="2024-04-26T00:00:00"/>
    <n v="25000"/>
    <x v="3"/>
    <x v="1"/>
  </r>
  <r>
    <s v="P0046"/>
    <x v="22"/>
    <n v="56"/>
    <x v="3"/>
    <x v="0"/>
    <x v="3"/>
    <x v="4"/>
    <x v="6"/>
    <x v="40"/>
    <d v="2024-07-24T00:00:00"/>
    <n v="35000"/>
    <x v="2"/>
    <x v="4"/>
  </r>
  <r>
    <s v="P0047"/>
    <x v="40"/>
    <n v="15"/>
    <x v="2"/>
    <x v="1"/>
    <x v="6"/>
    <x v="0"/>
    <x v="6"/>
    <x v="41"/>
    <d v="2024-01-26T00:00:00"/>
    <n v="20000"/>
    <x v="3"/>
    <x v="1"/>
  </r>
  <r>
    <s v="P0048"/>
    <x v="41"/>
    <n v="80"/>
    <x v="1"/>
    <x v="0"/>
    <x v="0"/>
    <x v="4"/>
    <x v="3"/>
    <x v="14"/>
    <d v="2024-09-01T00:00:00"/>
    <n v="5000"/>
    <x v="3"/>
    <x v="1"/>
  </r>
  <r>
    <s v="P0049"/>
    <x v="42"/>
    <n v="16"/>
    <x v="2"/>
    <x v="0"/>
    <x v="4"/>
    <x v="4"/>
    <x v="5"/>
    <x v="3"/>
    <d v="2024-08-28T00:00:00"/>
    <n v="25000"/>
    <x v="1"/>
    <x v="1"/>
  </r>
  <r>
    <s v="P0050"/>
    <x v="43"/>
    <n v="51"/>
    <x v="3"/>
    <x v="0"/>
    <x v="2"/>
    <x v="5"/>
    <x v="1"/>
    <x v="42"/>
    <d v="2024-09-13T00:00:00"/>
    <n v="50000"/>
    <x v="3"/>
    <x v="1"/>
  </r>
  <r>
    <s v="P0051"/>
    <x v="28"/>
    <n v="7"/>
    <x v="2"/>
    <x v="0"/>
    <x v="3"/>
    <x v="0"/>
    <x v="5"/>
    <x v="6"/>
    <d v="2024-08-04T00:00:00"/>
    <n v="35000"/>
    <x v="0"/>
    <x v="1"/>
  </r>
  <r>
    <s v="P0052"/>
    <x v="44"/>
    <n v="28"/>
    <x v="0"/>
    <x v="0"/>
    <x v="3"/>
    <x v="2"/>
    <x v="6"/>
    <x v="43"/>
    <d v="2024-01-21T00:00:00"/>
    <n v="20000"/>
    <x v="1"/>
    <x v="2"/>
  </r>
  <r>
    <s v="P0053"/>
    <x v="45"/>
    <n v="23"/>
    <x v="0"/>
    <x v="1"/>
    <x v="2"/>
    <x v="3"/>
    <x v="5"/>
    <x v="44"/>
    <d v="2024-04-29T00:00:00"/>
    <n v="35000"/>
    <x v="2"/>
    <x v="1"/>
  </r>
  <r>
    <s v="P0054"/>
    <x v="46"/>
    <n v="68"/>
    <x v="1"/>
    <x v="1"/>
    <x v="4"/>
    <x v="1"/>
    <x v="3"/>
    <x v="45"/>
    <d v="2024-04-16T00:00:00"/>
    <n v="20000"/>
    <x v="0"/>
    <x v="1"/>
  </r>
  <r>
    <s v="P0055"/>
    <x v="47"/>
    <n v="9"/>
    <x v="2"/>
    <x v="1"/>
    <x v="5"/>
    <x v="4"/>
    <x v="0"/>
    <x v="46"/>
    <d v="2024-06-17T00:00:00"/>
    <n v="50000"/>
    <x v="1"/>
    <x v="4"/>
  </r>
  <r>
    <s v="P0056"/>
    <x v="48"/>
    <n v="33"/>
    <x v="0"/>
    <x v="1"/>
    <x v="3"/>
    <x v="0"/>
    <x v="4"/>
    <x v="47"/>
    <d v="2024-05-30T00:00:00"/>
    <n v="0"/>
    <x v="3"/>
    <x v="2"/>
  </r>
  <r>
    <s v="P0057"/>
    <x v="49"/>
    <n v="30"/>
    <x v="0"/>
    <x v="1"/>
    <x v="6"/>
    <x v="5"/>
    <x v="6"/>
    <x v="29"/>
    <d v="2024-05-14T00:00:00"/>
    <n v="35000"/>
    <x v="1"/>
    <x v="1"/>
  </r>
  <r>
    <s v="P0058"/>
    <x v="50"/>
    <n v="75"/>
    <x v="1"/>
    <x v="0"/>
    <x v="2"/>
    <x v="4"/>
    <x v="6"/>
    <x v="48"/>
    <d v="2024-08-20T00:00:00"/>
    <n v="8000"/>
    <x v="0"/>
    <x v="1"/>
  </r>
  <r>
    <s v="P0059"/>
    <x v="51"/>
    <n v="31"/>
    <x v="0"/>
    <x v="1"/>
    <x v="0"/>
    <x v="6"/>
    <x v="0"/>
    <x v="49"/>
    <d v="2024-06-04T00:00:00"/>
    <n v="20000"/>
    <x v="1"/>
    <x v="2"/>
  </r>
  <r>
    <s v="P0060"/>
    <x v="52"/>
    <n v="15"/>
    <x v="2"/>
    <x v="1"/>
    <x v="2"/>
    <x v="1"/>
    <x v="0"/>
    <x v="50"/>
    <d v="2024-06-14T00:00:00"/>
    <n v="25000"/>
    <x v="0"/>
    <x v="0"/>
  </r>
  <r>
    <s v="P0061"/>
    <x v="53"/>
    <n v="62"/>
    <x v="1"/>
    <x v="1"/>
    <x v="0"/>
    <x v="3"/>
    <x v="0"/>
    <x v="51"/>
    <d v="2024-02-15T00:00:00"/>
    <n v="25000"/>
    <x v="1"/>
    <x v="2"/>
  </r>
  <r>
    <s v="P0062"/>
    <x v="49"/>
    <n v="78"/>
    <x v="1"/>
    <x v="1"/>
    <x v="3"/>
    <x v="4"/>
    <x v="0"/>
    <x v="52"/>
    <d v="2024-07-14T00:00:00"/>
    <n v="12000"/>
    <x v="3"/>
    <x v="1"/>
  </r>
  <r>
    <s v="P0063"/>
    <x v="54"/>
    <n v="76"/>
    <x v="1"/>
    <x v="1"/>
    <x v="0"/>
    <x v="0"/>
    <x v="4"/>
    <x v="53"/>
    <d v="2024-01-27T00:00:00"/>
    <n v="75000"/>
    <x v="3"/>
    <x v="4"/>
  </r>
  <r>
    <s v="P0064"/>
    <x v="55"/>
    <n v="23"/>
    <x v="0"/>
    <x v="1"/>
    <x v="3"/>
    <x v="1"/>
    <x v="3"/>
    <x v="54"/>
    <d v="2024-03-16T00:00:00"/>
    <n v="75000"/>
    <x v="3"/>
    <x v="1"/>
  </r>
  <r>
    <s v="P0065"/>
    <x v="56"/>
    <n v="55"/>
    <x v="3"/>
    <x v="0"/>
    <x v="3"/>
    <x v="0"/>
    <x v="6"/>
    <x v="55"/>
    <d v="2024-04-20T00:00:00"/>
    <n v="8000"/>
    <x v="2"/>
    <x v="0"/>
  </r>
  <r>
    <s v="P0066"/>
    <x v="57"/>
    <n v="70"/>
    <x v="1"/>
    <x v="1"/>
    <x v="4"/>
    <x v="5"/>
    <x v="3"/>
    <x v="56"/>
    <d v="2024-07-21T00:00:00"/>
    <n v="8000"/>
    <x v="1"/>
    <x v="4"/>
  </r>
  <r>
    <s v="P0067"/>
    <x v="58"/>
    <n v="34"/>
    <x v="0"/>
    <x v="0"/>
    <x v="2"/>
    <x v="3"/>
    <x v="4"/>
    <x v="57"/>
    <d v="2024-06-28T00:00:00"/>
    <n v="15000"/>
    <x v="0"/>
    <x v="4"/>
  </r>
  <r>
    <s v="P0068"/>
    <x v="59"/>
    <n v="53"/>
    <x v="3"/>
    <x v="0"/>
    <x v="0"/>
    <x v="2"/>
    <x v="5"/>
    <x v="58"/>
    <d v="2024-03-17T00:00:00"/>
    <n v="5000"/>
    <x v="3"/>
    <x v="2"/>
  </r>
  <r>
    <s v="P0069"/>
    <x v="60"/>
    <n v="68"/>
    <x v="1"/>
    <x v="0"/>
    <x v="4"/>
    <x v="3"/>
    <x v="4"/>
    <x v="59"/>
    <d v="2024-07-18T00:00:00"/>
    <n v="25000"/>
    <x v="0"/>
    <x v="0"/>
  </r>
  <r>
    <s v="P0070"/>
    <x v="61"/>
    <n v="84"/>
    <x v="1"/>
    <x v="0"/>
    <x v="5"/>
    <x v="3"/>
    <x v="0"/>
    <x v="60"/>
    <d v="2024-09-18T00:00:00"/>
    <n v="12000"/>
    <x v="2"/>
    <x v="1"/>
  </r>
  <r>
    <s v="P0071"/>
    <x v="62"/>
    <n v="72"/>
    <x v="1"/>
    <x v="0"/>
    <x v="3"/>
    <x v="3"/>
    <x v="5"/>
    <x v="61"/>
    <d v="2024-10-03T00:00:00"/>
    <n v="8000"/>
    <x v="0"/>
    <x v="2"/>
  </r>
  <r>
    <s v="P0072"/>
    <x v="63"/>
    <n v="58"/>
    <x v="3"/>
    <x v="0"/>
    <x v="3"/>
    <x v="5"/>
    <x v="5"/>
    <x v="62"/>
    <d v="2024-09-07T00:00:00"/>
    <n v="5000"/>
    <x v="1"/>
    <x v="1"/>
  </r>
  <r>
    <s v="P0073"/>
    <x v="64"/>
    <n v="20"/>
    <x v="0"/>
    <x v="1"/>
    <x v="0"/>
    <x v="0"/>
    <x v="5"/>
    <x v="63"/>
    <d v="2024-10-23T00:00:00"/>
    <n v="20000"/>
    <x v="0"/>
    <x v="1"/>
  </r>
  <r>
    <s v="P0074"/>
    <x v="65"/>
    <n v="81"/>
    <x v="1"/>
    <x v="0"/>
    <x v="3"/>
    <x v="0"/>
    <x v="2"/>
    <x v="64"/>
    <d v="2024-08-17T00:00:00"/>
    <n v="25000"/>
    <x v="2"/>
    <x v="2"/>
  </r>
  <r>
    <s v="P0075"/>
    <x v="66"/>
    <n v="45"/>
    <x v="3"/>
    <x v="0"/>
    <x v="3"/>
    <x v="6"/>
    <x v="5"/>
    <x v="19"/>
    <d v="2024-07-06T00:00:00"/>
    <n v="25000"/>
    <x v="1"/>
    <x v="0"/>
  </r>
  <r>
    <s v="P0076"/>
    <x v="67"/>
    <n v="23"/>
    <x v="0"/>
    <x v="1"/>
    <x v="5"/>
    <x v="1"/>
    <x v="6"/>
    <x v="65"/>
    <d v="2024-08-10T00:00:00"/>
    <n v="35000"/>
    <x v="3"/>
    <x v="4"/>
  </r>
  <r>
    <s v="P0077"/>
    <x v="68"/>
    <n v="72"/>
    <x v="1"/>
    <x v="0"/>
    <x v="1"/>
    <x v="6"/>
    <x v="3"/>
    <x v="66"/>
    <d v="2024-05-16T00:00:00"/>
    <n v="12000"/>
    <x v="0"/>
    <x v="2"/>
  </r>
  <r>
    <s v="P0078"/>
    <x v="69"/>
    <n v="39"/>
    <x v="0"/>
    <x v="1"/>
    <x v="4"/>
    <x v="4"/>
    <x v="1"/>
    <x v="67"/>
    <d v="2024-07-30T00:00:00"/>
    <n v="20000"/>
    <x v="3"/>
    <x v="2"/>
  </r>
  <r>
    <s v="P0079"/>
    <x v="70"/>
    <n v="71"/>
    <x v="1"/>
    <x v="1"/>
    <x v="5"/>
    <x v="3"/>
    <x v="3"/>
    <x v="68"/>
    <d v="2024-09-24T00:00:00"/>
    <n v="25000"/>
    <x v="1"/>
    <x v="4"/>
  </r>
  <r>
    <s v="P0080"/>
    <x v="71"/>
    <n v="89"/>
    <x v="1"/>
    <x v="0"/>
    <x v="6"/>
    <x v="4"/>
    <x v="2"/>
    <x v="69"/>
    <d v="2024-11-01T00:00:00"/>
    <n v="50000"/>
    <x v="1"/>
    <x v="1"/>
  </r>
  <r>
    <s v="P0081"/>
    <x v="72"/>
    <n v="43"/>
    <x v="3"/>
    <x v="1"/>
    <x v="6"/>
    <x v="3"/>
    <x v="1"/>
    <x v="70"/>
    <d v="2024-05-13T00:00:00"/>
    <n v="8000"/>
    <x v="0"/>
    <x v="2"/>
  </r>
  <r>
    <s v="P0082"/>
    <x v="73"/>
    <n v="50"/>
    <x v="3"/>
    <x v="0"/>
    <x v="0"/>
    <x v="2"/>
    <x v="4"/>
    <x v="21"/>
    <d v="2024-05-08T00:00:00"/>
    <n v="8000"/>
    <x v="1"/>
    <x v="1"/>
  </r>
  <r>
    <s v="P0083"/>
    <x v="74"/>
    <n v="12"/>
    <x v="2"/>
    <x v="1"/>
    <x v="5"/>
    <x v="0"/>
    <x v="3"/>
    <x v="71"/>
    <d v="2024-05-29T00:00:00"/>
    <n v="25000"/>
    <x v="0"/>
    <x v="2"/>
  </r>
  <r>
    <s v="P0084"/>
    <x v="75"/>
    <n v="82"/>
    <x v="1"/>
    <x v="1"/>
    <x v="6"/>
    <x v="1"/>
    <x v="3"/>
    <x v="72"/>
    <d v="2024-08-21T00:00:00"/>
    <n v="20000"/>
    <x v="1"/>
    <x v="2"/>
  </r>
  <r>
    <s v="P0085"/>
    <x v="76"/>
    <n v="48"/>
    <x v="3"/>
    <x v="0"/>
    <x v="5"/>
    <x v="4"/>
    <x v="4"/>
    <x v="73"/>
    <d v="2024-04-18T00:00:00"/>
    <n v="75000"/>
    <x v="2"/>
    <x v="4"/>
  </r>
  <r>
    <s v="P0086"/>
    <x v="77"/>
    <n v="79"/>
    <x v="1"/>
    <x v="1"/>
    <x v="1"/>
    <x v="6"/>
    <x v="4"/>
    <x v="41"/>
    <d v="2024-02-17T00:00:00"/>
    <n v="50000"/>
    <x v="1"/>
    <x v="1"/>
  </r>
  <r>
    <s v="P0087"/>
    <x v="78"/>
    <n v="2"/>
    <x v="2"/>
    <x v="1"/>
    <x v="5"/>
    <x v="3"/>
    <x v="5"/>
    <x v="74"/>
    <d v="2024-02-24T00:00:00"/>
    <n v="15000"/>
    <x v="1"/>
    <x v="1"/>
  </r>
  <r>
    <s v="P0088"/>
    <x v="79"/>
    <n v="55"/>
    <x v="3"/>
    <x v="0"/>
    <x v="2"/>
    <x v="0"/>
    <x v="2"/>
    <x v="75"/>
    <d v="2024-04-11T00:00:00"/>
    <n v="15000"/>
    <x v="3"/>
    <x v="1"/>
  </r>
  <r>
    <s v="P0089"/>
    <x v="80"/>
    <n v="6"/>
    <x v="2"/>
    <x v="0"/>
    <x v="2"/>
    <x v="0"/>
    <x v="0"/>
    <x v="76"/>
    <d v="2024-04-22T00:00:00"/>
    <n v="75000"/>
    <x v="0"/>
    <x v="2"/>
  </r>
  <r>
    <s v="P0090"/>
    <x v="81"/>
    <n v="61"/>
    <x v="1"/>
    <x v="1"/>
    <x v="1"/>
    <x v="3"/>
    <x v="1"/>
    <x v="77"/>
    <d v="2024-06-29T00:00:00"/>
    <n v="20000"/>
    <x v="0"/>
    <x v="0"/>
  </r>
  <r>
    <s v="P0091"/>
    <x v="82"/>
    <n v="75"/>
    <x v="1"/>
    <x v="0"/>
    <x v="1"/>
    <x v="1"/>
    <x v="0"/>
    <x v="8"/>
    <d v="2024-08-22T00:00:00"/>
    <n v="20000"/>
    <x v="3"/>
    <x v="4"/>
  </r>
  <r>
    <s v="P0092"/>
    <x v="83"/>
    <n v="43"/>
    <x v="3"/>
    <x v="1"/>
    <x v="1"/>
    <x v="2"/>
    <x v="4"/>
    <x v="78"/>
    <d v="2024-09-11T00:00:00"/>
    <n v="50000"/>
    <x v="0"/>
    <x v="4"/>
  </r>
  <r>
    <s v="P0093"/>
    <x v="84"/>
    <n v="12"/>
    <x v="2"/>
    <x v="1"/>
    <x v="2"/>
    <x v="6"/>
    <x v="4"/>
    <x v="79"/>
    <d v="2024-08-02T00:00:00"/>
    <n v="5000"/>
    <x v="1"/>
    <x v="4"/>
  </r>
  <r>
    <s v="P0094"/>
    <x v="85"/>
    <n v="76"/>
    <x v="1"/>
    <x v="1"/>
    <x v="3"/>
    <x v="3"/>
    <x v="1"/>
    <x v="80"/>
    <d v="2024-05-28T00:00:00"/>
    <n v="12000"/>
    <x v="1"/>
    <x v="4"/>
  </r>
  <r>
    <s v="P0095"/>
    <x v="86"/>
    <n v="11"/>
    <x v="2"/>
    <x v="0"/>
    <x v="3"/>
    <x v="4"/>
    <x v="6"/>
    <x v="23"/>
    <d v="2024-03-04T00:00:00"/>
    <n v="15000"/>
    <x v="0"/>
    <x v="4"/>
  </r>
  <r>
    <s v="P0096"/>
    <x v="87"/>
    <n v="29"/>
    <x v="0"/>
    <x v="0"/>
    <x v="2"/>
    <x v="1"/>
    <x v="0"/>
    <x v="81"/>
    <d v="2024-10-19T00:00:00"/>
    <n v="75000"/>
    <x v="2"/>
    <x v="2"/>
  </r>
  <r>
    <s v="P0097"/>
    <x v="88"/>
    <n v="44"/>
    <x v="3"/>
    <x v="1"/>
    <x v="0"/>
    <x v="4"/>
    <x v="1"/>
    <x v="82"/>
    <d v="2024-10-05T00:00:00"/>
    <n v="12000"/>
    <x v="1"/>
    <x v="1"/>
  </r>
  <r>
    <s v="P0098"/>
    <x v="89"/>
    <n v="20"/>
    <x v="0"/>
    <x v="0"/>
    <x v="4"/>
    <x v="3"/>
    <x v="4"/>
    <x v="83"/>
    <d v="2024-03-17T00:00:00"/>
    <n v="12000"/>
    <x v="3"/>
    <x v="4"/>
  </r>
  <r>
    <s v="P0099"/>
    <x v="90"/>
    <n v="32"/>
    <x v="0"/>
    <x v="1"/>
    <x v="0"/>
    <x v="6"/>
    <x v="0"/>
    <x v="84"/>
    <d v="2024-05-23T00:00:00"/>
    <n v="8000"/>
    <x v="0"/>
    <x v="2"/>
  </r>
  <r>
    <s v="P0100"/>
    <x v="91"/>
    <n v="88"/>
    <x v="1"/>
    <x v="0"/>
    <x v="4"/>
    <x v="4"/>
    <x v="4"/>
    <x v="85"/>
    <d v="2024-07-08T00:00:00"/>
    <n v="100000"/>
    <x v="1"/>
    <x v="2"/>
  </r>
  <r>
    <s v="P0101"/>
    <x v="92"/>
    <n v="66"/>
    <x v="1"/>
    <x v="1"/>
    <x v="4"/>
    <x v="4"/>
    <x v="5"/>
    <x v="86"/>
    <d v="2024-04-25T00:00:00"/>
    <n v="15000"/>
    <x v="3"/>
    <x v="1"/>
  </r>
  <r>
    <s v="P0102"/>
    <x v="93"/>
    <n v="44"/>
    <x v="3"/>
    <x v="1"/>
    <x v="7"/>
    <x v="2"/>
    <x v="0"/>
    <x v="54"/>
    <d v="2024-03-10T00:00:00"/>
    <n v="5000"/>
    <x v="1"/>
    <x v="1"/>
  </r>
  <r>
    <s v="P0103"/>
    <x v="94"/>
    <n v="56"/>
    <x v="3"/>
    <x v="0"/>
    <x v="2"/>
    <x v="6"/>
    <x v="0"/>
    <x v="87"/>
    <d v="2024-01-17T00:00:00"/>
    <n v="8000"/>
    <x v="0"/>
    <x v="1"/>
  </r>
  <r>
    <s v="P0104"/>
    <x v="95"/>
    <n v="3"/>
    <x v="2"/>
    <x v="1"/>
    <x v="1"/>
    <x v="1"/>
    <x v="5"/>
    <x v="88"/>
    <d v="2024-08-03T00:00:00"/>
    <n v="25000"/>
    <x v="1"/>
    <x v="0"/>
  </r>
  <r>
    <s v="P0105"/>
    <x v="96"/>
    <n v="7"/>
    <x v="2"/>
    <x v="1"/>
    <x v="0"/>
    <x v="4"/>
    <x v="0"/>
    <x v="89"/>
    <d v="2024-10-04T00:00:00"/>
    <n v="25000"/>
    <x v="0"/>
    <x v="4"/>
  </r>
  <r>
    <s v="P0106"/>
    <x v="97"/>
    <n v="85"/>
    <x v="1"/>
    <x v="1"/>
    <x v="6"/>
    <x v="6"/>
    <x v="3"/>
    <x v="70"/>
    <d v="2024-05-12T00:00:00"/>
    <n v="15000"/>
    <x v="4"/>
    <x v="4"/>
  </r>
  <r>
    <s v="P0107"/>
    <x v="15"/>
    <n v="79"/>
    <x v="1"/>
    <x v="1"/>
    <x v="2"/>
    <x v="3"/>
    <x v="5"/>
    <x v="81"/>
    <d v="2024-10-24T00:00:00"/>
    <n v="15000"/>
    <x v="0"/>
    <x v="1"/>
  </r>
  <r>
    <s v="P0108"/>
    <x v="83"/>
    <n v="16"/>
    <x v="2"/>
    <x v="0"/>
    <x v="0"/>
    <x v="0"/>
    <x v="0"/>
    <x v="9"/>
    <d v="2024-09-02T00:00:00"/>
    <n v="8000"/>
    <x v="3"/>
    <x v="1"/>
  </r>
  <r>
    <s v="P0109"/>
    <x v="8"/>
    <n v="27"/>
    <x v="0"/>
    <x v="0"/>
    <x v="3"/>
    <x v="5"/>
    <x v="4"/>
    <x v="42"/>
    <d v="2024-09-09T00:00:00"/>
    <n v="20000"/>
    <x v="3"/>
    <x v="0"/>
  </r>
  <r>
    <s v="P0110"/>
    <x v="24"/>
    <n v="60"/>
    <x v="1"/>
    <x v="1"/>
    <x v="1"/>
    <x v="4"/>
    <x v="5"/>
    <x v="90"/>
    <d v="2024-05-31T00:00:00"/>
    <n v="75000"/>
    <x v="0"/>
    <x v="2"/>
  </r>
  <r>
    <s v="P0111"/>
    <x v="95"/>
    <n v="22"/>
    <x v="0"/>
    <x v="0"/>
    <x v="1"/>
    <x v="5"/>
    <x v="0"/>
    <x v="91"/>
    <d v="2024-10-14T00:00:00"/>
    <n v="35000"/>
    <x v="3"/>
    <x v="1"/>
  </r>
  <r>
    <s v="P0112"/>
    <x v="98"/>
    <n v="24"/>
    <x v="0"/>
    <x v="1"/>
    <x v="6"/>
    <x v="6"/>
    <x v="6"/>
    <x v="92"/>
    <d v="2024-05-06T00:00:00"/>
    <n v="75000"/>
    <x v="3"/>
    <x v="4"/>
  </r>
  <r>
    <s v="P0113"/>
    <x v="99"/>
    <n v="81"/>
    <x v="1"/>
    <x v="1"/>
    <x v="4"/>
    <x v="5"/>
    <x v="5"/>
    <x v="93"/>
    <d v="2024-08-31T00:00:00"/>
    <n v="25000"/>
    <x v="3"/>
    <x v="2"/>
  </r>
  <r>
    <s v="P0114"/>
    <x v="94"/>
    <n v="36"/>
    <x v="0"/>
    <x v="0"/>
    <x v="6"/>
    <x v="5"/>
    <x v="2"/>
    <x v="94"/>
    <d v="2024-03-17T00:00:00"/>
    <n v="50000"/>
    <x v="1"/>
    <x v="0"/>
  </r>
  <r>
    <s v="P0115"/>
    <x v="100"/>
    <n v="59"/>
    <x v="3"/>
    <x v="0"/>
    <x v="0"/>
    <x v="5"/>
    <x v="1"/>
    <x v="95"/>
    <d v="2024-02-01T00:00:00"/>
    <n v="0"/>
    <x v="3"/>
    <x v="1"/>
  </r>
  <r>
    <s v="P0116"/>
    <x v="101"/>
    <n v="2"/>
    <x v="2"/>
    <x v="2"/>
    <x v="1"/>
    <x v="0"/>
    <x v="2"/>
    <x v="61"/>
    <d v="2024-10-10T00:00:00"/>
    <n v="75000"/>
    <x v="0"/>
    <x v="2"/>
  </r>
  <r>
    <s v="P0117"/>
    <x v="102"/>
    <n v="74"/>
    <x v="1"/>
    <x v="0"/>
    <x v="6"/>
    <x v="3"/>
    <x v="0"/>
    <x v="96"/>
    <d v="2024-04-16T00:00:00"/>
    <n v="5000"/>
    <x v="0"/>
    <x v="0"/>
  </r>
  <r>
    <s v="P0118"/>
    <x v="103"/>
    <s v="Unknown"/>
    <x v="4"/>
    <x v="1"/>
    <x v="3"/>
    <x v="5"/>
    <x v="4"/>
    <x v="97"/>
    <d v="2024-11-24T00:00:00"/>
    <n v="75000"/>
    <x v="2"/>
    <x v="1"/>
  </r>
  <r>
    <s v="P0119"/>
    <x v="104"/>
    <n v="59"/>
    <x v="3"/>
    <x v="1"/>
    <x v="0"/>
    <x v="3"/>
    <x v="1"/>
    <x v="94"/>
    <d v="2024-03-16T00:00:00"/>
    <n v="5000"/>
    <x v="0"/>
    <x v="2"/>
  </r>
  <r>
    <s v="P0120"/>
    <x v="15"/>
    <n v="37"/>
    <x v="0"/>
    <x v="0"/>
    <x v="1"/>
    <x v="0"/>
    <x v="2"/>
    <x v="87"/>
    <d v="2024-09-27T00:00:00"/>
    <n v="5000"/>
    <x v="3"/>
    <x v="2"/>
  </r>
  <r>
    <s v="P0121"/>
    <x v="105"/>
    <n v="33"/>
    <x v="0"/>
    <x v="0"/>
    <x v="0"/>
    <x v="0"/>
    <x v="2"/>
    <x v="0"/>
    <d v="2024-02-17T00:00:00"/>
    <n v="35000"/>
    <x v="1"/>
    <x v="0"/>
  </r>
  <r>
    <s v="P0122"/>
    <x v="106"/>
    <n v="19"/>
    <x v="0"/>
    <x v="0"/>
    <x v="6"/>
    <x v="4"/>
    <x v="1"/>
    <x v="98"/>
    <d v="2024-02-27T00:00:00"/>
    <n v="8000"/>
    <x v="3"/>
    <x v="0"/>
  </r>
  <r>
    <s v="P0123"/>
    <x v="107"/>
    <n v="65"/>
    <x v="1"/>
    <x v="0"/>
    <x v="2"/>
    <x v="4"/>
    <x v="0"/>
    <x v="89"/>
    <d v="2024-09-29T00:00:00"/>
    <n v="50000"/>
    <x v="1"/>
    <x v="4"/>
  </r>
  <r>
    <s v="P0124"/>
    <x v="108"/>
    <n v="76"/>
    <x v="1"/>
    <x v="1"/>
    <x v="3"/>
    <x v="0"/>
    <x v="4"/>
    <x v="99"/>
    <d v="2024-04-03T00:00:00"/>
    <n v="15000"/>
    <x v="4"/>
    <x v="0"/>
  </r>
  <r>
    <s v="P0125"/>
    <x v="109"/>
    <n v="33"/>
    <x v="0"/>
    <x v="1"/>
    <x v="3"/>
    <x v="4"/>
    <x v="1"/>
    <x v="100"/>
    <d v="2024-02-28T00:00:00"/>
    <n v="75000"/>
    <x v="0"/>
    <x v="2"/>
  </r>
  <r>
    <s v="P0126"/>
    <x v="110"/>
    <n v="87"/>
    <x v="1"/>
    <x v="0"/>
    <x v="5"/>
    <x v="2"/>
    <x v="4"/>
    <x v="101"/>
    <d v="2024-10-01T00:00:00"/>
    <n v="15000"/>
    <x v="0"/>
    <x v="0"/>
  </r>
  <r>
    <s v="P0127"/>
    <x v="108"/>
    <n v="62"/>
    <x v="1"/>
    <x v="2"/>
    <x v="0"/>
    <x v="0"/>
    <x v="6"/>
    <x v="102"/>
    <d v="2024-05-25T00:00:00"/>
    <n v="35000"/>
    <x v="1"/>
    <x v="2"/>
  </r>
  <r>
    <s v="P0128"/>
    <x v="73"/>
    <n v="41"/>
    <x v="3"/>
    <x v="1"/>
    <x v="3"/>
    <x v="1"/>
    <x v="3"/>
    <x v="103"/>
    <d v="2024-07-24T00:00:00"/>
    <n v="8000"/>
    <x v="2"/>
    <x v="1"/>
  </r>
  <r>
    <s v="P0129"/>
    <x v="111"/>
    <n v="53"/>
    <x v="3"/>
    <x v="1"/>
    <x v="1"/>
    <x v="2"/>
    <x v="0"/>
    <x v="104"/>
    <d v="2024-02-04T00:00:00"/>
    <n v="25000"/>
    <x v="3"/>
    <x v="2"/>
  </r>
  <r>
    <s v="P0130"/>
    <x v="112"/>
    <n v="16"/>
    <x v="2"/>
    <x v="0"/>
    <x v="5"/>
    <x v="3"/>
    <x v="4"/>
    <x v="40"/>
    <d v="2024-07-28T00:00:00"/>
    <n v="35000"/>
    <x v="1"/>
    <x v="1"/>
  </r>
  <r>
    <s v="P0131"/>
    <x v="113"/>
    <n v="66"/>
    <x v="1"/>
    <x v="0"/>
    <x v="6"/>
    <x v="2"/>
    <x v="1"/>
    <x v="105"/>
    <d v="2024-10-10T00:00:00"/>
    <n v="20000"/>
    <x v="2"/>
    <x v="1"/>
  </r>
  <r>
    <s v="P0132"/>
    <x v="114"/>
    <s v="Unknown"/>
    <x v="4"/>
    <x v="0"/>
    <x v="0"/>
    <x v="1"/>
    <x v="1"/>
    <x v="28"/>
    <d v="2024-07-22T00:00:00"/>
    <n v="5000"/>
    <x v="1"/>
    <x v="4"/>
  </r>
  <r>
    <s v="P0133"/>
    <x v="115"/>
    <n v="73"/>
    <x v="1"/>
    <x v="1"/>
    <x v="2"/>
    <x v="0"/>
    <x v="2"/>
    <x v="0"/>
    <d v="2024-03-01T00:00:00"/>
    <n v="75000"/>
    <x v="1"/>
    <x v="2"/>
  </r>
  <r>
    <s v="P0134"/>
    <x v="83"/>
    <n v="43"/>
    <x v="3"/>
    <x v="0"/>
    <x v="5"/>
    <x v="5"/>
    <x v="6"/>
    <x v="106"/>
    <d v="2024-09-11T00:00:00"/>
    <n v="100000"/>
    <x v="1"/>
    <x v="1"/>
  </r>
  <r>
    <s v="P0135"/>
    <x v="116"/>
    <n v="20"/>
    <x v="0"/>
    <x v="1"/>
    <x v="0"/>
    <x v="1"/>
    <x v="0"/>
    <x v="37"/>
    <d v="2024-06-08T00:00:00"/>
    <n v="12000"/>
    <x v="1"/>
    <x v="1"/>
  </r>
  <r>
    <s v="P0136"/>
    <x v="100"/>
    <n v="45"/>
    <x v="3"/>
    <x v="1"/>
    <x v="1"/>
    <x v="0"/>
    <x v="4"/>
    <x v="3"/>
    <d v="2024-09-02T00:00:00"/>
    <n v="20000"/>
    <x v="0"/>
    <x v="0"/>
  </r>
  <r>
    <s v="P0137"/>
    <x v="117"/>
    <s v="Unknown"/>
    <x v="4"/>
    <x v="1"/>
    <x v="0"/>
    <x v="2"/>
    <x v="5"/>
    <x v="10"/>
    <d v="2024-03-17T00:00:00"/>
    <n v="5000"/>
    <x v="0"/>
    <x v="2"/>
  </r>
  <r>
    <s v="P0138"/>
    <x v="118"/>
    <n v="2"/>
    <x v="2"/>
    <x v="1"/>
    <x v="6"/>
    <x v="4"/>
    <x v="5"/>
    <x v="24"/>
    <d v="2024-08-06T00:00:00"/>
    <n v="25000"/>
    <x v="1"/>
    <x v="1"/>
  </r>
  <r>
    <s v="P0139"/>
    <x v="119"/>
    <n v="22"/>
    <x v="0"/>
    <x v="2"/>
    <x v="1"/>
    <x v="6"/>
    <x v="5"/>
    <x v="107"/>
    <d v="2024-02-07T00:00:00"/>
    <n v="25000"/>
    <x v="2"/>
    <x v="1"/>
  </r>
  <r>
    <s v="P0140"/>
    <x v="120"/>
    <n v="33"/>
    <x v="0"/>
    <x v="0"/>
    <x v="3"/>
    <x v="6"/>
    <x v="0"/>
    <x v="108"/>
    <d v="2024-02-07T00:00:00"/>
    <n v="8000"/>
    <x v="0"/>
    <x v="0"/>
  </r>
  <r>
    <s v="P0141"/>
    <x v="121"/>
    <n v="39"/>
    <x v="0"/>
    <x v="0"/>
    <x v="1"/>
    <x v="4"/>
    <x v="0"/>
    <x v="96"/>
    <d v="2024-04-13T00:00:00"/>
    <n v="0"/>
    <x v="3"/>
    <x v="1"/>
  </r>
  <r>
    <s v="P0142"/>
    <x v="122"/>
    <n v="34"/>
    <x v="0"/>
    <x v="1"/>
    <x v="2"/>
    <x v="0"/>
    <x v="5"/>
    <x v="109"/>
    <d v="2024-10-01T00:00:00"/>
    <n v="12000"/>
    <x v="3"/>
    <x v="4"/>
  </r>
  <r>
    <s v="P0143"/>
    <x v="123"/>
    <n v="81"/>
    <x v="1"/>
    <x v="0"/>
    <x v="6"/>
    <x v="6"/>
    <x v="0"/>
    <x v="110"/>
    <d v="2024-01-24T00:00:00"/>
    <n v="15000"/>
    <x v="3"/>
    <x v="0"/>
  </r>
  <r>
    <s v="P0144"/>
    <x v="124"/>
    <n v="76"/>
    <x v="1"/>
    <x v="1"/>
    <x v="3"/>
    <x v="4"/>
    <x v="0"/>
    <x v="92"/>
    <d v="2024-04-27T00:00:00"/>
    <n v="100000"/>
    <x v="3"/>
    <x v="4"/>
  </r>
  <r>
    <s v="P0145"/>
    <x v="48"/>
    <n v="16"/>
    <x v="2"/>
    <x v="0"/>
    <x v="6"/>
    <x v="6"/>
    <x v="1"/>
    <x v="64"/>
    <d v="2024-07-29T00:00:00"/>
    <n v="15000"/>
    <x v="3"/>
    <x v="4"/>
  </r>
  <r>
    <s v="P0146"/>
    <x v="125"/>
    <n v="17"/>
    <x v="2"/>
    <x v="0"/>
    <x v="2"/>
    <x v="3"/>
    <x v="5"/>
    <x v="111"/>
    <d v="2024-10-30T00:00:00"/>
    <n v="100000"/>
    <x v="1"/>
    <x v="2"/>
  </r>
  <r>
    <s v="P0147"/>
    <x v="60"/>
    <n v="23"/>
    <x v="0"/>
    <x v="0"/>
    <x v="2"/>
    <x v="5"/>
    <x v="6"/>
    <x v="112"/>
    <d v="2024-01-13T00:00:00"/>
    <n v="5000"/>
    <x v="2"/>
    <x v="0"/>
  </r>
  <r>
    <s v="P0148"/>
    <x v="112"/>
    <n v="25"/>
    <x v="0"/>
    <x v="0"/>
    <x v="1"/>
    <x v="4"/>
    <x v="0"/>
    <x v="113"/>
    <d v="2024-11-02T00:00:00"/>
    <n v="15000"/>
    <x v="0"/>
    <x v="4"/>
  </r>
  <r>
    <s v="P0149"/>
    <x v="38"/>
    <n v="11"/>
    <x v="2"/>
    <x v="0"/>
    <x v="6"/>
    <x v="2"/>
    <x v="2"/>
    <x v="114"/>
    <d v="2024-02-24T00:00:00"/>
    <n v="35000"/>
    <x v="1"/>
    <x v="2"/>
  </r>
  <r>
    <s v="P0150"/>
    <x v="126"/>
    <n v="12"/>
    <x v="2"/>
    <x v="0"/>
    <x v="4"/>
    <x v="4"/>
    <x v="2"/>
    <x v="115"/>
    <d v="2024-08-01T00:00:00"/>
    <n v="20000"/>
    <x v="2"/>
    <x v="2"/>
  </r>
  <r>
    <s v="P0151"/>
    <x v="127"/>
    <n v="50"/>
    <x v="3"/>
    <x v="1"/>
    <x v="1"/>
    <x v="1"/>
    <x v="1"/>
    <x v="116"/>
    <d v="2024-07-13T00:00:00"/>
    <n v="100000"/>
    <x v="1"/>
    <x v="0"/>
  </r>
  <r>
    <s v="P0152"/>
    <x v="128"/>
    <n v="18"/>
    <x v="0"/>
    <x v="1"/>
    <x v="0"/>
    <x v="5"/>
    <x v="3"/>
    <x v="117"/>
    <d v="2024-10-27T00:00:00"/>
    <n v="20000"/>
    <x v="2"/>
    <x v="4"/>
  </r>
  <r>
    <s v="P0153"/>
    <x v="129"/>
    <n v="46"/>
    <x v="3"/>
    <x v="0"/>
    <x v="4"/>
    <x v="0"/>
    <x v="1"/>
    <x v="118"/>
    <d v="2024-02-29T00:00:00"/>
    <n v="5000"/>
    <x v="3"/>
    <x v="0"/>
  </r>
  <r>
    <s v="P0154"/>
    <x v="130"/>
    <n v="25"/>
    <x v="0"/>
    <x v="1"/>
    <x v="1"/>
    <x v="1"/>
    <x v="5"/>
    <x v="119"/>
    <d v="2024-03-16T00:00:00"/>
    <n v="12000"/>
    <x v="2"/>
    <x v="1"/>
  </r>
  <r>
    <s v="P0155"/>
    <x v="131"/>
    <n v="59"/>
    <x v="3"/>
    <x v="0"/>
    <x v="2"/>
    <x v="6"/>
    <x v="2"/>
    <x v="120"/>
    <d v="2024-09-28T00:00:00"/>
    <n v="75000"/>
    <x v="1"/>
    <x v="1"/>
  </r>
  <r>
    <s v="P0156"/>
    <x v="132"/>
    <n v="41"/>
    <x v="3"/>
    <x v="1"/>
    <x v="6"/>
    <x v="0"/>
    <x v="2"/>
    <x v="121"/>
    <d v="2024-06-14T00:00:00"/>
    <n v="20000"/>
    <x v="4"/>
    <x v="0"/>
  </r>
  <r>
    <s v="P0157"/>
    <x v="7"/>
    <n v="16"/>
    <x v="2"/>
    <x v="1"/>
    <x v="0"/>
    <x v="0"/>
    <x v="2"/>
    <x v="12"/>
    <d v="2024-04-30T00:00:00"/>
    <n v="5000"/>
    <x v="1"/>
    <x v="2"/>
  </r>
  <r>
    <s v="P0158"/>
    <x v="133"/>
    <n v="20"/>
    <x v="0"/>
    <x v="1"/>
    <x v="0"/>
    <x v="1"/>
    <x v="5"/>
    <x v="122"/>
    <d v="2024-01-26T00:00:00"/>
    <n v="25000"/>
    <x v="3"/>
    <x v="1"/>
  </r>
  <r>
    <s v="P0159"/>
    <x v="134"/>
    <n v="68"/>
    <x v="1"/>
    <x v="1"/>
    <x v="3"/>
    <x v="3"/>
    <x v="4"/>
    <x v="75"/>
    <d v="2024-04-17T00:00:00"/>
    <n v="20000"/>
    <x v="2"/>
    <x v="4"/>
  </r>
  <r>
    <s v="P0160"/>
    <x v="135"/>
    <n v="12"/>
    <x v="2"/>
    <x v="1"/>
    <x v="3"/>
    <x v="6"/>
    <x v="1"/>
    <x v="123"/>
    <d v="2024-01-17T00:00:00"/>
    <n v="75000"/>
    <x v="0"/>
    <x v="4"/>
  </r>
  <r>
    <s v="P0161"/>
    <x v="30"/>
    <n v="56"/>
    <x v="3"/>
    <x v="1"/>
    <x v="4"/>
    <x v="6"/>
    <x v="4"/>
    <x v="44"/>
    <d v="2024-04-20T00:00:00"/>
    <n v="50000"/>
    <x v="2"/>
    <x v="4"/>
  </r>
  <r>
    <s v="P0162"/>
    <x v="131"/>
    <n v="56"/>
    <x v="3"/>
    <x v="0"/>
    <x v="6"/>
    <x v="4"/>
    <x v="1"/>
    <x v="124"/>
    <d v="2024-03-29T00:00:00"/>
    <n v="8000"/>
    <x v="1"/>
    <x v="0"/>
  </r>
  <r>
    <s v="P0163"/>
    <x v="136"/>
    <n v="22"/>
    <x v="0"/>
    <x v="1"/>
    <x v="6"/>
    <x v="4"/>
    <x v="6"/>
    <x v="125"/>
    <d v="2024-01-28T00:00:00"/>
    <n v="20000"/>
    <x v="0"/>
    <x v="1"/>
  </r>
  <r>
    <s v="P0164"/>
    <x v="113"/>
    <n v="1"/>
    <x v="2"/>
    <x v="0"/>
    <x v="5"/>
    <x v="4"/>
    <x v="5"/>
    <x v="126"/>
    <d v="2024-06-27T00:00:00"/>
    <n v="25000"/>
    <x v="2"/>
    <x v="1"/>
  </r>
  <r>
    <s v="P0165"/>
    <x v="137"/>
    <n v="57"/>
    <x v="3"/>
    <x v="0"/>
    <x v="5"/>
    <x v="4"/>
    <x v="0"/>
    <x v="127"/>
    <d v="2024-03-30T00:00:00"/>
    <n v="5000"/>
    <x v="2"/>
    <x v="1"/>
  </r>
  <r>
    <s v="P0166"/>
    <x v="138"/>
    <n v="5"/>
    <x v="2"/>
    <x v="0"/>
    <x v="2"/>
    <x v="4"/>
    <x v="0"/>
    <x v="128"/>
    <d v="2024-01-30T00:00:00"/>
    <n v="100000"/>
    <x v="0"/>
    <x v="4"/>
  </r>
  <r>
    <s v="P0167"/>
    <x v="29"/>
    <n v="83"/>
    <x v="1"/>
    <x v="1"/>
    <x v="3"/>
    <x v="5"/>
    <x v="3"/>
    <x v="129"/>
    <d v="2024-06-19T00:00:00"/>
    <n v="100000"/>
    <x v="0"/>
    <x v="4"/>
  </r>
  <r>
    <s v="P0168"/>
    <x v="28"/>
    <n v="8"/>
    <x v="2"/>
    <x v="1"/>
    <x v="3"/>
    <x v="0"/>
    <x v="1"/>
    <x v="130"/>
    <d v="2024-01-19T00:00:00"/>
    <n v="50000"/>
    <x v="1"/>
    <x v="0"/>
  </r>
  <r>
    <s v="P0169"/>
    <x v="7"/>
    <n v="7"/>
    <x v="2"/>
    <x v="1"/>
    <x v="4"/>
    <x v="1"/>
    <x v="0"/>
    <x v="131"/>
    <d v="2024-03-09T00:00:00"/>
    <n v="50000"/>
    <x v="2"/>
    <x v="2"/>
  </r>
  <r>
    <s v="P0170"/>
    <x v="37"/>
    <n v="42"/>
    <x v="3"/>
    <x v="0"/>
    <x v="0"/>
    <x v="3"/>
    <x v="0"/>
    <x v="132"/>
    <d v="2024-11-10T00:00:00"/>
    <n v="35000"/>
    <x v="0"/>
    <x v="1"/>
  </r>
  <r>
    <s v="P0171"/>
    <x v="139"/>
    <n v="71"/>
    <x v="1"/>
    <x v="0"/>
    <x v="1"/>
    <x v="5"/>
    <x v="2"/>
    <x v="57"/>
    <d v="2024-06-30T00:00:00"/>
    <n v="100000"/>
    <x v="0"/>
    <x v="1"/>
  </r>
  <r>
    <s v="P0172"/>
    <x v="140"/>
    <n v="39"/>
    <x v="0"/>
    <x v="1"/>
    <x v="0"/>
    <x v="1"/>
    <x v="1"/>
    <x v="133"/>
    <d v="2024-02-10T00:00:00"/>
    <n v="12000"/>
    <x v="2"/>
    <x v="4"/>
  </r>
  <r>
    <s v="P0173"/>
    <x v="141"/>
    <n v="26"/>
    <x v="0"/>
    <x v="1"/>
    <x v="5"/>
    <x v="2"/>
    <x v="3"/>
    <x v="134"/>
    <d v="2024-09-16T00:00:00"/>
    <n v="12000"/>
    <x v="1"/>
    <x v="0"/>
  </r>
  <r>
    <s v="P0174"/>
    <x v="142"/>
    <n v="4"/>
    <x v="2"/>
    <x v="1"/>
    <x v="6"/>
    <x v="2"/>
    <x v="0"/>
    <x v="61"/>
    <d v="2024-10-14T00:00:00"/>
    <n v="35000"/>
    <x v="2"/>
    <x v="2"/>
  </r>
  <r>
    <s v="P0175"/>
    <x v="143"/>
    <n v="38"/>
    <x v="0"/>
    <x v="1"/>
    <x v="6"/>
    <x v="4"/>
    <x v="2"/>
    <x v="111"/>
    <d v="2024-11-10T00:00:00"/>
    <n v="8000"/>
    <x v="4"/>
    <x v="4"/>
  </r>
  <r>
    <s v="P0176"/>
    <x v="144"/>
    <n v="14"/>
    <x v="2"/>
    <x v="1"/>
    <x v="0"/>
    <x v="2"/>
    <x v="5"/>
    <x v="135"/>
    <d v="2024-05-22T00:00:00"/>
    <n v="35000"/>
    <x v="2"/>
    <x v="0"/>
  </r>
  <r>
    <s v="P0177"/>
    <x v="145"/>
    <n v="68"/>
    <x v="1"/>
    <x v="1"/>
    <x v="0"/>
    <x v="2"/>
    <x v="5"/>
    <x v="110"/>
    <d v="2024-01-25T00:00:00"/>
    <n v="12000"/>
    <x v="0"/>
    <x v="4"/>
  </r>
  <r>
    <s v="P0178"/>
    <x v="146"/>
    <n v="27"/>
    <x v="0"/>
    <x v="1"/>
    <x v="5"/>
    <x v="0"/>
    <x v="4"/>
    <x v="70"/>
    <d v="2024-04-22T00:00:00"/>
    <n v="12000"/>
    <x v="2"/>
    <x v="1"/>
  </r>
  <r>
    <s v="P0179"/>
    <x v="93"/>
    <n v="63"/>
    <x v="1"/>
    <x v="1"/>
    <x v="0"/>
    <x v="2"/>
    <x v="4"/>
    <x v="102"/>
    <d v="2024-07-22T00:00:00"/>
    <n v="35000"/>
    <x v="1"/>
    <x v="2"/>
  </r>
  <r>
    <s v="P0180"/>
    <x v="147"/>
    <n v="3"/>
    <x v="2"/>
    <x v="1"/>
    <x v="5"/>
    <x v="2"/>
    <x v="5"/>
    <x v="37"/>
    <d v="2024-05-14T00:00:00"/>
    <n v="100000"/>
    <x v="1"/>
    <x v="4"/>
  </r>
  <r>
    <s v="P0181"/>
    <x v="148"/>
    <n v="71"/>
    <x v="1"/>
    <x v="0"/>
    <x v="5"/>
    <x v="0"/>
    <x v="3"/>
    <x v="136"/>
    <d v="2024-02-27T00:00:00"/>
    <n v="15000"/>
    <x v="2"/>
    <x v="2"/>
  </r>
  <r>
    <s v="P0182"/>
    <x v="149"/>
    <n v="69"/>
    <x v="1"/>
    <x v="1"/>
    <x v="2"/>
    <x v="1"/>
    <x v="4"/>
    <x v="76"/>
    <d v="2024-05-04T00:00:00"/>
    <n v="25000"/>
    <x v="3"/>
    <x v="0"/>
  </r>
  <r>
    <s v="P0183"/>
    <x v="150"/>
    <n v="22"/>
    <x v="0"/>
    <x v="1"/>
    <x v="4"/>
    <x v="6"/>
    <x v="3"/>
    <x v="17"/>
    <d v="2024-08-31T00:00:00"/>
    <n v="25000"/>
    <x v="1"/>
    <x v="0"/>
  </r>
  <r>
    <s v="P0184"/>
    <x v="151"/>
    <n v="57"/>
    <x v="3"/>
    <x v="1"/>
    <x v="5"/>
    <x v="6"/>
    <x v="1"/>
    <x v="61"/>
    <d v="2024-10-04T00:00:00"/>
    <n v="12000"/>
    <x v="0"/>
    <x v="1"/>
  </r>
  <r>
    <s v="P0185"/>
    <x v="47"/>
    <n v="19"/>
    <x v="0"/>
    <x v="1"/>
    <x v="3"/>
    <x v="3"/>
    <x v="2"/>
    <x v="137"/>
    <d v="2024-07-23T00:00:00"/>
    <n v="5000"/>
    <x v="3"/>
    <x v="1"/>
  </r>
  <r>
    <s v="P0186"/>
    <x v="152"/>
    <n v="32"/>
    <x v="0"/>
    <x v="0"/>
    <x v="2"/>
    <x v="6"/>
    <x v="1"/>
    <x v="138"/>
    <d v="2024-09-22T00:00:00"/>
    <n v="35000"/>
    <x v="1"/>
    <x v="0"/>
  </r>
  <r>
    <s v="P0187"/>
    <x v="153"/>
    <n v="74"/>
    <x v="1"/>
    <x v="0"/>
    <x v="4"/>
    <x v="2"/>
    <x v="3"/>
    <x v="139"/>
    <d v="2024-06-21T00:00:00"/>
    <n v="8000"/>
    <x v="0"/>
    <x v="1"/>
  </r>
  <r>
    <s v="P0188"/>
    <x v="154"/>
    <n v="58"/>
    <x v="3"/>
    <x v="1"/>
    <x v="2"/>
    <x v="2"/>
    <x v="3"/>
    <x v="140"/>
    <d v="2024-08-12T00:00:00"/>
    <n v="35000"/>
    <x v="0"/>
    <x v="4"/>
  </r>
  <r>
    <s v="P0189"/>
    <x v="55"/>
    <n v="6"/>
    <x v="2"/>
    <x v="1"/>
    <x v="5"/>
    <x v="0"/>
    <x v="1"/>
    <x v="141"/>
    <d v="2024-08-14T00:00:00"/>
    <n v="5000"/>
    <x v="1"/>
    <x v="4"/>
  </r>
  <r>
    <s v="P0190"/>
    <x v="155"/>
    <n v="80"/>
    <x v="1"/>
    <x v="1"/>
    <x v="5"/>
    <x v="0"/>
    <x v="5"/>
    <x v="92"/>
    <d v="2024-04-25T00:00:00"/>
    <n v="50000"/>
    <x v="0"/>
    <x v="4"/>
  </r>
  <r>
    <s v="P0191"/>
    <x v="156"/>
    <n v="22"/>
    <x v="0"/>
    <x v="1"/>
    <x v="4"/>
    <x v="4"/>
    <x v="0"/>
    <x v="142"/>
    <d v="2024-01-24T00:00:00"/>
    <n v="5000"/>
    <x v="3"/>
    <x v="2"/>
  </r>
  <r>
    <s v="P0192"/>
    <x v="26"/>
    <n v="40"/>
    <x v="3"/>
    <x v="0"/>
    <x v="4"/>
    <x v="3"/>
    <x v="6"/>
    <x v="107"/>
    <d v="2024-02-16T00:00:00"/>
    <n v="20000"/>
    <x v="1"/>
    <x v="4"/>
  </r>
  <r>
    <s v="P0193"/>
    <x v="157"/>
    <s v="Unknown"/>
    <x v="4"/>
    <x v="0"/>
    <x v="5"/>
    <x v="5"/>
    <x v="2"/>
    <x v="133"/>
    <d v="2024-06-09T00:00:00"/>
    <n v="35000"/>
    <x v="0"/>
    <x v="2"/>
  </r>
  <r>
    <s v="P0194"/>
    <x v="158"/>
    <n v="45"/>
    <x v="3"/>
    <x v="1"/>
    <x v="0"/>
    <x v="6"/>
    <x v="0"/>
    <x v="108"/>
    <d v="2024-02-13T00:00:00"/>
    <n v="5000"/>
    <x v="1"/>
    <x v="4"/>
  </r>
  <r>
    <s v="P0195"/>
    <x v="75"/>
    <n v="12"/>
    <x v="2"/>
    <x v="0"/>
    <x v="2"/>
    <x v="3"/>
    <x v="1"/>
    <x v="143"/>
    <d v="2024-10-17T00:00:00"/>
    <n v="15000"/>
    <x v="3"/>
    <x v="2"/>
  </r>
  <r>
    <s v="P0196"/>
    <x v="159"/>
    <n v="13"/>
    <x v="2"/>
    <x v="1"/>
    <x v="5"/>
    <x v="1"/>
    <x v="2"/>
    <x v="36"/>
    <d v="2024-01-23T00:00:00"/>
    <n v="75000"/>
    <x v="0"/>
    <x v="2"/>
  </r>
  <r>
    <s v="P0197"/>
    <x v="160"/>
    <n v="89"/>
    <x v="1"/>
    <x v="0"/>
    <x v="3"/>
    <x v="0"/>
    <x v="6"/>
    <x v="141"/>
    <d v="2024-08-04T00:00:00"/>
    <n v="75000"/>
    <x v="0"/>
    <x v="4"/>
  </r>
  <r>
    <s v="P0198"/>
    <x v="72"/>
    <n v="4"/>
    <x v="2"/>
    <x v="1"/>
    <x v="7"/>
    <x v="3"/>
    <x v="6"/>
    <x v="144"/>
    <d v="2024-02-10T00:00:00"/>
    <n v="8000"/>
    <x v="2"/>
    <x v="2"/>
  </r>
  <r>
    <s v="P0199"/>
    <x v="161"/>
    <n v="45"/>
    <x v="3"/>
    <x v="0"/>
    <x v="0"/>
    <x v="5"/>
    <x v="6"/>
    <x v="145"/>
    <d v="2024-06-17T00:00:00"/>
    <n v="15000"/>
    <x v="1"/>
    <x v="0"/>
  </r>
  <r>
    <s v="P0200"/>
    <x v="162"/>
    <n v="61"/>
    <x v="1"/>
    <x v="0"/>
    <x v="3"/>
    <x v="1"/>
    <x v="3"/>
    <x v="146"/>
    <d v="2024-03-21T00:00:00"/>
    <n v="25000"/>
    <x v="1"/>
    <x v="2"/>
  </r>
  <r>
    <s v="P0201"/>
    <x v="163"/>
    <n v="56"/>
    <x v="3"/>
    <x v="0"/>
    <x v="2"/>
    <x v="6"/>
    <x v="2"/>
    <x v="40"/>
    <d v="2024-07-11T00:00:00"/>
    <n v="25000"/>
    <x v="1"/>
    <x v="4"/>
  </r>
  <r>
    <s v="P0202"/>
    <x v="164"/>
    <n v="47"/>
    <x v="3"/>
    <x v="1"/>
    <x v="3"/>
    <x v="5"/>
    <x v="2"/>
    <x v="147"/>
    <d v="2024-01-09T00:00:00"/>
    <n v="15000"/>
    <x v="0"/>
    <x v="2"/>
  </r>
  <r>
    <s v="P0203"/>
    <x v="165"/>
    <n v="31"/>
    <x v="0"/>
    <x v="0"/>
    <x v="3"/>
    <x v="0"/>
    <x v="4"/>
    <x v="148"/>
    <d v="2024-09-10T00:00:00"/>
    <n v="75000"/>
    <x v="3"/>
    <x v="4"/>
  </r>
  <r>
    <s v="P0204"/>
    <x v="166"/>
    <n v="54"/>
    <x v="3"/>
    <x v="1"/>
    <x v="6"/>
    <x v="3"/>
    <x v="3"/>
    <x v="37"/>
    <d v="2024-05-29T00:00:00"/>
    <n v="15000"/>
    <x v="1"/>
    <x v="4"/>
  </r>
  <r>
    <s v="P0205"/>
    <x v="139"/>
    <n v="56"/>
    <x v="3"/>
    <x v="0"/>
    <x v="5"/>
    <x v="3"/>
    <x v="4"/>
    <x v="11"/>
    <d v="2024-08-14T00:00:00"/>
    <n v="12000"/>
    <x v="2"/>
    <x v="2"/>
  </r>
  <r>
    <s v="P0206"/>
    <x v="57"/>
    <n v="30"/>
    <x v="0"/>
    <x v="1"/>
    <x v="6"/>
    <x v="1"/>
    <x v="1"/>
    <x v="149"/>
    <d v="2024-08-04T00:00:00"/>
    <n v="35000"/>
    <x v="2"/>
    <x v="4"/>
  </r>
  <r>
    <s v="P0207"/>
    <x v="101"/>
    <n v="18"/>
    <x v="0"/>
    <x v="0"/>
    <x v="0"/>
    <x v="1"/>
    <x v="5"/>
    <x v="61"/>
    <d v="2024-10-14T00:00:00"/>
    <n v="75000"/>
    <x v="2"/>
    <x v="2"/>
  </r>
  <r>
    <s v="P0208"/>
    <x v="167"/>
    <n v="23"/>
    <x v="0"/>
    <x v="1"/>
    <x v="4"/>
    <x v="6"/>
    <x v="2"/>
    <x v="112"/>
    <d v="2024-02-15T00:00:00"/>
    <n v="100000"/>
    <x v="2"/>
    <x v="0"/>
  </r>
  <r>
    <s v="P0209"/>
    <x v="168"/>
    <n v="81"/>
    <x v="1"/>
    <x v="1"/>
    <x v="2"/>
    <x v="5"/>
    <x v="0"/>
    <x v="150"/>
    <d v="2024-05-21T00:00:00"/>
    <n v="100000"/>
    <x v="1"/>
    <x v="4"/>
  </r>
  <r>
    <s v="P0210"/>
    <x v="169"/>
    <n v="45"/>
    <x v="3"/>
    <x v="0"/>
    <x v="2"/>
    <x v="2"/>
    <x v="0"/>
    <x v="83"/>
    <d v="2024-03-29T00:00:00"/>
    <n v="15000"/>
    <x v="3"/>
    <x v="4"/>
  </r>
  <r>
    <s v="P0211"/>
    <x v="170"/>
    <n v="67"/>
    <x v="1"/>
    <x v="0"/>
    <x v="6"/>
    <x v="6"/>
    <x v="6"/>
    <x v="151"/>
    <d v="2024-08-24T00:00:00"/>
    <n v="35000"/>
    <x v="3"/>
    <x v="4"/>
  </r>
  <r>
    <s v="P0212"/>
    <x v="171"/>
    <s v="Unknown"/>
    <x v="4"/>
    <x v="1"/>
    <x v="0"/>
    <x v="6"/>
    <x v="1"/>
    <x v="152"/>
    <d v="2024-06-17T00:00:00"/>
    <n v="5000"/>
    <x v="3"/>
    <x v="2"/>
  </r>
  <r>
    <s v="P0213"/>
    <x v="172"/>
    <n v="76"/>
    <x v="1"/>
    <x v="1"/>
    <x v="0"/>
    <x v="6"/>
    <x v="4"/>
    <x v="153"/>
    <d v="2024-04-21T00:00:00"/>
    <n v="12000"/>
    <x v="0"/>
    <x v="0"/>
  </r>
  <r>
    <s v="P0214"/>
    <x v="173"/>
    <n v="24"/>
    <x v="0"/>
    <x v="0"/>
    <x v="5"/>
    <x v="6"/>
    <x v="0"/>
    <x v="154"/>
    <d v="2024-09-12T00:00:00"/>
    <n v="20000"/>
    <x v="3"/>
    <x v="0"/>
  </r>
  <r>
    <s v="P0215"/>
    <x v="174"/>
    <n v="55"/>
    <x v="3"/>
    <x v="0"/>
    <x v="2"/>
    <x v="0"/>
    <x v="4"/>
    <x v="155"/>
    <d v="2024-10-17T00:00:00"/>
    <n v="8000"/>
    <x v="1"/>
    <x v="2"/>
  </r>
  <r>
    <s v="P0216"/>
    <x v="175"/>
    <n v="61"/>
    <x v="1"/>
    <x v="0"/>
    <x v="4"/>
    <x v="0"/>
    <x v="5"/>
    <x v="156"/>
    <d v="2024-10-13T00:00:00"/>
    <n v="50000"/>
    <x v="3"/>
    <x v="1"/>
  </r>
  <r>
    <s v="P0217"/>
    <x v="176"/>
    <n v="15"/>
    <x v="2"/>
    <x v="1"/>
    <x v="1"/>
    <x v="6"/>
    <x v="3"/>
    <x v="157"/>
    <d v="2024-04-05T00:00:00"/>
    <n v="8000"/>
    <x v="1"/>
    <x v="0"/>
  </r>
  <r>
    <s v="P0218"/>
    <x v="57"/>
    <n v="34"/>
    <x v="0"/>
    <x v="0"/>
    <x v="6"/>
    <x v="0"/>
    <x v="4"/>
    <x v="158"/>
    <d v="2024-03-14T00:00:00"/>
    <n v="12000"/>
    <x v="1"/>
    <x v="1"/>
  </r>
  <r>
    <s v="P0219"/>
    <x v="177"/>
    <n v="28"/>
    <x v="0"/>
    <x v="0"/>
    <x v="4"/>
    <x v="2"/>
    <x v="1"/>
    <x v="159"/>
    <d v="2024-06-18T00:00:00"/>
    <n v="50000"/>
    <x v="3"/>
    <x v="4"/>
  </r>
  <r>
    <s v="P0220"/>
    <x v="178"/>
    <n v="84"/>
    <x v="1"/>
    <x v="1"/>
    <x v="3"/>
    <x v="0"/>
    <x v="2"/>
    <x v="160"/>
    <d v="2024-04-29T00:00:00"/>
    <n v="20000"/>
    <x v="2"/>
    <x v="1"/>
  </r>
  <r>
    <s v="P0221"/>
    <x v="123"/>
    <n v="81"/>
    <x v="1"/>
    <x v="0"/>
    <x v="3"/>
    <x v="0"/>
    <x v="0"/>
    <x v="109"/>
    <d v="2024-09-18T00:00:00"/>
    <n v="75000"/>
    <x v="3"/>
    <x v="2"/>
  </r>
  <r>
    <s v="P0222"/>
    <x v="179"/>
    <n v="6"/>
    <x v="2"/>
    <x v="1"/>
    <x v="3"/>
    <x v="0"/>
    <x v="5"/>
    <x v="95"/>
    <d v="2024-02-02T00:00:00"/>
    <n v="15000"/>
    <x v="0"/>
    <x v="1"/>
  </r>
  <r>
    <s v="P0223"/>
    <x v="88"/>
    <n v="14"/>
    <x v="2"/>
    <x v="1"/>
    <x v="1"/>
    <x v="0"/>
    <x v="4"/>
    <x v="17"/>
    <d v="2024-09-06T00:00:00"/>
    <n v="8000"/>
    <x v="0"/>
    <x v="1"/>
  </r>
  <r>
    <s v="P0224"/>
    <x v="180"/>
    <s v="Unknown"/>
    <x v="4"/>
    <x v="1"/>
    <x v="4"/>
    <x v="4"/>
    <x v="5"/>
    <x v="38"/>
    <d v="2024-07-02T00:00:00"/>
    <n v="25000"/>
    <x v="2"/>
    <x v="4"/>
  </r>
  <r>
    <s v="P0225"/>
    <x v="181"/>
    <n v="54"/>
    <x v="3"/>
    <x v="1"/>
    <x v="4"/>
    <x v="1"/>
    <x v="6"/>
    <x v="112"/>
    <d v="2024-02-03T00:00:00"/>
    <n v="75000"/>
    <x v="3"/>
    <x v="0"/>
  </r>
  <r>
    <s v="P0226"/>
    <x v="182"/>
    <n v="60"/>
    <x v="1"/>
    <x v="0"/>
    <x v="0"/>
    <x v="2"/>
    <x v="6"/>
    <x v="161"/>
    <d v="2024-10-28T00:00:00"/>
    <n v="100000"/>
    <x v="0"/>
    <x v="2"/>
  </r>
  <r>
    <s v="P0227"/>
    <x v="183"/>
    <n v="69"/>
    <x v="1"/>
    <x v="0"/>
    <x v="6"/>
    <x v="5"/>
    <x v="1"/>
    <x v="162"/>
    <d v="2024-07-14T00:00:00"/>
    <n v="50000"/>
    <x v="0"/>
    <x v="2"/>
  </r>
  <r>
    <s v="P0228"/>
    <x v="184"/>
    <n v="19"/>
    <x v="0"/>
    <x v="0"/>
    <x v="1"/>
    <x v="3"/>
    <x v="6"/>
    <x v="163"/>
    <d v="2024-11-07T00:00:00"/>
    <n v="25000"/>
    <x v="3"/>
    <x v="4"/>
  </r>
  <r>
    <s v="P0229"/>
    <x v="177"/>
    <n v="26"/>
    <x v="0"/>
    <x v="1"/>
    <x v="3"/>
    <x v="1"/>
    <x v="6"/>
    <x v="8"/>
    <d v="2024-08-02T00:00:00"/>
    <n v="12000"/>
    <x v="4"/>
    <x v="2"/>
  </r>
  <r>
    <s v="P0230"/>
    <x v="185"/>
    <n v="3"/>
    <x v="2"/>
    <x v="1"/>
    <x v="2"/>
    <x v="2"/>
    <x v="2"/>
    <x v="164"/>
    <d v="2024-02-20T00:00:00"/>
    <n v="35000"/>
    <x v="2"/>
    <x v="1"/>
  </r>
  <r>
    <s v="P0231"/>
    <x v="186"/>
    <n v="84"/>
    <x v="1"/>
    <x v="0"/>
    <x v="3"/>
    <x v="6"/>
    <x v="3"/>
    <x v="155"/>
    <d v="2024-10-11T00:00:00"/>
    <n v="0"/>
    <x v="3"/>
    <x v="2"/>
  </r>
  <r>
    <s v="P0232"/>
    <x v="187"/>
    <s v="Unknown"/>
    <x v="4"/>
    <x v="1"/>
    <x v="3"/>
    <x v="3"/>
    <x v="5"/>
    <x v="104"/>
    <d v="2024-06-24T00:00:00"/>
    <n v="12000"/>
    <x v="2"/>
    <x v="3"/>
  </r>
  <r>
    <s v="P0233"/>
    <x v="188"/>
    <n v="18"/>
    <x v="0"/>
    <x v="1"/>
    <x v="6"/>
    <x v="1"/>
    <x v="3"/>
    <x v="144"/>
    <d v="2024-02-19T00:00:00"/>
    <n v="15000"/>
    <x v="2"/>
    <x v="1"/>
  </r>
  <r>
    <s v="P0234"/>
    <x v="189"/>
    <n v="40"/>
    <x v="3"/>
    <x v="0"/>
    <x v="1"/>
    <x v="3"/>
    <x v="6"/>
    <x v="165"/>
    <d v="2024-04-26T00:00:00"/>
    <n v="50000"/>
    <x v="3"/>
    <x v="1"/>
  </r>
  <r>
    <s v="P0235"/>
    <x v="190"/>
    <s v="Unknown"/>
    <x v="4"/>
    <x v="0"/>
    <x v="1"/>
    <x v="0"/>
    <x v="2"/>
    <x v="31"/>
    <d v="2024-11-10T00:00:00"/>
    <n v="5000"/>
    <x v="2"/>
    <x v="1"/>
  </r>
  <r>
    <s v="P0236"/>
    <x v="95"/>
    <n v="47"/>
    <x v="3"/>
    <x v="0"/>
    <x v="5"/>
    <x v="2"/>
    <x v="6"/>
    <x v="166"/>
    <d v="2024-07-31T00:00:00"/>
    <n v="20000"/>
    <x v="1"/>
    <x v="1"/>
  </r>
  <r>
    <s v="P0237"/>
    <x v="5"/>
    <n v="47"/>
    <x v="3"/>
    <x v="0"/>
    <x v="2"/>
    <x v="4"/>
    <x v="4"/>
    <x v="167"/>
    <d v="2024-08-08T00:00:00"/>
    <n v="0"/>
    <x v="1"/>
    <x v="0"/>
  </r>
  <r>
    <s v="P0238"/>
    <x v="191"/>
    <n v="61"/>
    <x v="1"/>
    <x v="0"/>
    <x v="3"/>
    <x v="6"/>
    <x v="5"/>
    <x v="50"/>
    <d v="2024-06-28T00:00:00"/>
    <n v="12000"/>
    <x v="3"/>
    <x v="2"/>
  </r>
  <r>
    <s v="P0239"/>
    <x v="46"/>
    <n v="68"/>
    <x v="1"/>
    <x v="1"/>
    <x v="6"/>
    <x v="1"/>
    <x v="0"/>
    <x v="168"/>
    <d v="2024-07-22T00:00:00"/>
    <n v="15000"/>
    <x v="3"/>
    <x v="1"/>
  </r>
  <r>
    <s v="P0240"/>
    <x v="192"/>
    <n v="31"/>
    <x v="0"/>
    <x v="1"/>
    <x v="3"/>
    <x v="5"/>
    <x v="3"/>
    <x v="11"/>
    <d v="2024-09-08T00:00:00"/>
    <n v="0"/>
    <x v="0"/>
    <x v="1"/>
  </r>
  <r>
    <s v="P0241"/>
    <x v="47"/>
    <n v="21"/>
    <x v="0"/>
    <x v="1"/>
    <x v="3"/>
    <x v="4"/>
    <x v="5"/>
    <x v="169"/>
    <d v="2024-11-21T00:00:00"/>
    <n v="8000"/>
    <x v="3"/>
    <x v="4"/>
  </r>
  <r>
    <s v="P0242"/>
    <x v="171"/>
    <n v="23"/>
    <x v="0"/>
    <x v="2"/>
    <x v="1"/>
    <x v="5"/>
    <x v="0"/>
    <x v="106"/>
    <d v="2024-08-26T00:00:00"/>
    <n v="50000"/>
    <x v="1"/>
    <x v="4"/>
  </r>
  <r>
    <s v="P0243"/>
    <x v="193"/>
    <n v="34"/>
    <x v="0"/>
    <x v="0"/>
    <x v="1"/>
    <x v="1"/>
    <x v="3"/>
    <x v="170"/>
    <d v="2024-02-24T00:00:00"/>
    <n v="20000"/>
    <x v="2"/>
    <x v="4"/>
  </r>
  <r>
    <s v="P0244"/>
    <x v="194"/>
    <n v="49"/>
    <x v="3"/>
    <x v="0"/>
    <x v="5"/>
    <x v="0"/>
    <x v="4"/>
    <x v="33"/>
    <d v="2024-10-27T00:00:00"/>
    <n v="8000"/>
    <x v="3"/>
    <x v="0"/>
  </r>
  <r>
    <s v="P0245"/>
    <x v="72"/>
    <n v="61"/>
    <x v="1"/>
    <x v="0"/>
    <x v="2"/>
    <x v="2"/>
    <x v="5"/>
    <x v="154"/>
    <d v="2024-09-20T00:00:00"/>
    <n v="12000"/>
    <x v="1"/>
    <x v="2"/>
  </r>
  <r>
    <s v="P0246"/>
    <x v="195"/>
    <n v="69"/>
    <x v="1"/>
    <x v="0"/>
    <x v="0"/>
    <x v="4"/>
    <x v="4"/>
    <x v="171"/>
    <d v="2024-10-09T00:00:00"/>
    <n v="5000"/>
    <x v="0"/>
    <x v="2"/>
  </r>
  <r>
    <s v="P0247"/>
    <x v="3"/>
    <n v="15"/>
    <x v="2"/>
    <x v="0"/>
    <x v="0"/>
    <x v="2"/>
    <x v="4"/>
    <x v="134"/>
    <d v="2024-09-29T00:00:00"/>
    <n v="5000"/>
    <x v="0"/>
    <x v="4"/>
  </r>
  <r>
    <s v="P0248"/>
    <x v="196"/>
    <n v="11"/>
    <x v="2"/>
    <x v="1"/>
    <x v="1"/>
    <x v="4"/>
    <x v="6"/>
    <x v="57"/>
    <d v="2024-06-26T00:00:00"/>
    <n v="5000"/>
    <x v="3"/>
    <x v="0"/>
  </r>
  <r>
    <s v="P0249"/>
    <x v="120"/>
    <n v="37"/>
    <x v="0"/>
    <x v="0"/>
    <x v="1"/>
    <x v="4"/>
    <x v="6"/>
    <x v="172"/>
    <d v="2024-10-03T00:00:00"/>
    <n v="12000"/>
    <x v="3"/>
    <x v="1"/>
  </r>
  <r>
    <s v="P0250"/>
    <x v="38"/>
    <n v="70"/>
    <x v="1"/>
    <x v="1"/>
    <x v="2"/>
    <x v="1"/>
    <x v="6"/>
    <x v="37"/>
    <d v="2024-10-25T00:00:00"/>
    <n v="35000"/>
    <x v="1"/>
    <x v="1"/>
  </r>
  <r>
    <s v="P0251"/>
    <x v="195"/>
    <s v="Unknown"/>
    <x v="4"/>
    <x v="1"/>
    <x v="5"/>
    <x v="1"/>
    <x v="6"/>
    <x v="173"/>
    <d v="2024-02-09T00:00:00"/>
    <n v="35000"/>
    <x v="3"/>
    <x v="2"/>
  </r>
  <r>
    <s v="P0252"/>
    <x v="197"/>
    <n v="42"/>
    <x v="3"/>
    <x v="1"/>
    <x v="0"/>
    <x v="6"/>
    <x v="6"/>
    <x v="105"/>
    <d v="2024-10-06T00:00:00"/>
    <n v="75000"/>
    <x v="3"/>
    <x v="2"/>
  </r>
  <r>
    <s v="P0253"/>
    <x v="198"/>
    <n v="34"/>
    <x v="0"/>
    <x v="1"/>
    <x v="0"/>
    <x v="4"/>
    <x v="5"/>
    <x v="174"/>
    <d v="2024-10-18T00:00:00"/>
    <n v="12000"/>
    <x v="1"/>
    <x v="4"/>
  </r>
  <r>
    <s v="P0254"/>
    <x v="188"/>
    <n v="57"/>
    <x v="3"/>
    <x v="1"/>
    <x v="1"/>
    <x v="3"/>
    <x v="2"/>
    <x v="175"/>
    <d v="2024-01-26T00:00:00"/>
    <n v="50000"/>
    <x v="1"/>
    <x v="0"/>
  </r>
  <r>
    <s v="P0255"/>
    <x v="26"/>
    <n v="6"/>
    <x v="2"/>
    <x v="0"/>
    <x v="2"/>
    <x v="2"/>
    <x v="4"/>
    <x v="32"/>
    <d v="2024-05-21T00:00:00"/>
    <n v="35000"/>
    <x v="3"/>
    <x v="1"/>
  </r>
  <r>
    <s v="P0256"/>
    <x v="168"/>
    <s v="Unknown"/>
    <x v="4"/>
    <x v="1"/>
    <x v="0"/>
    <x v="1"/>
    <x v="5"/>
    <x v="45"/>
    <d v="2024-04-20T00:00:00"/>
    <n v="12000"/>
    <x v="3"/>
    <x v="2"/>
  </r>
  <r>
    <s v="P0257"/>
    <x v="11"/>
    <n v="50"/>
    <x v="3"/>
    <x v="1"/>
    <x v="6"/>
    <x v="3"/>
    <x v="3"/>
    <x v="126"/>
    <d v="2024-06-19T00:00:00"/>
    <n v="15000"/>
    <x v="2"/>
    <x v="4"/>
  </r>
  <r>
    <s v="P0258"/>
    <x v="199"/>
    <n v="3"/>
    <x v="2"/>
    <x v="1"/>
    <x v="5"/>
    <x v="1"/>
    <x v="4"/>
    <x v="176"/>
    <d v="2024-08-03T00:00:00"/>
    <n v="25000"/>
    <x v="1"/>
    <x v="1"/>
  </r>
  <r>
    <s v="P0259"/>
    <x v="42"/>
    <n v="36"/>
    <x v="0"/>
    <x v="1"/>
    <x v="2"/>
    <x v="2"/>
    <x v="4"/>
    <x v="177"/>
    <d v="2024-08-10T00:00:00"/>
    <n v="25000"/>
    <x v="2"/>
    <x v="4"/>
  </r>
  <r>
    <s v="P0260"/>
    <x v="200"/>
    <n v="75"/>
    <x v="1"/>
    <x v="1"/>
    <x v="4"/>
    <x v="0"/>
    <x v="3"/>
    <x v="178"/>
    <d v="2024-07-11T00:00:00"/>
    <n v="5000"/>
    <x v="0"/>
    <x v="2"/>
  </r>
  <r>
    <s v="P0261"/>
    <x v="201"/>
    <n v="76"/>
    <x v="1"/>
    <x v="1"/>
    <x v="5"/>
    <x v="1"/>
    <x v="4"/>
    <x v="179"/>
    <d v="2024-08-22T00:00:00"/>
    <n v="50000"/>
    <x v="3"/>
    <x v="4"/>
  </r>
  <r>
    <s v="P0262"/>
    <x v="152"/>
    <s v="Unknown"/>
    <x v="4"/>
    <x v="1"/>
    <x v="0"/>
    <x v="0"/>
    <x v="3"/>
    <x v="123"/>
    <d v="2024-01-21T00:00:00"/>
    <n v="35000"/>
    <x v="1"/>
    <x v="2"/>
  </r>
  <r>
    <s v="P0263"/>
    <x v="202"/>
    <n v="15"/>
    <x v="2"/>
    <x v="0"/>
    <x v="3"/>
    <x v="1"/>
    <x v="2"/>
    <x v="101"/>
    <d v="2024-10-18T00:00:00"/>
    <n v="20000"/>
    <x v="3"/>
    <x v="0"/>
  </r>
  <r>
    <s v="P0264"/>
    <x v="9"/>
    <n v="2"/>
    <x v="2"/>
    <x v="0"/>
    <x v="3"/>
    <x v="3"/>
    <x v="2"/>
    <x v="180"/>
    <d v="2024-05-10T00:00:00"/>
    <n v="50000"/>
    <x v="2"/>
    <x v="2"/>
  </r>
  <r>
    <s v="P0265"/>
    <x v="64"/>
    <n v="43"/>
    <x v="3"/>
    <x v="1"/>
    <x v="4"/>
    <x v="6"/>
    <x v="5"/>
    <x v="155"/>
    <d v="2024-10-01T00:00:00"/>
    <n v="8000"/>
    <x v="2"/>
    <x v="2"/>
  </r>
  <r>
    <s v="P0266"/>
    <x v="203"/>
    <s v="Unknown"/>
    <x v="4"/>
    <x v="1"/>
    <x v="1"/>
    <x v="1"/>
    <x v="5"/>
    <x v="181"/>
    <d v="2024-03-19T00:00:00"/>
    <n v="8000"/>
    <x v="3"/>
    <x v="1"/>
  </r>
  <r>
    <s v="P0267"/>
    <x v="204"/>
    <n v="21"/>
    <x v="0"/>
    <x v="1"/>
    <x v="3"/>
    <x v="2"/>
    <x v="4"/>
    <x v="82"/>
    <d v="2024-09-30T00:00:00"/>
    <n v="12000"/>
    <x v="2"/>
    <x v="1"/>
  </r>
  <r>
    <s v="P0268"/>
    <x v="205"/>
    <n v="67"/>
    <x v="1"/>
    <x v="1"/>
    <x v="0"/>
    <x v="3"/>
    <x v="2"/>
    <x v="61"/>
    <d v="2024-01-25T00:00:00"/>
    <n v="50000"/>
    <x v="2"/>
    <x v="1"/>
  </r>
  <r>
    <s v="P0269"/>
    <x v="206"/>
    <n v="6"/>
    <x v="2"/>
    <x v="1"/>
    <x v="6"/>
    <x v="0"/>
    <x v="4"/>
    <x v="163"/>
    <d v="2024-11-15T00:00:00"/>
    <n v="15000"/>
    <x v="3"/>
    <x v="0"/>
  </r>
  <r>
    <s v="P0270"/>
    <x v="106"/>
    <n v="66"/>
    <x v="1"/>
    <x v="1"/>
    <x v="0"/>
    <x v="0"/>
    <x v="6"/>
    <x v="182"/>
    <d v="2024-03-25T00:00:00"/>
    <n v="8000"/>
    <x v="1"/>
    <x v="1"/>
  </r>
  <r>
    <s v="P0271"/>
    <x v="207"/>
    <n v="51"/>
    <x v="3"/>
    <x v="0"/>
    <x v="4"/>
    <x v="1"/>
    <x v="3"/>
    <x v="119"/>
    <d v="2024-03-06T00:00:00"/>
    <n v="100000"/>
    <x v="1"/>
    <x v="4"/>
  </r>
  <r>
    <s v="P0272"/>
    <x v="208"/>
    <n v="18"/>
    <x v="0"/>
    <x v="1"/>
    <x v="3"/>
    <x v="5"/>
    <x v="1"/>
    <x v="183"/>
    <d v="2024-09-11T00:00:00"/>
    <n v="35000"/>
    <x v="3"/>
    <x v="1"/>
  </r>
  <r>
    <s v="P0273"/>
    <x v="209"/>
    <n v="58"/>
    <x v="3"/>
    <x v="1"/>
    <x v="2"/>
    <x v="3"/>
    <x v="6"/>
    <x v="184"/>
    <d v="2024-10-03T00:00:00"/>
    <n v="8000"/>
    <x v="3"/>
    <x v="4"/>
  </r>
  <r>
    <s v="P0274"/>
    <x v="210"/>
    <n v="44"/>
    <x v="3"/>
    <x v="0"/>
    <x v="6"/>
    <x v="1"/>
    <x v="6"/>
    <x v="59"/>
    <d v="2024-08-11T00:00:00"/>
    <n v="12000"/>
    <x v="0"/>
    <x v="1"/>
  </r>
  <r>
    <s v="P0275"/>
    <x v="211"/>
    <n v="43"/>
    <x v="3"/>
    <x v="0"/>
    <x v="2"/>
    <x v="3"/>
    <x v="5"/>
    <x v="20"/>
    <d v="2024-06-16T00:00:00"/>
    <n v="20000"/>
    <x v="1"/>
    <x v="1"/>
  </r>
  <r>
    <s v="P0276"/>
    <x v="202"/>
    <n v="65"/>
    <x v="1"/>
    <x v="1"/>
    <x v="1"/>
    <x v="0"/>
    <x v="5"/>
    <x v="185"/>
    <d v="2024-04-19T00:00:00"/>
    <n v="100000"/>
    <x v="2"/>
    <x v="0"/>
  </r>
  <r>
    <s v="P0277"/>
    <x v="212"/>
    <n v="72"/>
    <x v="1"/>
    <x v="0"/>
    <x v="6"/>
    <x v="3"/>
    <x v="2"/>
    <x v="186"/>
    <d v="2024-04-16T00:00:00"/>
    <n v="35000"/>
    <x v="2"/>
    <x v="4"/>
  </r>
  <r>
    <s v="P0278"/>
    <x v="213"/>
    <s v="Unknown"/>
    <x v="4"/>
    <x v="0"/>
    <x v="1"/>
    <x v="2"/>
    <x v="6"/>
    <x v="169"/>
    <d v="2024-11-03T00:00:00"/>
    <n v="25000"/>
    <x v="0"/>
    <x v="1"/>
  </r>
  <r>
    <s v="P0279"/>
    <x v="18"/>
    <n v="66"/>
    <x v="1"/>
    <x v="0"/>
    <x v="6"/>
    <x v="6"/>
    <x v="1"/>
    <x v="34"/>
    <d v="2024-03-30T00:00:00"/>
    <n v="20000"/>
    <x v="0"/>
    <x v="0"/>
  </r>
  <r>
    <s v="P0280"/>
    <x v="214"/>
    <n v="57"/>
    <x v="3"/>
    <x v="0"/>
    <x v="4"/>
    <x v="5"/>
    <x v="5"/>
    <x v="187"/>
    <d v="2024-07-03T00:00:00"/>
    <n v="50000"/>
    <x v="3"/>
    <x v="4"/>
  </r>
  <r>
    <s v="P0281"/>
    <x v="215"/>
    <n v="83"/>
    <x v="1"/>
    <x v="1"/>
    <x v="2"/>
    <x v="6"/>
    <x v="2"/>
    <x v="170"/>
    <d v="2024-01-29T00:00:00"/>
    <n v="50000"/>
    <x v="2"/>
    <x v="2"/>
  </r>
  <r>
    <s v="P0282"/>
    <x v="66"/>
    <n v="48"/>
    <x v="3"/>
    <x v="0"/>
    <x v="2"/>
    <x v="0"/>
    <x v="3"/>
    <x v="7"/>
    <d v="2024-05-12T00:00:00"/>
    <n v="5000"/>
    <x v="3"/>
    <x v="0"/>
  </r>
  <r>
    <s v="P0283"/>
    <x v="216"/>
    <s v="Unknown"/>
    <x v="4"/>
    <x v="1"/>
    <x v="1"/>
    <x v="5"/>
    <x v="4"/>
    <x v="188"/>
    <d v="2024-05-25T00:00:00"/>
    <n v="50000"/>
    <x v="1"/>
    <x v="0"/>
  </r>
  <r>
    <s v="P0284"/>
    <x v="217"/>
    <n v="64"/>
    <x v="1"/>
    <x v="0"/>
    <x v="0"/>
    <x v="2"/>
    <x v="4"/>
    <x v="179"/>
    <d v="2024-08-21T00:00:00"/>
    <n v="5000"/>
    <x v="3"/>
    <x v="2"/>
  </r>
  <r>
    <s v="P0285"/>
    <x v="218"/>
    <s v="Unknown"/>
    <x v="4"/>
    <x v="0"/>
    <x v="1"/>
    <x v="2"/>
    <x v="2"/>
    <x v="6"/>
    <d v="2024-08-20T00:00:00"/>
    <n v="5000"/>
    <x v="1"/>
    <x v="0"/>
  </r>
  <r>
    <s v="P0286"/>
    <x v="219"/>
    <n v="16"/>
    <x v="2"/>
    <x v="0"/>
    <x v="3"/>
    <x v="0"/>
    <x v="4"/>
    <x v="18"/>
    <d v="2024-07-31T00:00:00"/>
    <n v="35000"/>
    <x v="2"/>
    <x v="4"/>
  </r>
  <r>
    <s v="P0287"/>
    <x v="138"/>
    <n v="63"/>
    <x v="1"/>
    <x v="0"/>
    <x v="5"/>
    <x v="1"/>
    <x v="5"/>
    <x v="114"/>
    <d v="2024-02-09T00:00:00"/>
    <n v="50000"/>
    <x v="0"/>
    <x v="2"/>
  </r>
  <r>
    <s v="P0288"/>
    <x v="220"/>
    <n v="74"/>
    <x v="1"/>
    <x v="0"/>
    <x v="1"/>
    <x v="1"/>
    <x v="1"/>
    <x v="132"/>
    <d v="2024-11-16T00:00:00"/>
    <n v="15000"/>
    <x v="0"/>
    <x v="2"/>
  </r>
  <r>
    <s v="P0289"/>
    <x v="0"/>
    <n v="28"/>
    <x v="0"/>
    <x v="0"/>
    <x v="6"/>
    <x v="3"/>
    <x v="5"/>
    <x v="189"/>
    <d v="2024-03-18T00:00:00"/>
    <n v="20000"/>
    <x v="1"/>
    <x v="1"/>
  </r>
  <r>
    <s v="P0290"/>
    <x v="221"/>
    <n v="59"/>
    <x v="3"/>
    <x v="1"/>
    <x v="3"/>
    <x v="3"/>
    <x v="2"/>
    <x v="105"/>
    <d v="2024-09-17T00:00:00"/>
    <n v="20000"/>
    <x v="0"/>
    <x v="0"/>
  </r>
  <r>
    <s v="P0291"/>
    <x v="222"/>
    <n v="81"/>
    <x v="1"/>
    <x v="0"/>
    <x v="2"/>
    <x v="6"/>
    <x v="5"/>
    <x v="190"/>
    <d v="2024-05-07T00:00:00"/>
    <n v="20000"/>
    <x v="2"/>
    <x v="2"/>
  </r>
  <r>
    <s v="P0292"/>
    <x v="223"/>
    <n v="40"/>
    <x v="3"/>
    <x v="0"/>
    <x v="5"/>
    <x v="5"/>
    <x v="4"/>
    <x v="131"/>
    <d v="2024-02-13T00:00:00"/>
    <n v="100000"/>
    <x v="0"/>
    <x v="4"/>
  </r>
  <r>
    <s v="P0293"/>
    <x v="224"/>
    <n v="34"/>
    <x v="0"/>
    <x v="1"/>
    <x v="6"/>
    <x v="6"/>
    <x v="2"/>
    <x v="31"/>
    <d v="2024-11-10T00:00:00"/>
    <n v="100000"/>
    <x v="0"/>
    <x v="4"/>
  </r>
  <r>
    <s v="P0294"/>
    <x v="225"/>
    <n v="7"/>
    <x v="2"/>
    <x v="1"/>
    <x v="2"/>
    <x v="1"/>
    <x v="4"/>
    <x v="191"/>
    <d v="2024-09-18T00:00:00"/>
    <n v="35000"/>
    <x v="3"/>
    <x v="4"/>
  </r>
  <r>
    <s v="P0295"/>
    <x v="226"/>
    <n v="34"/>
    <x v="0"/>
    <x v="0"/>
    <x v="0"/>
    <x v="5"/>
    <x v="3"/>
    <x v="132"/>
    <d v="2024-10-27T00:00:00"/>
    <n v="75000"/>
    <x v="2"/>
    <x v="4"/>
  </r>
  <r>
    <s v="P0296"/>
    <x v="78"/>
    <n v="9"/>
    <x v="2"/>
    <x v="0"/>
    <x v="5"/>
    <x v="1"/>
    <x v="2"/>
    <x v="153"/>
    <d v="2024-04-26T00:00:00"/>
    <n v="12000"/>
    <x v="2"/>
    <x v="2"/>
  </r>
  <r>
    <s v="P0297"/>
    <x v="164"/>
    <n v="47"/>
    <x v="3"/>
    <x v="0"/>
    <x v="0"/>
    <x v="5"/>
    <x v="0"/>
    <x v="98"/>
    <d v="2024-03-04T00:00:00"/>
    <n v="35000"/>
    <x v="2"/>
    <x v="0"/>
  </r>
  <r>
    <s v="P0298"/>
    <x v="227"/>
    <n v="8"/>
    <x v="2"/>
    <x v="1"/>
    <x v="3"/>
    <x v="0"/>
    <x v="3"/>
    <x v="177"/>
    <d v="2024-08-05T00:00:00"/>
    <n v="50000"/>
    <x v="1"/>
    <x v="2"/>
  </r>
  <r>
    <s v="P0299"/>
    <x v="228"/>
    <n v="8"/>
    <x v="2"/>
    <x v="1"/>
    <x v="1"/>
    <x v="0"/>
    <x v="4"/>
    <x v="192"/>
    <d v="2024-06-08T00:00:00"/>
    <n v="75000"/>
    <x v="0"/>
    <x v="2"/>
  </r>
  <r>
    <s v="P0300"/>
    <x v="96"/>
    <n v="72"/>
    <x v="1"/>
    <x v="0"/>
    <x v="6"/>
    <x v="5"/>
    <x v="5"/>
    <x v="32"/>
    <d v="2024-05-11T00:00:00"/>
    <n v="0"/>
    <x v="1"/>
    <x v="2"/>
  </r>
  <r>
    <s v="P0301"/>
    <x v="10"/>
    <n v="47"/>
    <x v="3"/>
    <x v="0"/>
    <x v="4"/>
    <x v="2"/>
    <x v="1"/>
    <x v="47"/>
    <d v="2024-06-22T00:00:00"/>
    <n v="12000"/>
    <x v="2"/>
    <x v="4"/>
  </r>
  <r>
    <s v="P0302"/>
    <x v="229"/>
    <n v="43"/>
    <x v="3"/>
    <x v="0"/>
    <x v="5"/>
    <x v="4"/>
    <x v="1"/>
    <x v="158"/>
    <d v="2024-03-08T00:00:00"/>
    <n v="5000"/>
    <x v="1"/>
    <x v="1"/>
  </r>
  <r>
    <s v="P0303"/>
    <x v="230"/>
    <n v="7"/>
    <x v="2"/>
    <x v="1"/>
    <x v="6"/>
    <x v="3"/>
    <x v="2"/>
    <x v="193"/>
    <d v="2024-08-08T00:00:00"/>
    <n v="0"/>
    <x v="3"/>
    <x v="0"/>
  </r>
  <r>
    <s v="P0304"/>
    <x v="231"/>
    <n v="45"/>
    <x v="3"/>
    <x v="0"/>
    <x v="0"/>
    <x v="6"/>
    <x v="5"/>
    <x v="34"/>
    <d v="2024-04-07T00:00:00"/>
    <n v="20000"/>
    <x v="3"/>
    <x v="0"/>
  </r>
  <r>
    <s v="P0305"/>
    <x v="232"/>
    <n v="40"/>
    <x v="3"/>
    <x v="1"/>
    <x v="4"/>
    <x v="5"/>
    <x v="1"/>
    <x v="194"/>
    <d v="2024-09-29T00:00:00"/>
    <n v="15000"/>
    <x v="3"/>
    <x v="0"/>
  </r>
  <r>
    <s v="P0306"/>
    <x v="129"/>
    <n v="34"/>
    <x v="0"/>
    <x v="0"/>
    <x v="4"/>
    <x v="4"/>
    <x v="0"/>
    <x v="195"/>
    <d v="2024-08-09T00:00:00"/>
    <n v="50000"/>
    <x v="3"/>
    <x v="0"/>
  </r>
  <r>
    <s v="P0307"/>
    <x v="1"/>
    <n v="33"/>
    <x v="0"/>
    <x v="1"/>
    <x v="0"/>
    <x v="4"/>
    <x v="6"/>
    <x v="31"/>
    <d v="2024-10-30T00:00:00"/>
    <n v="15000"/>
    <x v="2"/>
    <x v="1"/>
  </r>
  <r>
    <s v="P0308"/>
    <x v="233"/>
    <n v="45"/>
    <x v="3"/>
    <x v="0"/>
    <x v="6"/>
    <x v="4"/>
    <x v="2"/>
    <x v="196"/>
    <d v="2024-03-23T00:00:00"/>
    <n v="8000"/>
    <x v="3"/>
    <x v="0"/>
  </r>
  <r>
    <s v="P0309"/>
    <x v="99"/>
    <n v="88"/>
    <x v="1"/>
    <x v="1"/>
    <x v="0"/>
    <x v="2"/>
    <x v="6"/>
    <x v="91"/>
    <d v="2024-09-26T00:00:00"/>
    <n v="50000"/>
    <x v="0"/>
    <x v="1"/>
  </r>
  <r>
    <s v="P0310"/>
    <x v="4"/>
    <s v="Unknown"/>
    <x v="4"/>
    <x v="1"/>
    <x v="5"/>
    <x v="3"/>
    <x v="4"/>
    <x v="70"/>
    <d v="2024-05-11T00:00:00"/>
    <n v="50000"/>
    <x v="2"/>
    <x v="1"/>
  </r>
  <r>
    <s v="P0311"/>
    <x v="234"/>
    <n v="89"/>
    <x v="1"/>
    <x v="0"/>
    <x v="5"/>
    <x v="2"/>
    <x v="1"/>
    <x v="155"/>
    <d v="2024-10-17T00:00:00"/>
    <n v="50000"/>
    <x v="2"/>
    <x v="2"/>
  </r>
  <r>
    <s v="P0312"/>
    <x v="235"/>
    <n v="49"/>
    <x v="3"/>
    <x v="1"/>
    <x v="2"/>
    <x v="0"/>
    <x v="6"/>
    <x v="84"/>
    <d v="2024-05-21T00:00:00"/>
    <n v="15000"/>
    <x v="1"/>
    <x v="0"/>
  </r>
  <r>
    <s v="P0313"/>
    <x v="39"/>
    <n v="73"/>
    <x v="1"/>
    <x v="0"/>
    <x v="5"/>
    <x v="3"/>
    <x v="5"/>
    <x v="146"/>
    <d v="2024-03-31T00:00:00"/>
    <n v="75000"/>
    <x v="1"/>
    <x v="2"/>
  </r>
  <r>
    <s v="P0314"/>
    <x v="49"/>
    <n v="82"/>
    <x v="1"/>
    <x v="1"/>
    <x v="3"/>
    <x v="1"/>
    <x v="5"/>
    <x v="188"/>
    <d v="2024-06-10T00:00:00"/>
    <n v="12000"/>
    <x v="3"/>
    <x v="2"/>
  </r>
  <r>
    <s v="P0315"/>
    <x v="208"/>
    <n v="86"/>
    <x v="1"/>
    <x v="0"/>
    <x v="0"/>
    <x v="5"/>
    <x v="2"/>
    <x v="197"/>
    <d v="2024-10-17T00:00:00"/>
    <n v="35000"/>
    <x v="3"/>
    <x v="4"/>
  </r>
  <r>
    <s v="P0316"/>
    <x v="236"/>
    <n v="10"/>
    <x v="2"/>
    <x v="0"/>
    <x v="5"/>
    <x v="4"/>
    <x v="2"/>
    <x v="198"/>
    <d v="2024-02-18T00:00:00"/>
    <n v="15000"/>
    <x v="1"/>
    <x v="2"/>
  </r>
  <r>
    <s v="P0317"/>
    <x v="61"/>
    <n v="36"/>
    <x v="0"/>
    <x v="0"/>
    <x v="6"/>
    <x v="3"/>
    <x v="1"/>
    <x v="20"/>
    <d v="2024-06-21T00:00:00"/>
    <n v="12000"/>
    <x v="2"/>
    <x v="0"/>
  </r>
  <r>
    <s v="P0318"/>
    <x v="161"/>
    <n v="41"/>
    <x v="3"/>
    <x v="0"/>
    <x v="1"/>
    <x v="0"/>
    <x v="6"/>
    <x v="199"/>
    <d v="2024-06-17T00:00:00"/>
    <n v="25000"/>
    <x v="0"/>
    <x v="4"/>
  </r>
  <r>
    <s v="P0319"/>
    <x v="214"/>
    <n v="90"/>
    <x v="1"/>
    <x v="0"/>
    <x v="5"/>
    <x v="2"/>
    <x v="4"/>
    <x v="168"/>
    <d v="2024-07-14T00:00:00"/>
    <n v="20000"/>
    <x v="1"/>
    <x v="4"/>
  </r>
  <r>
    <s v="P0320"/>
    <x v="237"/>
    <n v="21"/>
    <x v="0"/>
    <x v="1"/>
    <x v="5"/>
    <x v="4"/>
    <x v="4"/>
    <x v="200"/>
    <d v="2024-04-08T00:00:00"/>
    <n v="0"/>
    <x v="1"/>
    <x v="4"/>
  </r>
  <r>
    <s v="P0321"/>
    <x v="183"/>
    <n v="22"/>
    <x v="0"/>
    <x v="0"/>
    <x v="6"/>
    <x v="6"/>
    <x v="5"/>
    <x v="165"/>
    <d v="2024-05-11T00:00:00"/>
    <n v="100000"/>
    <x v="2"/>
    <x v="4"/>
  </r>
  <r>
    <s v="P0322"/>
    <x v="238"/>
    <n v="77"/>
    <x v="1"/>
    <x v="0"/>
    <x v="5"/>
    <x v="5"/>
    <x v="4"/>
    <x v="201"/>
    <d v="2024-09-08T00:00:00"/>
    <n v="12000"/>
    <x v="3"/>
    <x v="1"/>
  </r>
  <r>
    <s v="P0323"/>
    <x v="238"/>
    <n v="77"/>
    <x v="1"/>
    <x v="0"/>
    <x v="5"/>
    <x v="5"/>
    <x v="4"/>
    <x v="201"/>
    <d v="2024-09-08T00:00:00"/>
    <n v="12000"/>
    <x v="3"/>
    <x v="1"/>
  </r>
  <r>
    <s v="P0324"/>
    <x v="24"/>
    <n v="52"/>
    <x v="3"/>
    <x v="1"/>
    <x v="3"/>
    <x v="0"/>
    <x v="0"/>
    <x v="113"/>
    <d v="2024-10-30T00:00:00"/>
    <n v="25000"/>
    <x v="3"/>
    <x v="4"/>
  </r>
  <r>
    <s v="P0325"/>
    <x v="186"/>
    <n v="2"/>
    <x v="2"/>
    <x v="0"/>
    <x v="3"/>
    <x v="5"/>
    <x v="4"/>
    <x v="202"/>
    <d v="2024-05-29T00:00:00"/>
    <n v="25000"/>
    <x v="3"/>
    <x v="2"/>
  </r>
  <r>
    <s v="P0326"/>
    <x v="239"/>
    <n v="90"/>
    <x v="1"/>
    <x v="2"/>
    <x v="1"/>
    <x v="1"/>
    <x v="6"/>
    <x v="122"/>
    <d v="2024-02-13T00:00:00"/>
    <n v="8000"/>
    <x v="2"/>
    <x v="4"/>
  </r>
  <r>
    <s v="P0327"/>
    <x v="146"/>
    <n v="81"/>
    <x v="1"/>
    <x v="0"/>
    <x v="3"/>
    <x v="3"/>
    <x v="0"/>
    <x v="203"/>
    <d v="2024-05-03T00:00:00"/>
    <n v="100000"/>
    <x v="2"/>
    <x v="2"/>
  </r>
  <r>
    <s v="P0328"/>
    <x v="240"/>
    <n v="37"/>
    <x v="0"/>
    <x v="1"/>
    <x v="4"/>
    <x v="3"/>
    <x v="4"/>
    <x v="204"/>
    <d v="2024-10-06T00:00:00"/>
    <n v="8000"/>
    <x v="1"/>
    <x v="1"/>
  </r>
  <r>
    <s v="P0329"/>
    <x v="216"/>
    <n v="70"/>
    <x v="1"/>
    <x v="0"/>
    <x v="2"/>
    <x v="5"/>
    <x v="3"/>
    <x v="94"/>
    <d v="2024-03-23T00:00:00"/>
    <n v="20000"/>
    <x v="2"/>
    <x v="1"/>
  </r>
  <r>
    <s v="P0330"/>
    <x v="34"/>
    <n v="25"/>
    <x v="0"/>
    <x v="0"/>
    <x v="2"/>
    <x v="4"/>
    <x v="6"/>
    <x v="205"/>
    <d v="2024-02-23T00:00:00"/>
    <n v="5000"/>
    <x v="0"/>
    <x v="2"/>
  </r>
  <r>
    <s v="P0331"/>
    <x v="174"/>
    <n v="86"/>
    <x v="1"/>
    <x v="1"/>
    <x v="2"/>
    <x v="3"/>
    <x v="0"/>
    <x v="206"/>
    <d v="2024-06-09T00:00:00"/>
    <n v="75000"/>
    <x v="1"/>
    <x v="4"/>
  </r>
  <r>
    <s v="P0332"/>
    <x v="241"/>
    <s v="Unknown"/>
    <x v="4"/>
    <x v="0"/>
    <x v="1"/>
    <x v="2"/>
    <x v="0"/>
    <x v="207"/>
    <d v="2024-04-10T00:00:00"/>
    <n v="8000"/>
    <x v="3"/>
    <x v="4"/>
  </r>
  <r>
    <s v="P0333"/>
    <x v="242"/>
    <n v="52"/>
    <x v="3"/>
    <x v="0"/>
    <x v="1"/>
    <x v="2"/>
    <x v="4"/>
    <x v="208"/>
    <d v="2024-05-30T00:00:00"/>
    <n v="50000"/>
    <x v="0"/>
    <x v="0"/>
  </r>
  <r>
    <s v="P0334"/>
    <x v="45"/>
    <n v="20"/>
    <x v="0"/>
    <x v="0"/>
    <x v="4"/>
    <x v="4"/>
    <x v="3"/>
    <x v="74"/>
    <d v="2024-02-21T00:00:00"/>
    <n v="50000"/>
    <x v="1"/>
    <x v="4"/>
  </r>
  <r>
    <s v="P0335"/>
    <x v="243"/>
    <n v="84"/>
    <x v="1"/>
    <x v="0"/>
    <x v="1"/>
    <x v="5"/>
    <x v="6"/>
    <x v="101"/>
    <d v="2024-10-18T00:00:00"/>
    <n v="20000"/>
    <x v="3"/>
    <x v="0"/>
  </r>
  <r>
    <s v="P0336"/>
    <x v="244"/>
    <n v="11"/>
    <x v="2"/>
    <x v="1"/>
    <x v="3"/>
    <x v="4"/>
    <x v="1"/>
    <x v="87"/>
    <d v="2024-09-29T00:00:00"/>
    <n v="15000"/>
    <x v="2"/>
    <x v="1"/>
  </r>
  <r>
    <s v="P0337"/>
    <x v="245"/>
    <n v="89"/>
    <x v="1"/>
    <x v="0"/>
    <x v="3"/>
    <x v="5"/>
    <x v="5"/>
    <x v="26"/>
    <d v="2024-06-25T00:00:00"/>
    <n v="8000"/>
    <x v="0"/>
    <x v="2"/>
  </r>
  <r>
    <s v="P0338"/>
    <x v="246"/>
    <n v="69"/>
    <x v="1"/>
    <x v="1"/>
    <x v="1"/>
    <x v="1"/>
    <x v="0"/>
    <x v="209"/>
    <d v="2024-02-05T00:00:00"/>
    <n v="25000"/>
    <x v="3"/>
    <x v="1"/>
  </r>
  <r>
    <s v="P0339"/>
    <x v="247"/>
    <n v="31"/>
    <x v="0"/>
    <x v="0"/>
    <x v="4"/>
    <x v="4"/>
    <x v="3"/>
    <x v="210"/>
    <d v="2024-07-04T00:00:00"/>
    <n v="100000"/>
    <x v="3"/>
    <x v="0"/>
  </r>
  <r>
    <s v="P0340"/>
    <x v="248"/>
    <n v="64"/>
    <x v="1"/>
    <x v="0"/>
    <x v="5"/>
    <x v="3"/>
    <x v="0"/>
    <x v="96"/>
    <d v="2024-04-08T00:00:00"/>
    <n v="5000"/>
    <x v="2"/>
    <x v="4"/>
  </r>
  <r>
    <s v="P0341"/>
    <x v="249"/>
    <n v="71"/>
    <x v="1"/>
    <x v="1"/>
    <x v="0"/>
    <x v="4"/>
    <x v="0"/>
    <x v="211"/>
    <d v="2024-06-05T00:00:00"/>
    <n v="12000"/>
    <x v="1"/>
    <x v="1"/>
  </r>
  <r>
    <s v="P0342"/>
    <x v="250"/>
    <n v="20"/>
    <x v="0"/>
    <x v="1"/>
    <x v="3"/>
    <x v="5"/>
    <x v="0"/>
    <x v="212"/>
    <d v="2024-07-15T00:00:00"/>
    <n v="12000"/>
    <x v="1"/>
    <x v="1"/>
  </r>
  <r>
    <s v="P0343"/>
    <x v="251"/>
    <n v="88"/>
    <x v="1"/>
    <x v="1"/>
    <x v="0"/>
    <x v="0"/>
    <x v="2"/>
    <x v="154"/>
    <d v="2024-08-31T00:00:00"/>
    <n v="25000"/>
    <x v="1"/>
    <x v="0"/>
  </r>
  <r>
    <s v="P0344"/>
    <x v="252"/>
    <n v="76"/>
    <x v="1"/>
    <x v="1"/>
    <x v="3"/>
    <x v="1"/>
    <x v="1"/>
    <x v="197"/>
    <d v="2024-11-05T00:00:00"/>
    <n v="15000"/>
    <x v="1"/>
    <x v="4"/>
  </r>
  <r>
    <s v="P0345"/>
    <x v="253"/>
    <n v="86"/>
    <x v="1"/>
    <x v="0"/>
    <x v="0"/>
    <x v="5"/>
    <x v="3"/>
    <x v="50"/>
    <d v="2024-06-10T00:00:00"/>
    <n v="20000"/>
    <x v="2"/>
    <x v="0"/>
  </r>
  <r>
    <s v="P0346"/>
    <x v="254"/>
    <n v="43"/>
    <x v="3"/>
    <x v="1"/>
    <x v="3"/>
    <x v="1"/>
    <x v="4"/>
    <x v="153"/>
    <d v="2024-04-23T00:00:00"/>
    <n v="50000"/>
    <x v="1"/>
    <x v="1"/>
  </r>
  <r>
    <s v="P0347"/>
    <x v="215"/>
    <n v="27"/>
    <x v="0"/>
    <x v="1"/>
    <x v="1"/>
    <x v="0"/>
    <x v="4"/>
    <x v="213"/>
    <d v="2024-02-12T00:00:00"/>
    <n v="15000"/>
    <x v="0"/>
    <x v="4"/>
  </r>
  <r>
    <s v="P0348"/>
    <x v="136"/>
    <n v="15"/>
    <x v="2"/>
    <x v="1"/>
    <x v="6"/>
    <x v="2"/>
    <x v="3"/>
    <x v="214"/>
    <d v="2024-03-21T00:00:00"/>
    <n v="50000"/>
    <x v="2"/>
    <x v="2"/>
  </r>
  <r>
    <s v="P0349"/>
    <x v="196"/>
    <n v="28"/>
    <x v="0"/>
    <x v="1"/>
    <x v="0"/>
    <x v="5"/>
    <x v="4"/>
    <x v="215"/>
    <d v="2024-05-14T00:00:00"/>
    <n v="50000"/>
    <x v="2"/>
    <x v="4"/>
  </r>
  <r>
    <s v="P0350"/>
    <x v="195"/>
    <n v="42"/>
    <x v="3"/>
    <x v="1"/>
    <x v="5"/>
    <x v="5"/>
    <x v="0"/>
    <x v="37"/>
    <d v="2024-06-08T00:00:00"/>
    <n v="75000"/>
    <x v="2"/>
    <x v="2"/>
  </r>
  <r>
    <s v="P0351"/>
    <x v="255"/>
    <s v="Unknown"/>
    <x v="4"/>
    <x v="0"/>
    <x v="4"/>
    <x v="4"/>
    <x v="4"/>
    <x v="154"/>
    <d v="2024-09-25T00:00:00"/>
    <n v="5000"/>
    <x v="2"/>
    <x v="2"/>
  </r>
  <r>
    <s v="P0352"/>
    <x v="256"/>
    <n v="87"/>
    <x v="1"/>
    <x v="0"/>
    <x v="2"/>
    <x v="4"/>
    <x v="5"/>
    <x v="85"/>
    <d v="2024-07-17T00:00:00"/>
    <n v="12000"/>
    <x v="1"/>
    <x v="2"/>
  </r>
  <r>
    <s v="P0353"/>
    <x v="4"/>
    <n v="3"/>
    <x v="2"/>
    <x v="0"/>
    <x v="5"/>
    <x v="3"/>
    <x v="3"/>
    <x v="209"/>
    <d v="2024-02-28T00:00:00"/>
    <n v="25000"/>
    <x v="0"/>
    <x v="2"/>
  </r>
  <r>
    <s v="P0354"/>
    <x v="136"/>
    <n v="41"/>
    <x v="3"/>
    <x v="1"/>
    <x v="5"/>
    <x v="3"/>
    <x v="2"/>
    <x v="26"/>
    <d v="2024-06-05T00:00:00"/>
    <n v="35000"/>
    <x v="0"/>
    <x v="4"/>
  </r>
  <r>
    <s v="P0355"/>
    <x v="257"/>
    <n v="42"/>
    <x v="3"/>
    <x v="1"/>
    <x v="5"/>
    <x v="0"/>
    <x v="4"/>
    <x v="12"/>
    <d v="2024-04-10T00:00:00"/>
    <n v="50000"/>
    <x v="2"/>
    <x v="4"/>
  </r>
  <r>
    <s v="P0356"/>
    <x v="258"/>
    <n v="58"/>
    <x v="3"/>
    <x v="1"/>
    <x v="5"/>
    <x v="3"/>
    <x v="4"/>
    <x v="216"/>
    <d v="2024-07-27T00:00:00"/>
    <n v="0"/>
    <x v="1"/>
    <x v="2"/>
  </r>
  <r>
    <s v="P0357"/>
    <x v="259"/>
    <n v="31"/>
    <x v="0"/>
    <x v="0"/>
    <x v="1"/>
    <x v="4"/>
    <x v="4"/>
    <x v="121"/>
    <d v="2024-06-11T00:00:00"/>
    <n v="15000"/>
    <x v="3"/>
    <x v="0"/>
  </r>
  <r>
    <s v="P0358"/>
    <x v="260"/>
    <n v="1"/>
    <x v="2"/>
    <x v="0"/>
    <x v="4"/>
    <x v="2"/>
    <x v="6"/>
    <x v="22"/>
    <d v="2024-05-22T00:00:00"/>
    <n v="15000"/>
    <x v="2"/>
    <x v="1"/>
  </r>
  <r>
    <s v="P0359"/>
    <x v="261"/>
    <n v="30"/>
    <x v="0"/>
    <x v="0"/>
    <x v="1"/>
    <x v="6"/>
    <x v="0"/>
    <x v="21"/>
    <d v="2024-05-10T00:00:00"/>
    <n v="8000"/>
    <x v="0"/>
    <x v="0"/>
  </r>
  <r>
    <s v="P0360"/>
    <x v="125"/>
    <n v="46"/>
    <x v="3"/>
    <x v="1"/>
    <x v="6"/>
    <x v="3"/>
    <x v="5"/>
    <x v="0"/>
    <d v="2024-02-21T00:00:00"/>
    <n v="15000"/>
    <x v="2"/>
    <x v="4"/>
  </r>
  <r>
    <s v="P0361"/>
    <x v="262"/>
    <n v="6"/>
    <x v="2"/>
    <x v="1"/>
    <x v="0"/>
    <x v="3"/>
    <x v="4"/>
    <x v="217"/>
    <d v="2024-08-27T00:00:00"/>
    <n v="75000"/>
    <x v="0"/>
    <x v="0"/>
  </r>
  <r>
    <s v="P0362"/>
    <x v="263"/>
    <n v="76"/>
    <x v="1"/>
    <x v="0"/>
    <x v="5"/>
    <x v="2"/>
    <x v="3"/>
    <x v="11"/>
    <d v="2024-09-09T00:00:00"/>
    <n v="15000"/>
    <x v="3"/>
    <x v="2"/>
  </r>
  <r>
    <s v="P0363"/>
    <x v="264"/>
    <n v="39"/>
    <x v="0"/>
    <x v="1"/>
    <x v="4"/>
    <x v="0"/>
    <x v="2"/>
    <x v="18"/>
    <d v="2024-08-08T00:00:00"/>
    <n v="35000"/>
    <x v="1"/>
    <x v="1"/>
  </r>
  <r>
    <s v="P0364"/>
    <x v="265"/>
    <n v="3"/>
    <x v="2"/>
    <x v="1"/>
    <x v="4"/>
    <x v="0"/>
    <x v="1"/>
    <x v="82"/>
    <d v="2024-09-19T00:00:00"/>
    <n v="100000"/>
    <x v="1"/>
    <x v="2"/>
  </r>
  <r>
    <s v="P0365"/>
    <x v="208"/>
    <n v="10"/>
    <x v="2"/>
    <x v="1"/>
    <x v="4"/>
    <x v="1"/>
    <x v="2"/>
    <x v="218"/>
    <d v="2024-05-05T00:00:00"/>
    <n v="5000"/>
    <x v="1"/>
    <x v="2"/>
  </r>
  <r>
    <s v="P0366"/>
    <x v="60"/>
    <n v="83"/>
    <x v="1"/>
    <x v="0"/>
    <x v="3"/>
    <x v="2"/>
    <x v="5"/>
    <x v="219"/>
    <d v="2024-06-25T00:00:00"/>
    <n v="12000"/>
    <x v="3"/>
    <x v="2"/>
  </r>
  <r>
    <s v="P0367"/>
    <x v="3"/>
    <n v="85"/>
    <x v="1"/>
    <x v="0"/>
    <x v="4"/>
    <x v="3"/>
    <x v="3"/>
    <x v="132"/>
    <d v="2024-11-10T00:00:00"/>
    <n v="15000"/>
    <x v="3"/>
    <x v="4"/>
  </r>
  <r>
    <s v="P0368"/>
    <x v="266"/>
    <n v="70"/>
    <x v="1"/>
    <x v="1"/>
    <x v="2"/>
    <x v="2"/>
    <x v="1"/>
    <x v="27"/>
    <d v="2024-02-20T00:00:00"/>
    <n v="35000"/>
    <x v="1"/>
    <x v="4"/>
  </r>
  <r>
    <s v="P0369"/>
    <x v="267"/>
    <n v="14"/>
    <x v="2"/>
    <x v="1"/>
    <x v="6"/>
    <x v="2"/>
    <x v="3"/>
    <x v="98"/>
    <d v="2024-03-06T00:00:00"/>
    <n v="15000"/>
    <x v="0"/>
    <x v="4"/>
  </r>
  <r>
    <s v="P0370"/>
    <x v="268"/>
    <n v="34"/>
    <x v="0"/>
    <x v="0"/>
    <x v="5"/>
    <x v="0"/>
    <x v="1"/>
    <x v="220"/>
    <d v="2024-08-31T00:00:00"/>
    <n v="75000"/>
    <x v="1"/>
    <x v="0"/>
  </r>
  <r>
    <s v="P0371"/>
    <x v="269"/>
    <n v="36"/>
    <x v="0"/>
    <x v="0"/>
    <x v="6"/>
    <x v="2"/>
    <x v="5"/>
    <x v="199"/>
    <d v="2024-06-12T00:00:00"/>
    <n v="12000"/>
    <x v="1"/>
    <x v="1"/>
  </r>
  <r>
    <s v="P0372"/>
    <x v="270"/>
    <n v="31"/>
    <x v="0"/>
    <x v="1"/>
    <x v="1"/>
    <x v="1"/>
    <x v="6"/>
    <x v="117"/>
    <d v="2024-10-31T00:00:00"/>
    <n v="35000"/>
    <x v="3"/>
    <x v="0"/>
  </r>
  <r>
    <s v="P0373"/>
    <x v="271"/>
    <n v="59"/>
    <x v="3"/>
    <x v="1"/>
    <x v="3"/>
    <x v="6"/>
    <x v="7"/>
    <x v="71"/>
    <d v="2024-06-11T00:00:00"/>
    <n v="50000"/>
    <x v="0"/>
    <x v="4"/>
  </r>
  <r>
    <s v="P0374"/>
    <x v="270"/>
    <n v="25"/>
    <x v="0"/>
    <x v="0"/>
    <x v="4"/>
    <x v="1"/>
    <x v="2"/>
    <x v="82"/>
    <d v="2024-09-12T00:00:00"/>
    <n v="25000"/>
    <x v="1"/>
    <x v="2"/>
  </r>
  <r>
    <s v="P0375"/>
    <x v="49"/>
    <n v="40"/>
    <x v="3"/>
    <x v="0"/>
    <x v="3"/>
    <x v="0"/>
    <x v="0"/>
    <x v="27"/>
    <d v="2024-03-01T00:00:00"/>
    <n v="15000"/>
    <x v="0"/>
    <x v="4"/>
  </r>
  <r>
    <s v="P0376"/>
    <x v="272"/>
    <n v="69"/>
    <x v="1"/>
    <x v="1"/>
    <x v="4"/>
    <x v="0"/>
    <x v="5"/>
    <x v="221"/>
    <d v="2024-03-09T00:00:00"/>
    <n v="20000"/>
    <x v="1"/>
    <x v="1"/>
  </r>
  <r>
    <s v="P0377"/>
    <x v="221"/>
    <n v="82"/>
    <x v="1"/>
    <x v="1"/>
    <x v="0"/>
    <x v="3"/>
    <x v="6"/>
    <x v="102"/>
    <d v="2024-07-31T00:00:00"/>
    <n v="25000"/>
    <x v="3"/>
    <x v="1"/>
  </r>
  <r>
    <s v="P0378"/>
    <x v="273"/>
    <n v="47"/>
    <x v="3"/>
    <x v="0"/>
    <x v="0"/>
    <x v="0"/>
    <x v="3"/>
    <x v="166"/>
    <d v="2024-08-03T00:00:00"/>
    <n v="5000"/>
    <x v="0"/>
    <x v="2"/>
  </r>
  <r>
    <s v="P0379"/>
    <x v="270"/>
    <n v="34"/>
    <x v="0"/>
    <x v="1"/>
    <x v="2"/>
    <x v="0"/>
    <x v="0"/>
    <x v="134"/>
    <d v="2024-09-26T00:00:00"/>
    <n v="15000"/>
    <x v="3"/>
    <x v="2"/>
  </r>
  <r>
    <s v="P0380"/>
    <x v="220"/>
    <n v="9"/>
    <x v="2"/>
    <x v="0"/>
    <x v="6"/>
    <x v="1"/>
    <x v="5"/>
    <x v="89"/>
    <d v="2024-10-08T00:00:00"/>
    <n v="50000"/>
    <x v="3"/>
    <x v="2"/>
  </r>
  <r>
    <s v="P0381"/>
    <x v="274"/>
    <n v="47"/>
    <x v="3"/>
    <x v="1"/>
    <x v="6"/>
    <x v="3"/>
    <x v="3"/>
    <x v="159"/>
    <d v="2024-06-29T00:00:00"/>
    <n v="5000"/>
    <x v="2"/>
    <x v="4"/>
  </r>
  <r>
    <s v="P0382"/>
    <x v="105"/>
    <n v="69"/>
    <x v="1"/>
    <x v="0"/>
    <x v="3"/>
    <x v="6"/>
    <x v="1"/>
    <x v="182"/>
    <d v="2024-04-14T00:00:00"/>
    <n v="50000"/>
    <x v="3"/>
    <x v="4"/>
  </r>
  <r>
    <s v="P0383"/>
    <x v="221"/>
    <n v="43"/>
    <x v="3"/>
    <x v="0"/>
    <x v="0"/>
    <x v="3"/>
    <x v="1"/>
    <x v="17"/>
    <d v="2024-09-13T00:00:00"/>
    <n v="15000"/>
    <x v="3"/>
    <x v="2"/>
  </r>
  <r>
    <s v="P0384"/>
    <x v="197"/>
    <s v="Unknown"/>
    <x v="4"/>
    <x v="0"/>
    <x v="0"/>
    <x v="2"/>
    <x v="3"/>
    <x v="160"/>
    <d v="2024-04-19T00:00:00"/>
    <n v="35000"/>
    <x v="2"/>
    <x v="0"/>
  </r>
  <r>
    <s v="P0385"/>
    <x v="194"/>
    <n v="76"/>
    <x v="1"/>
    <x v="0"/>
    <x v="0"/>
    <x v="5"/>
    <x v="1"/>
    <x v="50"/>
    <d v="2024-06-27T00:00:00"/>
    <n v="100000"/>
    <x v="1"/>
    <x v="3"/>
  </r>
  <r>
    <s v="P0386"/>
    <x v="94"/>
    <n v="86"/>
    <x v="1"/>
    <x v="1"/>
    <x v="6"/>
    <x v="1"/>
    <x v="5"/>
    <x v="222"/>
    <d v="2024-06-29T00:00:00"/>
    <n v="20000"/>
    <x v="0"/>
    <x v="0"/>
  </r>
  <r>
    <s v="P0387"/>
    <x v="275"/>
    <n v="8"/>
    <x v="2"/>
    <x v="1"/>
    <x v="1"/>
    <x v="1"/>
    <x v="2"/>
    <x v="223"/>
    <d v="2024-05-24T00:00:00"/>
    <n v="5000"/>
    <x v="2"/>
    <x v="0"/>
  </r>
  <r>
    <s v="P0388"/>
    <x v="276"/>
    <s v="Unknown"/>
    <x v="4"/>
    <x v="1"/>
    <x v="6"/>
    <x v="6"/>
    <x v="1"/>
    <x v="140"/>
    <d v="2024-08-07T00:00:00"/>
    <n v="75000"/>
    <x v="2"/>
    <x v="2"/>
  </r>
  <r>
    <s v="P0389"/>
    <x v="277"/>
    <n v="10"/>
    <x v="2"/>
    <x v="0"/>
    <x v="1"/>
    <x v="3"/>
    <x v="1"/>
    <x v="98"/>
    <d v="2024-03-04T00:00:00"/>
    <n v="100000"/>
    <x v="2"/>
    <x v="2"/>
  </r>
  <r>
    <s v="P0390"/>
    <x v="278"/>
    <s v="Unknown"/>
    <x v="4"/>
    <x v="0"/>
    <x v="5"/>
    <x v="5"/>
    <x v="0"/>
    <x v="224"/>
    <d v="2024-01-17T00:00:00"/>
    <n v="50000"/>
    <x v="1"/>
    <x v="4"/>
  </r>
  <r>
    <s v="P0391"/>
    <x v="279"/>
    <n v="78"/>
    <x v="1"/>
    <x v="0"/>
    <x v="0"/>
    <x v="5"/>
    <x v="4"/>
    <x v="149"/>
    <d v="2024-07-25T00:00:00"/>
    <n v="35000"/>
    <x v="3"/>
    <x v="0"/>
  </r>
  <r>
    <s v="P0392"/>
    <x v="280"/>
    <n v="9"/>
    <x v="2"/>
    <x v="1"/>
    <x v="2"/>
    <x v="3"/>
    <x v="2"/>
    <x v="103"/>
    <d v="2024-07-24T00:00:00"/>
    <n v="20000"/>
    <x v="1"/>
    <x v="4"/>
  </r>
  <r>
    <s v="P0393"/>
    <x v="276"/>
    <n v="33"/>
    <x v="0"/>
    <x v="1"/>
    <x v="1"/>
    <x v="1"/>
    <x v="5"/>
    <x v="25"/>
    <d v="2024-03-11T00:00:00"/>
    <n v="25000"/>
    <x v="0"/>
    <x v="4"/>
  </r>
  <r>
    <s v="P0394"/>
    <x v="281"/>
    <n v="50"/>
    <x v="3"/>
    <x v="0"/>
    <x v="6"/>
    <x v="2"/>
    <x v="0"/>
    <x v="36"/>
    <d v="2024-01-27T00:00:00"/>
    <n v="100000"/>
    <x v="3"/>
    <x v="4"/>
  </r>
  <r>
    <s v="P0395"/>
    <x v="282"/>
    <n v="1"/>
    <x v="2"/>
    <x v="1"/>
    <x v="4"/>
    <x v="4"/>
    <x v="5"/>
    <x v="187"/>
    <d v="2024-07-03T00:00:00"/>
    <n v="75000"/>
    <x v="2"/>
    <x v="4"/>
  </r>
  <r>
    <s v="P0396"/>
    <x v="283"/>
    <n v="14"/>
    <x v="2"/>
    <x v="1"/>
    <x v="2"/>
    <x v="2"/>
    <x v="1"/>
    <x v="10"/>
    <d v="2024-03-19T00:00:00"/>
    <n v="100000"/>
    <x v="3"/>
    <x v="2"/>
  </r>
  <r>
    <s v="P0397"/>
    <x v="284"/>
    <n v="20"/>
    <x v="0"/>
    <x v="1"/>
    <x v="1"/>
    <x v="4"/>
    <x v="4"/>
    <x v="76"/>
    <d v="2024-05-10T00:00:00"/>
    <n v="35000"/>
    <x v="0"/>
    <x v="0"/>
  </r>
  <r>
    <s v="P0398"/>
    <x v="281"/>
    <n v="62"/>
    <x v="1"/>
    <x v="0"/>
    <x v="0"/>
    <x v="3"/>
    <x v="0"/>
    <x v="199"/>
    <d v="2024-06-05T00:00:00"/>
    <n v="75000"/>
    <x v="2"/>
    <x v="2"/>
  </r>
  <r>
    <s v="P0399"/>
    <x v="117"/>
    <n v="61"/>
    <x v="1"/>
    <x v="0"/>
    <x v="4"/>
    <x v="3"/>
    <x v="6"/>
    <x v="225"/>
    <d v="2024-05-15T00:00:00"/>
    <n v="25000"/>
    <x v="0"/>
    <x v="2"/>
  </r>
  <r>
    <s v="P0400"/>
    <x v="285"/>
    <n v="15"/>
    <x v="2"/>
    <x v="1"/>
    <x v="1"/>
    <x v="5"/>
    <x v="5"/>
    <x v="140"/>
    <d v="2024-08-15T00:00:00"/>
    <n v="25000"/>
    <x v="3"/>
    <x v="2"/>
  </r>
  <r>
    <s v="P0401"/>
    <x v="286"/>
    <n v="17"/>
    <x v="2"/>
    <x v="1"/>
    <x v="2"/>
    <x v="1"/>
    <x v="2"/>
    <x v="210"/>
    <d v="2024-07-15T00:00:00"/>
    <n v="12000"/>
    <x v="0"/>
    <x v="1"/>
  </r>
  <r>
    <s v="P0402"/>
    <x v="100"/>
    <n v="52"/>
    <x v="3"/>
    <x v="1"/>
    <x v="6"/>
    <x v="0"/>
    <x v="0"/>
    <x v="226"/>
    <d v="2024-03-12T00:00:00"/>
    <n v="12000"/>
    <x v="0"/>
    <x v="4"/>
  </r>
  <r>
    <s v="P0403"/>
    <x v="245"/>
    <n v="59"/>
    <x v="3"/>
    <x v="1"/>
    <x v="4"/>
    <x v="0"/>
    <x v="0"/>
    <x v="14"/>
    <d v="2024-08-18T00:00:00"/>
    <n v="100000"/>
    <x v="1"/>
    <x v="3"/>
  </r>
  <r>
    <s v="P0404"/>
    <x v="287"/>
    <n v="75"/>
    <x v="1"/>
    <x v="1"/>
    <x v="3"/>
    <x v="1"/>
    <x v="6"/>
    <x v="227"/>
    <d v="2024-06-15T00:00:00"/>
    <n v="100000"/>
    <x v="0"/>
    <x v="2"/>
  </r>
  <r>
    <s v="P0405"/>
    <x v="288"/>
    <n v="56"/>
    <x v="3"/>
    <x v="0"/>
    <x v="2"/>
    <x v="6"/>
    <x v="1"/>
    <x v="135"/>
    <d v="2024-05-26T00:00:00"/>
    <n v="100000"/>
    <x v="1"/>
    <x v="4"/>
  </r>
  <r>
    <s v="P0406"/>
    <x v="151"/>
    <n v="37"/>
    <x v="0"/>
    <x v="0"/>
    <x v="0"/>
    <x v="4"/>
    <x v="2"/>
    <x v="228"/>
    <d v="2024-05-23T00:00:00"/>
    <n v="5000"/>
    <x v="2"/>
    <x v="0"/>
  </r>
  <r>
    <s v="P0407"/>
    <x v="289"/>
    <n v="29"/>
    <x v="0"/>
    <x v="0"/>
    <x v="3"/>
    <x v="2"/>
    <x v="3"/>
    <x v="229"/>
    <d v="2024-09-27T00:00:00"/>
    <n v="8000"/>
    <x v="4"/>
    <x v="4"/>
  </r>
  <r>
    <s v="P0408"/>
    <x v="290"/>
    <n v="34"/>
    <x v="0"/>
    <x v="0"/>
    <x v="2"/>
    <x v="4"/>
    <x v="2"/>
    <x v="230"/>
    <d v="2024-08-04T00:00:00"/>
    <n v="5000"/>
    <x v="1"/>
    <x v="4"/>
  </r>
  <r>
    <s v="P0409"/>
    <x v="103"/>
    <n v="5"/>
    <x v="2"/>
    <x v="1"/>
    <x v="4"/>
    <x v="0"/>
    <x v="0"/>
    <x v="58"/>
    <d v="2024-04-05T00:00:00"/>
    <n v="12000"/>
    <x v="3"/>
    <x v="1"/>
  </r>
  <r>
    <s v="P0410"/>
    <x v="291"/>
    <s v="Unknown"/>
    <x v="4"/>
    <x v="0"/>
    <x v="6"/>
    <x v="6"/>
    <x v="2"/>
    <x v="0"/>
    <d v="2024-03-15T00:00:00"/>
    <n v="25000"/>
    <x v="1"/>
    <x v="4"/>
  </r>
  <r>
    <s v="P0411"/>
    <x v="292"/>
    <n v="15"/>
    <x v="2"/>
    <x v="0"/>
    <x v="0"/>
    <x v="2"/>
    <x v="4"/>
    <x v="153"/>
    <d v="2024-04-19T00:00:00"/>
    <n v="8000"/>
    <x v="0"/>
    <x v="0"/>
  </r>
  <r>
    <s v="P0412"/>
    <x v="293"/>
    <n v="70"/>
    <x v="1"/>
    <x v="1"/>
    <x v="1"/>
    <x v="4"/>
    <x v="0"/>
    <x v="211"/>
    <d v="2024-06-01T00:00:00"/>
    <n v="15000"/>
    <x v="2"/>
    <x v="2"/>
  </r>
  <r>
    <s v="P0413"/>
    <x v="293"/>
    <n v="70"/>
    <x v="1"/>
    <x v="1"/>
    <x v="1"/>
    <x v="4"/>
    <x v="0"/>
    <x v="211"/>
    <d v="2024-06-01T00:00:00"/>
    <n v="15000"/>
    <x v="2"/>
    <x v="2"/>
  </r>
  <r>
    <s v="P0414"/>
    <x v="294"/>
    <n v="4"/>
    <x v="2"/>
    <x v="0"/>
    <x v="1"/>
    <x v="5"/>
    <x v="6"/>
    <x v="84"/>
    <d v="2024-06-08T00:00:00"/>
    <n v="75000"/>
    <x v="0"/>
    <x v="1"/>
  </r>
  <r>
    <s v="P0415"/>
    <x v="65"/>
    <n v="82"/>
    <x v="1"/>
    <x v="1"/>
    <x v="0"/>
    <x v="5"/>
    <x v="2"/>
    <x v="181"/>
    <d v="2024-03-21T00:00:00"/>
    <n v="100000"/>
    <x v="1"/>
    <x v="4"/>
  </r>
  <r>
    <s v="P0416"/>
    <x v="295"/>
    <n v="22"/>
    <x v="0"/>
    <x v="1"/>
    <x v="3"/>
    <x v="5"/>
    <x v="2"/>
    <x v="61"/>
    <d v="2024-10-21T00:00:00"/>
    <n v="5000"/>
    <x v="3"/>
    <x v="0"/>
  </r>
  <r>
    <s v="P0417"/>
    <x v="3"/>
    <n v="58"/>
    <x v="3"/>
    <x v="1"/>
    <x v="3"/>
    <x v="0"/>
    <x v="3"/>
    <x v="1"/>
    <d v="2024-07-29T00:00:00"/>
    <n v="8000"/>
    <x v="2"/>
    <x v="4"/>
  </r>
  <r>
    <s v="P0418"/>
    <x v="296"/>
    <n v="70"/>
    <x v="1"/>
    <x v="0"/>
    <x v="1"/>
    <x v="3"/>
    <x v="3"/>
    <x v="229"/>
    <d v="2024-10-18T00:00:00"/>
    <n v="15000"/>
    <x v="1"/>
    <x v="2"/>
  </r>
  <r>
    <s v="P0419"/>
    <x v="297"/>
    <n v="47"/>
    <x v="3"/>
    <x v="0"/>
    <x v="2"/>
    <x v="1"/>
    <x v="4"/>
    <x v="231"/>
    <d v="2024-10-04T00:00:00"/>
    <n v="15000"/>
    <x v="1"/>
    <x v="0"/>
  </r>
  <r>
    <s v="P0420"/>
    <x v="298"/>
    <n v="22"/>
    <x v="0"/>
    <x v="1"/>
    <x v="1"/>
    <x v="4"/>
    <x v="4"/>
    <x v="232"/>
    <d v="2024-10-23T00:00:00"/>
    <n v="75000"/>
    <x v="3"/>
    <x v="4"/>
  </r>
  <r>
    <s v="P0421"/>
    <x v="273"/>
    <n v="23"/>
    <x v="0"/>
    <x v="0"/>
    <x v="7"/>
    <x v="2"/>
    <x v="5"/>
    <x v="227"/>
    <d v="2024-06-25T00:00:00"/>
    <n v="12000"/>
    <x v="1"/>
    <x v="0"/>
  </r>
  <r>
    <s v="P0422"/>
    <x v="299"/>
    <n v="22"/>
    <x v="0"/>
    <x v="0"/>
    <x v="2"/>
    <x v="0"/>
    <x v="4"/>
    <x v="135"/>
    <d v="2024-05-13T00:00:00"/>
    <n v="35000"/>
    <x v="3"/>
    <x v="0"/>
  </r>
  <r>
    <s v="P0423"/>
    <x v="300"/>
    <n v="46"/>
    <x v="3"/>
    <x v="0"/>
    <x v="1"/>
    <x v="6"/>
    <x v="0"/>
    <x v="21"/>
    <d v="2024-05-05T00:00:00"/>
    <n v="35000"/>
    <x v="0"/>
    <x v="4"/>
  </r>
  <r>
    <s v="P0424"/>
    <x v="301"/>
    <n v="24"/>
    <x v="0"/>
    <x v="1"/>
    <x v="0"/>
    <x v="4"/>
    <x v="0"/>
    <x v="149"/>
    <d v="2024-07-14T00:00:00"/>
    <n v="8000"/>
    <x v="3"/>
    <x v="4"/>
  </r>
  <r>
    <s v="P0425"/>
    <x v="21"/>
    <n v="85"/>
    <x v="1"/>
    <x v="0"/>
    <x v="4"/>
    <x v="6"/>
    <x v="3"/>
    <x v="168"/>
    <d v="2024-07-22T00:00:00"/>
    <n v="75000"/>
    <x v="2"/>
    <x v="2"/>
  </r>
  <r>
    <s v="P0426"/>
    <x v="212"/>
    <n v="29"/>
    <x v="0"/>
    <x v="1"/>
    <x v="6"/>
    <x v="6"/>
    <x v="3"/>
    <x v="156"/>
    <d v="2024-10-04T00:00:00"/>
    <n v="100000"/>
    <x v="2"/>
    <x v="4"/>
  </r>
  <r>
    <s v="P0427"/>
    <x v="302"/>
    <n v="59"/>
    <x v="3"/>
    <x v="1"/>
    <x v="1"/>
    <x v="0"/>
    <x v="3"/>
    <x v="230"/>
    <d v="2024-07-23T00:00:00"/>
    <n v="15000"/>
    <x v="2"/>
    <x v="1"/>
  </r>
  <r>
    <s v="P0428"/>
    <x v="303"/>
    <s v="Unknown"/>
    <x v="4"/>
    <x v="1"/>
    <x v="0"/>
    <x v="5"/>
    <x v="4"/>
    <x v="90"/>
    <d v="2024-05-17T00:00:00"/>
    <n v="35000"/>
    <x v="0"/>
    <x v="4"/>
  </r>
  <r>
    <s v="P0429"/>
    <x v="304"/>
    <n v="71"/>
    <x v="1"/>
    <x v="0"/>
    <x v="4"/>
    <x v="6"/>
    <x v="5"/>
    <x v="9"/>
    <d v="2024-08-13T00:00:00"/>
    <n v="35000"/>
    <x v="3"/>
    <x v="4"/>
  </r>
  <r>
    <s v="P0430"/>
    <x v="215"/>
    <n v="42"/>
    <x v="3"/>
    <x v="1"/>
    <x v="4"/>
    <x v="3"/>
    <x v="0"/>
    <x v="157"/>
    <d v="2024-04-21T00:00:00"/>
    <n v="50000"/>
    <x v="3"/>
    <x v="0"/>
  </r>
  <r>
    <s v="P0431"/>
    <x v="305"/>
    <n v="3"/>
    <x v="2"/>
    <x v="0"/>
    <x v="1"/>
    <x v="1"/>
    <x v="5"/>
    <x v="233"/>
    <d v="2024-05-24T00:00:00"/>
    <n v="25000"/>
    <x v="3"/>
    <x v="2"/>
  </r>
  <r>
    <s v="P0432"/>
    <x v="306"/>
    <n v="68"/>
    <x v="1"/>
    <x v="0"/>
    <x v="3"/>
    <x v="4"/>
    <x v="1"/>
    <x v="234"/>
    <d v="2024-09-17T00:00:00"/>
    <n v="8000"/>
    <x v="0"/>
    <x v="4"/>
  </r>
  <r>
    <s v="P0433"/>
    <x v="307"/>
    <n v="66"/>
    <x v="1"/>
    <x v="0"/>
    <x v="5"/>
    <x v="3"/>
    <x v="6"/>
    <x v="193"/>
    <d v="2024-07-19T00:00:00"/>
    <n v="12000"/>
    <x v="3"/>
    <x v="0"/>
  </r>
  <r>
    <s v="P0434"/>
    <x v="122"/>
    <n v="43"/>
    <x v="3"/>
    <x v="0"/>
    <x v="6"/>
    <x v="6"/>
    <x v="3"/>
    <x v="117"/>
    <d v="2024-10-14T00:00:00"/>
    <n v="12000"/>
    <x v="3"/>
    <x v="4"/>
  </r>
  <r>
    <s v="P0435"/>
    <x v="308"/>
    <n v="11"/>
    <x v="2"/>
    <x v="1"/>
    <x v="3"/>
    <x v="4"/>
    <x v="0"/>
    <x v="235"/>
    <d v="2024-04-03T00:00:00"/>
    <n v="100000"/>
    <x v="1"/>
    <x v="0"/>
  </r>
  <r>
    <s v="P0436"/>
    <x v="176"/>
    <n v="66"/>
    <x v="1"/>
    <x v="1"/>
    <x v="2"/>
    <x v="0"/>
    <x v="1"/>
    <x v="37"/>
    <d v="2024-05-11T00:00:00"/>
    <n v="25000"/>
    <x v="3"/>
    <x v="4"/>
  </r>
  <r>
    <s v="P0437"/>
    <x v="309"/>
    <s v="Unknown"/>
    <x v="4"/>
    <x v="1"/>
    <x v="0"/>
    <x v="5"/>
    <x v="0"/>
    <x v="236"/>
    <d v="2024-06-25T00:00:00"/>
    <n v="25000"/>
    <x v="0"/>
    <x v="1"/>
  </r>
  <r>
    <s v="P0438"/>
    <x v="310"/>
    <n v="86"/>
    <x v="1"/>
    <x v="1"/>
    <x v="0"/>
    <x v="1"/>
    <x v="2"/>
    <x v="85"/>
    <d v="2024-07-18T00:00:00"/>
    <n v="50000"/>
    <x v="2"/>
    <x v="4"/>
  </r>
  <r>
    <s v="P0439"/>
    <x v="311"/>
    <s v="Unknown"/>
    <x v="4"/>
    <x v="1"/>
    <x v="4"/>
    <x v="5"/>
    <x v="3"/>
    <x v="117"/>
    <d v="2024-10-27T00:00:00"/>
    <n v="8000"/>
    <x v="2"/>
    <x v="4"/>
  </r>
  <r>
    <s v="P0440"/>
    <x v="14"/>
    <n v="6"/>
    <x v="2"/>
    <x v="0"/>
    <x v="6"/>
    <x v="4"/>
    <x v="3"/>
    <x v="5"/>
    <d v="2024-02-04T00:00:00"/>
    <n v="20000"/>
    <x v="3"/>
    <x v="1"/>
  </r>
  <r>
    <s v="P0441"/>
    <x v="312"/>
    <n v="12"/>
    <x v="2"/>
    <x v="0"/>
    <x v="5"/>
    <x v="4"/>
    <x v="1"/>
    <x v="237"/>
    <d v="2024-07-08T00:00:00"/>
    <n v="35000"/>
    <x v="3"/>
    <x v="4"/>
  </r>
  <r>
    <s v="P0442"/>
    <x v="87"/>
    <n v="9"/>
    <x v="2"/>
    <x v="1"/>
    <x v="4"/>
    <x v="2"/>
    <x v="0"/>
    <x v="28"/>
    <d v="2024-08-08T00:00:00"/>
    <n v="75000"/>
    <x v="0"/>
    <x v="2"/>
  </r>
  <r>
    <s v="P0443"/>
    <x v="43"/>
    <n v="34"/>
    <x v="0"/>
    <x v="1"/>
    <x v="3"/>
    <x v="6"/>
    <x v="2"/>
    <x v="100"/>
    <d v="2024-03-05T00:00:00"/>
    <n v="20000"/>
    <x v="0"/>
    <x v="1"/>
  </r>
  <r>
    <s v="P0444"/>
    <x v="277"/>
    <n v="88"/>
    <x v="1"/>
    <x v="1"/>
    <x v="5"/>
    <x v="4"/>
    <x v="3"/>
    <x v="37"/>
    <d v="2024-06-06T00:00:00"/>
    <n v="20000"/>
    <x v="1"/>
    <x v="4"/>
  </r>
  <r>
    <s v="P0445"/>
    <x v="205"/>
    <n v="2"/>
    <x v="2"/>
    <x v="1"/>
    <x v="3"/>
    <x v="4"/>
    <x v="0"/>
    <x v="179"/>
    <d v="2024-08-28T00:00:00"/>
    <n v="35000"/>
    <x v="2"/>
    <x v="2"/>
  </r>
  <r>
    <s v="P0446"/>
    <x v="270"/>
    <n v="41"/>
    <x v="3"/>
    <x v="0"/>
    <x v="4"/>
    <x v="1"/>
    <x v="5"/>
    <x v="119"/>
    <d v="2024-03-20T00:00:00"/>
    <n v="25000"/>
    <x v="1"/>
    <x v="4"/>
  </r>
  <r>
    <s v="P0447"/>
    <x v="152"/>
    <n v="5"/>
    <x v="2"/>
    <x v="1"/>
    <x v="4"/>
    <x v="6"/>
    <x v="5"/>
    <x v="22"/>
    <d v="2024-06-14T00:00:00"/>
    <n v="20000"/>
    <x v="2"/>
    <x v="1"/>
  </r>
  <r>
    <s v="P0448"/>
    <x v="83"/>
    <n v="46"/>
    <x v="3"/>
    <x v="0"/>
    <x v="4"/>
    <x v="4"/>
    <x v="3"/>
    <x v="159"/>
    <d v="2024-07-01T00:00:00"/>
    <n v="100000"/>
    <x v="0"/>
    <x v="2"/>
  </r>
  <r>
    <s v="P0449"/>
    <x v="313"/>
    <n v="39"/>
    <x v="0"/>
    <x v="1"/>
    <x v="1"/>
    <x v="5"/>
    <x v="1"/>
    <x v="175"/>
    <d v="2024-01-19T00:00:00"/>
    <n v="100000"/>
    <x v="2"/>
    <x v="1"/>
  </r>
  <r>
    <s v="P0450"/>
    <x v="101"/>
    <s v="Unknown"/>
    <x v="4"/>
    <x v="0"/>
    <x v="2"/>
    <x v="0"/>
    <x v="3"/>
    <x v="235"/>
    <d v="2024-04-04T00:00:00"/>
    <n v="0"/>
    <x v="1"/>
    <x v="0"/>
  </r>
  <r>
    <s v="P0451"/>
    <x v="124"/>
    <n v="78"/>
    <x v="1"/>
    <x v="0"/>
    <x v="3"/>
    <x v="3"/>
    <x v="4"/>
    <x v="238"/>
    <d v="2024-09-03T00:00:00"/>
    <n v="12000"/>
    <x v="2"/>
    <x v="0"/>
  </r>
  <r>
    <s v="P0452"/>
    <x v="30"/>
    <n v="35"/>
    <x v="0"/>
    <x v="0"/>
    <x v="0"/>
    <x v="3"/>
    <x v="5"/>
    <x v="149"/>
    <d v="2024-07-22T00:00:00"/>
    <n v="35000"/>
    <x v="0"/>
    <x v="1"/>
  </r>
  <r>
    <s v="P0453"/>
    <x v="74"/>
    <n v="25"/>
    <x v="0"/>
    <x v="0"/>
    <x v="4"/>
    <x v="2"/>
    <x v="4"/>
    <x v="239"/>
    <d v="2024-05-27T00:00:00"/>
    <n v="8000"/>
    <x v="3"/>
    <x v="2"/>
  </r>
  <r>
    <s v="P0454"/>
    <x v="187"/>
    <n v="4"/>
    <x v="2"/>
    <x v="1"/>
    <x v="5"/>
    <x v="3"/>
    <x v="6"/>
    <x v="5"/>
    <d v="2024-02-09T00:00:00"/>
    <n v="8000"/>
    <x v="1"/>
    <x v="2"/>
  </r>
  <r>
    <s v="P0455"/>
    <x v="314"/>
    <n v="53"/>
    <x v="3"/>
    <x v="0"/>
    <x v="3"/>
    <x v="6"/>
    <x v="0"/>
    <x v="5"/>
    <d v="2024-02-03T00:00:00"/>
    <n v="100000"/>
    <x v="3"/>
    <x v="0"/>
  </r>
  <r>
    <s v="P0456"/>
    <x v="195"/>
    <n v="58"/>
    <x v="3"/>
    <x v="1"/>
    <x v="4"/>
    <x v="5"/>
    <x v="4"/>
    <x v="240"/>
    <d v="2024-09-21T00:00:00"/>
    <n v="20000"/>
    <x v="1"/>
    <x v="0"/>
  </r>
  <r>
    <s v="P0457"/>
    <x v="315"/>
    <n v="38"/>
    <x v="0"/>
    <x v="1"/>
    <x v="3"/>
    <x v="0"/>
    <x v="1"/>
    <x v="109"/>
    <d v="2024-09-12T00:00:00"/>
    <n v="0"/>
    <x v="3"/>
    <x v="4"/>
  </r>
  <r>
    <s v="P0458"/>
    <x v="316"/>
    <n v="42"/>
    <x v="3"/>
    <x v="0"/>
    <x v="2"/>
    <x v="0"/>
    <x v="0"/>
    <x v="200"/>
    <d v="2024-03-21T00:00:00"/>
    <n v="20000"/>
    <x v="1"/>
    <x v="2"/>
  </r>
  <r>
    <s v="P0459"/>
    <x v="317"/>
    <n v="62"/>
    <x v="1"/>
    <x v="1"/>
    <x v="3"/>
    <x v="0"/>
    <x v="3"/>
    <x v="45"/>
    <d v="2024-04-04T00:00:00"/>
    <n v="5000"/>
    <x v="2"/>
    <x v="4"/>
  </r>
  <r>
    <s v="P0460"/>
    <x v="54"/>
    <n v="49"/>
    <x v="3"/>
    <x v="1"/>
    <x v="2"/>
    <x v="3"/>
    <x v="1"/>
    <x v="226"/>
    <d v="2024-02-29T00:00:00"/>
    <n v="5000"/>
    <x v="0"/>
    <x v="4"/>
  </r>
  <r>
    <s v="P0461"/>
    <x v="171"/>
    <n v="55"/>
    <x v="3"/>
    <x v="1"/>
    <x v="0"/>
    <x v="3"/>
    <x v="4"/>
    <x v="239"/>
    <d v="2024-05-12T00:00:00"/>
    <n v="15000"/>
    <x v="2"/>
    <x v="2"/>
  </r>
  <r>
    <s v="P0462"/>
    <x v="116"/>
    <n v="72"/>
    <x v="1"/>
    <x v="0"/>
    <x v="2"/>
    <x v="6"/>
    <x v="6"/>
    <x v="241"/>
    <d v="2024-01-25T00:00:00"/>
    <n v="75000"/>
    <x v="3"/>
    <x v="1"/>
  </r>
  <r>
    <s v="P0463"/>
    <x v="318"/>
    <n v="80"/>
    <x v="1"/>
    <x v="1"/>
    <x v="3"/>
    <x v="1"/>
    <x v="3"/>
    <x v="93"/>
    <d v="2024-09-05T00:00:00"/>
    <n v="15000"/>
    <x v="1"/>
    <x v="1"/>
  </r>
  <r>
    <s v="P0464"/>
    <x v="319"/>
    <n v="44"/>
    <x v="3"/>
    <x v="0"/>
    <x v="3"/>
    <x v="4"/>
    <x v="5"/>
    <x v="188"/>
    <d v="2024-05-19T00:00:00"/>
    <n v="50000"/>
    <x v="1"/>
    <x v="1"/>
  </r>
  <r>
    <s v="P0465"/>
    <x v="160"/>
    <n v="43"/>
    <x v="3"/>
    <x v="1"/>
    <x v="5"/>
    <x v="2"/>
    <x v="6"/>
    <x v="45"/>
    <d v="2024-04-12T00:00:00"/>
    <n v="35000"/>
    <x v="1"/>
    <x v="4"/>
  </r>
  <r>
    <s v="P0466"/>
    <x v="207"/>
    <n v="57"/>
    <x v="3"/>
    <x v="1"/>
    <x v="6"/>
    <x v="1"/>
    <x v="0"/>
    <x v="166"/>
    <d v="2024-08-20T00:00:00"/>
    <n v="12000"/>
    <x v="3"/>
    <x v="0"/>
  </r>
  <r>
    <s v="P0467"/>
    <x v="196"/>
    <n v="65"/>
    <x v="1"/>
    <x v="0"/>
    <x v="0"/>
    <x v="1"/>
    <x v="2"/>
    <x v="3"/>
    <d v="2024-08-22T00:00:00"/>
    <n v="35000"/>
    <x v="1"/>
    <x v="0"/>
  </r>
  <r>
    <s v="P0468"/>
    <x v="117"/>
    <n v="70"/>
    <x v="1"/>
    <x v="1"/>
    <x v="3"/>
    <x v="2"/>
    <x v="4"/>
    <x v="32"/>
    <d v="2024-05-03T00:00:00"/>
    <n v="25000"/>
    <x v="2"/>
    <x v="2"/>
  </r>
  <r>
    <s v="P0469"/>
    <x v="320"/>
    <n v="34"/>
    <x v="0"/>
    <x v="0"/>
    <x v="1"/>
    <x v="2"/>
    <x v="3"/>
    <x v="49"/>
    <d v="2024-05-17T00:00:00"/>
    <n v="12000"/>
    <x v="2"/>
    <x v="2"/>
  </r>
  <r>
    <s v="P0470"/>
    <x v="321"/>
    <n v="29"/>
    <x v="0"/>
    <x v="1"/>
    <x v="0"/>
    <x v="2"/>
    <x v="2"/>
    <x v="104"/>
    <d v="2024-01-16T00:00:00"/>
    <n v="8000"/>
    <x v="0"/>
    <x v="0"/>
  </r>
  <r>
    <s v="P0471"/>
    <x v="322"/>
    <n v="37"/>
    <x v="0"/>
    <x v="0"/>
    <x v="5"/>
    <x v="2"/>
    <x v="0"/>
    <x v="224"/>
    <d v="2024-01-23T00:00:00"/>
    <n v="75000"/>
    <x v="0"/>
    <x v="4"/>
  </r>
  <r>
    <s v="P0472"/>
    <x v="323"/>
    <n v="37"/>
    <x v="0"/>
    <x v="0"/>
    <x v="5"/>
    <x v="2"/>
    <x v="0"/>
    <x v="224"/>
    <d v="2024-01-23T00:00:00"/>
    <n v="75000"/>
    <x v="0"/>
    <x v="4"/>
  </r>
  <r>
    <s v="P0473"/>
    <x v="324"/>
    <n v="69"/>
    <x v="1"/>
    <x v="0"/>
    <x v="6"/>
    <x v="2"/>
    <x v="5"/>
    <x v="112"/>
    <d v="2024-02-08T00:00:00"/>
    <n v="5000"/>
    <x v="2"/>
    <x v="2"/>
  </r>
  <r>
    <s v="P0474"/>
    <x v="325"/>
    <n v="89"/>
    <x v="1"/>
    <x v="1"/>
    <x v="2"/>
    <x v="3"/>
    <x v="0"/>
    <x v="127"/>
    <d v="2024-03-30T00:00:00"/>
    <n v="8000"/>
    <x v="0"/>
    <x v="4"/>
  </r>
  <r>
    <s v="P0475"/>
    <x v="325"/>
    <n v="89"/>
    <x v="1"/>
    <x v="1"/>
    <x v="2"/>
    <x v="3"/>
    <x v="0"/>
    <x v="141"/>
    <d v="2024-03-30T00:00:00"/>
    <n v="8000"/>
    <x v="0"/>
    <x v="4"/>
  </r>
  <r>
    <s v="P0476"/>
    <x v="207"/>
    <n v="69"/>
    <x v="1"/>
    <x v="2"/>
    <x v="3"/>
    <x v="2"/>
    <x v="1"/>
    <x v="74"/>
    <d v="2024-02-16T00:00:00"/>
    <n v="25000"/>
    <x v="0"/>
    <x v="1"/>
  </r>
  <r>
    <s v="P0477"/>
    <x v="326"/>
    <n v="69"/>
    <x v="1"/>
    <x v="0"/>
    <x v="4"/>
    <x v="3"/>
    <x v="3"/>
    <x v="173"/>
    <d v="2024-10-25T00:00:00"/>
    <n v="100000"/>
    <x v="2"/>
    <x v="2"/>
  </r>
  <r>
    <s v="P0478"/>
    <x v="327"/>
    <n v="6"/>
    <x v="2"/>
    <x v="0"/>
    <x v="0"/>
    <x v="6"/>
    <x v="5"/>
    <x v="242"/>
    <d v="2024-04-26T00:00:00"/>
    <n v="100000"/>
    <x v="3"/>
    <x v="4"/>
  </r>
  <r>
    <s v="P0479"/>
    <x v="189"/>
    <n v="27"/>
    <x v="0"/>
    <x v="0"/>
    <x v="2"/>
    <x v="1"/>
    <x v="2"/>
    <x v="79"/>
    <d v="2024-10-29T00:00:00"/>
    <n v="100000"/>
    <x v="2"/>
    <x v="4"/>
  </r>
  <r>
    <s v="P0480"/>
    <x v="151"/>
    <n v="48"/>
    <x v="3"/>
    <x v="1"/>
    <x v="1"/>
    <x v="1"/>
    <x v="4"/>
    <x v="196"/>
    <d v="2024-04-10T00:00:00"/>
    <n v="100000"/>
    <x v="2"/>
    <x v="2"/>
  </r>
  <r>
    <s v="P0481"/>
    <x v="328"/>
    <n v="47"/>
    <x v="3"/>
    <x v="0"/>
    <x v="2"/>
    <x v="4"/>
    <x v="6"/>
    <x v="243"/>
    <d v="2024-03-18T00:00:00"/>
    <n v="35000"/>
    <x v="3"/>
    <x v="0"/>
  </r>
  <r>
    <s v="P0482"/>
    <x v="38"/>
    <n v="79"/>
    <x v="1"/>
    <x v="1"/>
    <x v="1"/>
    <x v="0"/>
    <x v="0"/>
    <x v="68"/>
    <d v="2024-04-05T00:00:00"/>
    <n v="8000"/>
    <x v="2"/>
    <x v="1"/>
  </r>
  <r>
    <s v="P0483"/>
    <x v="329"/>
    <n v="65"/>
    <x v="1"/>
    <x v="1"/>
    <x v="4"/>
    <x v="6"/>
    <x v="0"/>
    <x v="7"/>
    <d v="2024-05-18T00:00:00"/>
    <n v="15000"/>
    <x v="3"/>
    <x v="2"/>
  </r>
  <r>
    <s v="P0484"/>
    <x v="313"/>
    <n v="47"/>
    <x v="3"/>
    <x v="1"/>
    <x v="0"/>
    <x v="6"/>
    <x v="6"/>
    <x v="88"/>
    <d v="2024-07-22T00:00:00"/>
    <n v="5000"/>
    <x v="3"/>
    <x v="4"/>
  </r>
  <r>
    <s v="P0485"/>
    <x v="330"/>
    <n v="23"/>
    <x v="0"/>
    <x v="1"/>
    <x v="2"/>
    <x v="6"/>
    <x v="4"/>
    <x v="78"/>
    <d v="2024-10-04T00:00:00"/>
    <n v="20000"/>
    <x v="3"/>
    <x v="1"/>
  </r>
  <r>
    <s v="P0486"/>
    <x v="331"/>
    <n v="85"/>
    <x v="1"/>
    <x v="0"/>
    <x v="6"/>
    <x v="3"/>
    <x v="0"/>
    <x v="244"/>
    <d v="2024-04-06T00:00:00"/>
    <n v="12000"/>
    <x v="0"/>
    <x v="4"/>
  </r>
  <r>
    <s v="P0487"/>
    <x v="156"/>
    <n v="13"/>
    <x v="2"/>
    <x v="0"/>
    <x v="0"/>
    <x v="3"/>
    <x v="5"/>
    <x v="245"/>
    <d v="2024-09-27T00:00:00"/>
    <n v="100000"/>
    <x v="1"/>
    <x v="2"/>
  </r>
  <r>
    <s v="P0488"/>
    <x v="332"/>
    <n v="47"/>
    <x v="3"/>
    <x v="1"/>
    <x v="4"/>
    <x v="2"/>
    <x v="0"/>
    <x v="4"/>
    <d v="2024-08-24T00:00:00"/>
    <n v="100000"/>
    <x v="0"/>
    <x v="2"/>
  </r>
  <r>
    <s v="P0489"/>
    <x v="311"/>
    <n v="71"/>
    <x v="1"/>
    <x v="1"/>
    <x v="0"/>
    <x v="1"/>
    <x v="6"/>
    <x v="96"/>
    <d v="2024-04-19T00:00:00"/>
    <n v="75000"/>
    <x v="2"/>
    <x v="2"/>
  </r>
  <r>
    <s v="P0490"/>
    <x v="202"/>
    <n v="43"/>
    <x v="3"/>
    <x v="1"/>
    <x v="5"/>
    <x v="3"/>
    <x v="5"/>
    <x v="246"/>
    <d v="2024-07-15T00:00:00"/>
    <n v="35000"/>
    <x v="0"/>
    <x v="4"/>
  </r>
  <r>
    <s v="P0491"/>
    <x v="333"/>
    <n v="42"/>
    <x v="3"/>
    <x v="1"/>
    <x v="3"/>
    <x v="0"/>
    <x v="3"/>
    <x v="247"/>
    <d v="2024-10-18T00:00:00"/>
    <n v="100000"/>
    <x v="2"/>
    <x v="2"/>
  </r>
  <r>
    <s v="P0492"/>
    <x v="312"/>
    <n v="32"/>
    <x v="0"/>
    <x v="1"/>
    <x v="1"/>
    <x v="6"/>
    <x v="6"/>
    <x v="211"/>
    <d v="2024-06-03T00:00:00"/>
    <n v="75000"/>
    <x v="1"/>
    <x v="4"/>
  </r>
  <r>
    <s v="P0493"/>
    <x v="334"/>
    <n v="45"/>
    <x v="3"/>
    <x v="0"/>
    <x v="2"/>
    <x v="4"/>
    <x v="0"/>
    <x v="248"/>
    <d v="2024-03-29T00:00:00"/>
    <n v="50000"/>
    <x v="2"/>
    <x v="2"/>
  </r>
  <r>
    <s v="P0494"/>
    <x v="335"/>
    <n v="90"/>
    <x v="1"/>
    <x v="0"/>
    <x v="6"/>
    <x v="3"/>
    <x v="5"/>
    <x v="99"/>
    <d v="2024-04-03T00:00:00"/>
    <n v="35000"/>
    <x v="2"/>
    <x v="0"/>
  </r>
  <r>
    <s v="P0495"/>
    <x v="336"/>
    <s v="Unknown"/>
    <x v="4"/>
    <x v="0"/>
    <x v="2"/>
    <x v="5"/>
    <x v="4"/>
    <x v="158"/>
    <d v="2024-03-10T00:00:00"/>
    <n v="35000"/>
    <x v="1"/>
    <x v="2"/>
  </r>
  <r>
    <s v="P0496"/>
    <x v="337"/>
    <n v="62"/>
    <x v="1"/>
    <x v="1"/>
    <x v="2"/>
    <x v="6"/>
    <x v="5"/>
    <x v="104"/>
    <d v="2024-01-17T00:00:00"/>
    <n v="8000"/>
    <x v="0"/>
    <x v="0"/>
  </r>
  <r>
    <s v="P0497"/>
    <x v="225"/>
    <n v="63"/>
    <x v="1"/>
    <x v="0"/>
    <x v="5"/>
    <x v="3"/>
    <x v="2"/>
    <x v="172"/>
    <d v="2024-09-29T00:00:00"/>
    <n v="25000"/>
    <x v="2"/>
    <x v="2"/>
  </r>
  <r>
    <s v="P0498"/>
    <x v="178"/>
    <n v="38"/>
    <x v="0"/>
    <x v="0"/>
    <x v="0"/>
    <x v="4"/>
    <x v="6"/>
    <x v="139"/>
    <d v="2024-06-14T00:00:00"/>
    <n v="35000"/>
    <x v="3"/>
    <x v="1"/>
  </r>
  <r>
    <s v="P0499"/>
    <x v="54"/>
    <n v="6"/>
    <x v="2"/>
    <x v="1"/>
    <x v="3"/>
    <x v="0"/>
    <x v="0"/>
    <x v="249"/>
    <d v="2024-01-12T00:00:00"/>
    <n v="12000"/>
    <x v="2"/>
    <x v="2"/>
  </r>
  <r>
    <s v="P0500"/>
    <x v="141"/>
    <n v="56"/>
    <x v="3"/>
    <x v="1"/>
    <x v="5"/>
    <x v="3"/>
    <x v="1"/>
    <x v="181"/>
    <d v="2024-03-12T00:00:00"/>
    <n v="100000"/>
    <x v="2"/>
    <x v="0"/>
  </r>
  <r>
    <s v="P0501"/>
    <x v="338"/>
    <n v="66"/>
    <x v="1"/>
    <x v="1"/>
    <x v="5"/>
    <x v="1"/>
    <x v="0"/>
    <x v="213"/>
    <d v="2024-02-04T00:00:00"/>
    <n v="75000"/>
    <x v="0"/>
    <x v="4"/>
  </r>
  <r>
    <s v="P0502"/>
    <x v="339"/>
    <n v="29"/>
    <x v="0"/>
    <x v="1"/>
    <x v="2"/>
    <x v="6"/>
    <x v="2"/>
    <x v="98"/>
    <d v="2024-02-29T00:00:00"/>
    <n v="35000"/>
    <x v="0"/>
    <x v="2"/>
  </r>
  <r>
    <s v="P0503"/>
    <x v="295"/>
    <n v="14"/>
    <x v="2"/>
    <x v="1"/>
    <x v="6"/>
    <x v="6"/>
    <x v="1"/>
    <x v="248"/>
    <d v="2024-04-13T00:00:00"/>
    <n v="12000"/>
    <x v="2"/>
    <x v="4"/>
  </r>
  <r>
    <s v="P0504"/>
    <x v="119"/>
    <n v="75"/>
    <x v="1"/>
    <x v="1"/>
    <x v="5"/>
    <x v="3"/>
    <x v="3"/>
    <x v="62"/>
    <d v="2024-09-13T00:00:00"/>
    <n v="8000"/>
    <x v="3"/>
    <x v="1"/>
  </r>
  <r>
    <s v="P0505"/>
    <x v="27"/>
    <n v="54"/>
    <x v="3"/>
    <x v="0"/>
    <x v="5"/>
    <x v="3"/>
    <x v="6"/>
    <x v="136"/>
    <d v="2024-02-21T00:00:00"/>
    <n v="20000"/>
    <x v="2"/>
    <x v="4"/>
  </r>
  <r>
    <s v="P0506"/>
    <x v="337"/>
    <n v="58"/>
    <x v="3"/>
    <x v="1"/>
    <x v="5"/>
    <x v="0"/>
    <x v="2"/>
    <x v="51"/>
    <d v="2024-02-08T00:00:00"/>
    <n v="25000"/>
    <x v="0"/>
    <x v="1"/>
  </r>
  <r>
    <s v="P0507"/>
    <x v="340"/>
    <n v="17"/>
    <x v="2"/>
    <x v="0"/>
    <x v="1"/>
    <x v="2"/>
    <x v="6"/>
    <x v="239"/>
    <d v="2024-05-21T00:00:00"/>
    <n v="25000"/>
    <x v="1"/>
    <x v="0"/>
  </r>
  <r>
    <s v="P0508"/>
    <x v="131"/>
    <n v="59"/>
    <x v="3"/>
    <x v="1"/>
    <x v="6"/>
    <x v="4"/>
    <x v="0"/>
    <x v="250"/>
    <d v="2024-10-15T00:00:00"/>
    <n v="50000"/>
    <x v="1"/>
    <x v="4"/>
  </r>
  <r>
    <s v="P0509"/>
    <x v="341"/>
    <n v="35"/>
    <x v="0"/>
    <x v="0"/>
    <x v="6"/>
    <x v="2"/>
    <x v="2"/>
    <x v="129"/>
    <d v="2024-06-11T00:00:00"/>
    <n v="8000"/>
    <x v="2"/>
    <x v="2"/>
  </r>
  <r>
    <s v="P0510"/>
    <x v="335"/>
    <n v="6"/>
    <x v="2"/>
    <x v="1"/>
    <x v="0"/>
    <x v="0"/>
    <x v="2"/>
    <x v="251"/>
    <d v="2024-08-30T00:00:00"/>
    <n v="0"/>
    <x v="1"/>
    <x v="0"/>
  </r>
  <r>
    <s v="P0511"/>
    <x v="342"/>
    <n v="77"/>
    <x v="1"/>
    <x v="1"/>
    <x v="1"/>
    <x v="2"/>
    <x v="2"/>
    <x v="211"/>
    <d v="2024-06-20T00:00:00"/>
    <n v="0"/>
    <x v="3"/>
    <x v="2"/>
  </r>
  <r>
    <s v="P0512"/>
    <x v="343"/>
    <n v="80"/>
    <x v="1"/>
    <x v="1"/>
    <x v="5"/>
    <x v="5"/>
    <x v="1"/>
    <x v="202"/>
    <d v="2024-05-14T00:00:00"/>
    <n v="20000"/>
    <x v="0"/>
    <x v="2"/>
  </r>
  <r>
    <s v="P0513"/>
    <x v="344"/>
    <n v="33"/>
    <x v="0"/>
    <x v="1"/>
    <x v="6"/>
    <x v="4"/>
    <x v="3"/>
    <x v="184"/>
    <d v="2024-09-30T00:00:00"/>
    <n v="20000"/>
    <x v="3"/>
    <x v="4"/>
  </r>
  <r>
    <s v="P0514"/>
    <x v="313"/>
    <n v="2"/>
    <x v="2"/>
    <x v="1"/>
    <x v="0"/>
    <x v="4"/>
    <x v="3"/>
    <x v="174"/>
    <d v="2024-10-19T00:00:00"/>
    <n v="50000"/>
    <x v="1"/>
    <x v="0"/>
  </r>
  <r>
    <s v="P0515"/>
    <x v="44"/>
    <n v="25"/>
    <x v="0"/>
    <x v="0"/>
    <x v="3"/>
    <x v="0"/>
    <x v="1"/>
    <x v="252"/>
    <d v="2024-04-09T00:00:00"/>
    <n v="100000"/>
    <x v="1"/>
    <x v="2"/>
  </r>
  <r>
    <s v="P0516"/>
    <x v="164"/>
    <n v="30"/>
    <x v="0"/>
    <x v="2"/>
    <x v="1"/>
    <x v="4"/>
    <x v="3"/>
    <x v="253"/>
    <d v="2024-04-13T00:00:00"/>
    <n v="100000"/>
    <x v="2"/>
    <x v="1"/>
  </r>
  <r>
    <s v="P0517"/>
    <x v="345"/>
    <n v="66"/>
    <x v="1"/>
    <x v="1"/>
    <x v="0"/>
    <x v="2"/>
    <x v="6"/>
    <x v="13"/>
    <d v="2024-03-14T00:00:00"/>
    <n v="20000"/>
    <x v="2"/>
    <x v="2"/>
  </r>
  <r>
    <s v="P0518"/>
    <x v="346"/>
    <n v="28"/>
    <x v="0"/>
    <x v="0"/>
    <x v="1"/>
    <x v="4"/>
    <x v="5"/>
    <x v="46"/>
    <d v="2024-06-26T00:00:00"/>
    <n v="100000"/>
    <x v="1"/>
    <x v="1"/>
  </r>
  <r>
    <s v="P0519"/>
    <x v="223"/>
    <n v="90"/>
    <x v="1"/>
    <x v="1"/>
    <x v="3"/>
    <x v="1"/>
    <x v="1"/>
    <x v="89"/>
    <d v="2024-10-08T00:00:00"/>
    <n v="15000"/>
    <x v="0"/>
    <x v="0"/>
  </r>
  <r>
    <s v="P0520"/>
    <x v="152"/>
    <n v="44"/>
    <x v="3"/>
    <x v="1"/>
    <x v="1"/>
    <x v="3"/>
    <x v="6"/>
    <x v="83"/>
    <d v="2024-04-14T00:00:00"/>
    <n v="12000"/>
    <x v="0"/>
    <x v="3"/>
  </r>
  <r>
    <s v="P0521"/>
    <x v="53"/>
    <n v="58"/>
    <x v="3"/>
    <x v="0"/>
    <x v="1"/>
    <x v="5"/>
    <x v="3"/>
    <x v="175"/>
    <d v="2024-01-05T00:00:00"/>
    <n v="75000"/>
    <x v="3"/>
    <x v="4"/>
  </r>
  <r>
    <s v="P0522"/>
    <x v="347"/>
    <n v="62"/>
    <x v="1"/>
    <x v="2"/>
    <x v="4"/>
    <x v="2"/>
    <x v="6"/>
    <x v="210"/>
    <d v="2024-06-30T00:00:00"/>
    <n v="100000"/>
    <x v="0"/>
    <x v="1"/>
  </r>
  <r>
    <s v="P0523"/>
    <x v="348"/>
    <n v="30"/>
    <x v="0"/>
    <x v="0"/>
    <x v="0"/>
    <x v="0"/>
    <x v="6"/>
    <x v="83"/>
    <d v="2024-03-26T00:00:00"/>
    <n v="20000"/>
    <x v="2"/>
    <x v="4"/>
  </r>
  <r>
    <s v="P0524"/>
    <x v="349"/>
    <n v="44"/>
    <x v="3"/>
    <x v="0"/>
    <x v="0"/>
    <x v="6"/>
    <x v="2"/>
    <x v="254"/>
    <d v="2024-02-18T00:00:00"/>
    <n v="8000"/>
    <x v="2"/>
    <x v="2"/>
  </r>
  <r>
    <s v="P0525"/>
    <x v="350"/>
    <n v="78"/>
    <x v="1"/>
    <x v="1"/>
    <x v="6"/>
    <x v="2"/>
    <x v="4"/>
    <x v="237"/>
    <d v="2024-07-14T00:00:00"/>
    <n v="50000"/>
    <x v="2"/>
    <x v="0"/>
  </r>
  <r>
    <s v="P0526"/>
    <x v="264"/>
    <n v="52"/>
    <x v="3"/>
    <x v="0"/>
    <x v="5"/>
    <x v="1"/>
    <x v="1"/>
    <x v="150"/>
    <d v="2024-06-04T00:00:00"/>
    <n v="75000"/>
    <x v="2"/>
    <x v="0"/>
  </r>
  <r>
    <s v="P0527"/>
    <x v="211"/>
    <n v="28"/>
    <x v="0"/>
    <x v="0"/>
    <x v="3"/>
    <x v="6"/>
    <x v="2"/>
    <x v="109"/>
    <d v="2024-08-22T00:00:00"/>
    <n v="100000"/>
    <x v="0"/>
    <x v="2"/>
  </r>
  <r>
    <s v="P0528"/>
    <x v="58"/>
    <n v="70"/>
    <x v="1"/>
    <x v="0"/>
    <x v="5"/>
    <x v="4"/>
    <x v="4"/>
    <x v="139"/>
    <d v="2024-06-21T00:00:00"/>
    <n v="100000"/>
    <x v="3"/>
    <x v="4"/>
  </r>
  <r>
    <s v="P0529"/>
    <x v="351"/>
    <n v="71"/>
    <x v="1"/>
    <x v="1"/>
    <x v="1"/>
    <x v="0"/>
    <x v="5"/>
    <x v="131"/>
    <d v="2024-02-27T00:00:00"/>
    <n v="12000"/>
    <x v="0"/>
    <x v="0"/>
  </r>
  <r>
    <s v="P0530"/>
    <x v="296"/>
    <n v="70"/>
    <x v="1"/>
    <x v="1"/>
    <x v="5"/>
    <x v="0"/>
    <x v="3"/>
    <x v="251"/>
    <d v="2024-08-11T00:00:00"/>
    <n v="15000"/>
    <x v="2"/>
    <x v="0"/>
  </r>
  <r>
    <s v="P0531"/>
    <x v="259"/>
    <n v="51"/>
    <x v="3"/>
    <x v="1"/>
    <x v="0"/>
    <x v="4"/>
    <x v="3"/>
    <x v="130"/>
    <d v="2024-01-06T00:00:00"/>
    <n v="75000"/>
    <x v="0"/>
    <x v="0"/>
  </r>
  <r>
    <s v="P0532"/>
    <x v="214"/>
    <n v="36"/>
    <x v="0"/>
    <x v="0"/>
    <x v="4"/>
    <x v="0"/>
    <x v="1"/>
    <x v="255"/>
    <d v="2024-08-24T00:00:00"/>
    <n v="5000"/>
    <x v="2"/>
    <x v="1"/>
  </r>
  <r>
    <s v="P0533"/>
    <x v="149"/>
    <n v="38"/>
    <x v="0"/>
    <x v="0"/>
    <x v="6"/>
    <x v="6"/>
    <x v="1"/>
    <x v="256"/>
    <d v="2024-09-08T00:00:00"/>
    <n v="100000"/>
    <x v="3"/>
    <x v="4"/>
  </r>
  <r>
    <s v="P0534"/>
    <x v="102"/>
    <s v="Unknown"/>
    <x v="4"/>
    <x v="1"/>
    <x v="6"/>
    <x v="4"/>
    <x v="5"/>
    <x v="6"/>
    <d v="2024-08-17T00:00:00"/>
    <n v="35000"/>
    <x v="0"/>
    <x v="0"/>
  </r>
  <r>
    <s v="P0535"/>
    <x v="215"/>
    <n v="79"/>
    <x v="1"/>
    <x v="0"/>
    <x v="0"/>
    <x v="1"/>
    <x v="0"/>
    <x v="29"/>
    <d v="2024-05-23T00:00:00"/>
    <n v="50000"/>
    <x v="3"/>
    <x v="0"/>
  </r>
  <r>
    <s v="P0536"/>
    <x v="1"/>
    <n v="2"/>
    <x v="2"/>
    <x v="1"/>
    <x v="5"/>
    <x v="1"/>
    <x v="6"/>
    <x v="222"/>
    <d v="2024-07-03T00:00:00"/>
    <n v="8000"/>
    <x v="2"/>
    <x v="0"/>
  </r>
  <r>
    <s v="P0537"/>
    <x v="352"/>
    <n v="47"/>
    <x v="3"/>
    <x v="0"/>
    <x v="0"/>
    <x v="4"/>
    <x v="3"/>
    <x v="4"/>
    <d v="2024-08-18T00:00:00"/>
    <n v="0"/>
    <x v="3"/>
    <x v="2"/>
  </r>
  <r>
    <s v="P0538"/>
    <x v="208"/>
    <n v="43"/>
    <x v="3"/>
    <x v="1"/>
    <x v="1"/>
    <x v="6"/>
    <x v="5"/>
    <x v="152"/>
    <d v="2024-06-19T00:00:00"/>
    <n v="25000"/>
    <x v="3"/>
    <x v="0"/>
  </r>
  <r>
    <s v="P0539"/>
    <x v="334"/>
    <n v="21"/>
    <x v="0"/>
    <x v="1"/>
    <x v="1"/>
    <x v="6"/>
    <x v="3"/>
    <x v="257"/>
    <d v="2024-09-22T00:00:00"/>
    <n v="25000"/>
    <x v="0"/>
    <x v="4"/>
  </r>
  <r>
    <s v="P0540"/>
    <x v="353"/>
    <n v="21"/>
    <x v="0"/>
    <x v="1"/>
    <x v="0"/>
    <x v="4"/>
    <x v="6"/>
    <x v="104"/>
    <d v="2024-01-24T00:00:00"/>
    <n v="35000"/>
    <x v="3"/>
    <x v="4"/>
  </r>
  <r>
    <s v="P0541"/>
    <x v="13"/>
    <n v="33"/>
    <x v="0"/>
    <x v="0"/>
    <x v="5"/>
    <x v="3"/>
    <x v="0"/>
    <x v="41"/>
    <d v="2024-02-12T00:00:00"/>
    <n v="25000"/>
    <x v="3"/>
    <x v="0"/>
  </r>
  <r>
    <s v="P0542"/>
    <x v="190"/>
    <n v="46"/>
    <x v="3"/>
    <x v="0"/>
    <x v="0"/>
    <x v="2"/>
    <x v="5"/>
    <x v="13"/>
    <d v="2024-03-11T00:00:00"/>
    <n v="15000"/>
    <x v="1"/>
    <x v="4"/>
  </r>
  <r>
    <s v="P0543"/>
    <x v="214"/>
    <n v="73"/>
    <x v="1"/>
    <x v="0"/>
    <x v="1"/>
    <x v="5"/>
    <x v="6"/>
    <x v="24"/>
    <d v="2024-07-18T00:00:00"/>
    <n v="75000"/>
    <x v="2"/>
    <x v="1"/>
  </r>
  <r>
    <s v="P0544"/>
    <x v="17"/>
    <n v="18"/>
    <x v="0"/>
    <x v="1"/>
    <x v="6"/>
    <x v="3"/>
    <x v="2"/>
    <x v="216"/>
    <d v="2024-05-22T00:00:00"/>
    <n v="20000"/>
    <x v="1"/>
    <x v="1"/>
  </r>
  <r>
    <s v="P0545"/>
    <x v="65"/>
    <n v="80"/>
    <x v="1"/>
    <x v="0"/>
    <x v="3"/>
    <x v="2"/>
    <x v="3"/>
    <x v="103"/>
    <d v="2024-07-21T00:00:00"/>
    <n v="25000"/>
    <x v="3"/>
    <x v="4"/>
  </r>
  <r>
    <s v="P0546"/>
    <x v="354"/>
    <n v="37"/>
    <x v="0"/>
    <x v="0"/>
    <x v="4"/>
    <x v="6"/>
    <x v="5"/>
    <x v="242"/>
    <d v="2024-05-09T00:00:00"/>
    <n v="8000"/>
    <x v="3"/>
    <x v="2"/>
  </r>
  <r>
    <s v="P0547"/>
    <x v="355"/>
    <n v="86"/>
    <x v="1"/>
    <x v="0"/>
    <x v="6"/>
    <x v="4"/>
    <x v="1"/>
    <x v="135"/>
    <d v="2024-02-17T00:00:00"/>
    <n v="25000"/>
    <x v="2"/>
    <x v="0"/>
  </r>
  <r>
    <s v="P0548"/>
    <x v="273"/>
    <n v="72"/>
    <x v="1"/>
    <x v="0"/>
    <x v="5"/>
    <x v="4"/>
    <x v="3"/>
    <x v="104"/>
    <d v="2024-01-21T00:00:00"/>
    <n v="5000"/>
    <x v="3"/>
    <x v="4"/>
  </r>
  <r>
    <s v="P0549"/>
    <x v="21"/>
    <n v="9"/>
    <x v="2"/>
    <x v="1"/>
    <x v="6"/>
    <x v="0"/>
    <x v="5"/>
    <x v="227"/>
    <d v="2024-06-12T00:00:00"/>
    <n v="75000"/>
    <x v="1"/>
    <x v="0"/>
  </r>
  <r>
    <s v="P0550"/>
    <x v="356"/>
    <n v="27"/>
    <x v="0"/>
    <x v="1"/>
    <x v="5"/>
    <x v="1"/>
    <x v="3"/>
    <x v="142"/>
    <d v="2024-01-25T00:00:00"/>
    <n v="20000"/>
    <x v="3"/>
    <x v="1"/>
  </r>
  <r>
    <s v="P0551"/>
    <x v="136"/>
    <n v="65"/>
    <x v="1"/>
    <x v="0"/>
    <x v="2"/>
    <x v="4"/>
    <x v="4"/>
    <x v="233"/>
    <d v="2024-05-15T00:00:00"/>
    <n v="25000"/>
    <x v="3"/>
    <x v="2"/>
  </r>
  <r>
    <s v="P0552"/>
    <x v="287"/>
    <n v="90"/>
    <x v="1"/>
    <x v="0"/>
    <x v="5"/>
    <x v="0"/>
    <x v="5"/>
    <x v="166"/>
    <d v="2024-08-17T00:00:00"/>
    <n v="100000"/>
    <x v="3"/>
    <x v="1"/>
  </r>
  <r>
    <s v="P0553"/>
    <x v="238"/>
    <n v="69"/>
    <x v="1"/>
    <x v="1"/>
    <x v="0"/>
    <x v="5"/>
    <x v="0"/>
    <x v="198"/>
    <d v="2024-02-18T00:00:00"/>
    <n v="100000"/>
    <x v="0"/>
    <x v="1"/>
  </r>
  <r>
    <s v="P0554"/>
    <x v="357"/>
    <s v="Unknown"/>
    <x v="4"/>
    <x v="0"/>
    <x v="0"/>
    <x v="1"/>
    <x v="5"/>
    <x v="258"/>
    <d v="2024-03-13T00:00:00"/>
    <n v="100000"/>
    <x v="3"/>
    <x v="2"/>
  </r>
  <r>
    <s v="P0555"/>
    <x v="358"/>
    <n v="55"/>
    <x v="3"/>
    <x v="0"/>
    <x v="6"/>
    <x v="2"/>
    <x v="0"/>
    <x v="256"/>
    <d v="2024-09-12T00:00:00"/>
    <n v="20000"/>
    <x v="2"/>
    <x v="2"/>
  </r>
  <r>
    <s v="P0556"/>
    <x v="321"/>
    <n v="20"/>
    <x v="0"/>
    <x v="0"/>
    <x v="4"/>
    <x v="4"/>
    <x v="3"/>
    <x v="259"/>
    <d v="2024-11-11T00:00:00"/>
    <n v="50000"/>
    <x v="2"/>
    <x v="1"/>
  </r>
  <r>
    <s v="P0557"/>
    <x v="359"/>
    <n v="8"/>
    <x v="2"/>
    <x v="1"/>
    <x v="3"/>
    <x v="1"/>
    <x v="2"/>
    <x v="99"/>
    <d v="2024-04-07T00:00:00"/>
    <n v="20000"/>
    <x v="3"/>
    <x v="0"/>
  </r>
  <r>
    <s v="P0558"/>
    <x v="78"/>
    <n v="65"/>
    <x v="1"/>
    <x v="0"/>
    <x v="1"/>
    <x v="6"/>
    <x v="2"/>
    <x v="32"/>
    <d v="2024-05-22T00:00:00"/>
    <n v="5000"/>
    <x v="2"/>
    <x v="0"/>
  </r>
  <r>
    <s v="P0559"/>
    <x v="360"/>
    <n v="88"/>
    <x v="1"/>
    <x v="1"/>
    <x v="7"/>
    <x v="2"/>
    <x v="5"/>
    <x v="233"/>
    <d v="2024-05-10T00:00:00"/>
    <n v="12000"/>
    <x v="3"/>
    <x v="4"/>
  </r>
  <r>
    <s v="P0560"/>
    <x v="139"/>
    <n v="6"/>
    <x v="2"/>
    <x v="1"/>
    <x v="0"/>
    <x v="3"/>
    <x v="4"/>
    <x v="27"/>
    <d v="2024-02-21T00:00:00"/>
    <n v="8000"/>
    <x v="3"/>
    <x v="0"/>
  </r>
  <r>
    <s v="P0561"/>
    <x v="9"/>
    <n v="28"/>
    <x v="0"/>
    <x v="0"/>
    <x v="5"/>
    <x v="6"/>
    <x v="3"/>
    <x v="257"/>
    <d v="2024-09-02T00:00:00"/>
    <n v="8000"/>
    <x v="2"/>
    <x v="0"/>
  </r>
  <r>
    <s v="P0562"/>
    <x v="48"/>
    <n v="14"/>
    <x v="2"/>
    <x v="1"/>
    <x v="4"/>
    <x v="6"/>
    <x v="6"/>
    <x v="171"/>
    <d v="2024-10-17T00:00:00"/>
    <n v="5000"/>
    <x v="1"/>
    <x v="1"/>
  </r>
  <r>
    <s v="P0563"/>
    <x v="361"/>
    <s v="Unknown"/>
    <x v="4"/>
    <x v="1"/>
    <x v="2"/>
    <x v="4"/>
    <x v="2"/>
    <x v="260"/>
    <d v="2024-09-18T00:00:00"/>
    <n v="25000"/>
    <x v="2"/>
    <x v="4"/>
  </r>
  <r>
    <s v="P0564"/>
    <x v="362"/>
    <n v="33"/>
    <x v="0"/>
    <x v="0"/>
    <x v="6"/>
    <x v="2"/>
    <x v="1"/>
    <x v="79"/>
    <d v="2024-07-16T00:00:00"/>
    <n v="35000"/>
    <x v="2"/>
    <x v="2"/>
  </r>
  <r>
    <s v="P0565"/>
    <x v="239"/>
    <n v="12"/>
    <x v="2"/>
    <x v="1"/>
    <x v="5"/>
    <x v="3"/>
    <x v="2"/>
    <x v="49"/>
    <d v="2024-06-02T00:00:00"/>
    <n v="12000"/>
    <x v="0"/>
    <x v="4"/>
  </r>
  <r>
    <s v="P0566"/>
    <x v="174"/>
    <n v="17"/>
    <x v="2"/>
    <x v="0"/>
    <x v="1"/>
    <x v="1"/>
    <x v="4"/>
    <x v="261"/>
    <d v="2024-07-27T00:00:00"/>
    <n v="75000"/>
    <x v="1"/>
    <x v="1"/>
  </r>
  <r>
    <s v="P0567"/>
    <x v="349"/>
    <n v="28"/>
    <x v="0"/>
    <x v="1"/>
    <x v="3"/>
    <x v="6"/>
    <x v="1"/>
    <x v="44"/>
    <d v="2024-05-03T00:00:00"/>
    <n v="0"/>
    <x v="3"/>
    <x v="0"/>
  </r>
  <r>
    <s v="P0568"/>
    <x v="313"/>
    <n v="50"/>
    <x v="3"/>
    <x v="1"/>
    <x v="2"/>
    <x v="3"/>
    <x v="5"/>
    <x v="262"/>
    <d v="2024-10-31T00:00:00"/>
    <n v="8000"/>
    <x v="3"/>
    <x v="0"/>
  </r>
  <r>
    <s v="P0569"/>
    <x v="57"/>
    <n v="24"/>
    <x v="0"/>
    <x v="0"/>
    <x v="3"/>
    <x v="6"/>
    <x v="5"/>
    <x v="142"/>
    <d v="2024-02-16T00:00:00"/>
    <n v="5000"/>
    <x v="1"/>
    <x v="2"/>
  </r>
  <r>
    <s v="P0570"/>
    <x v="363"/>
    <n v="15"/>
    <x v="2"/>
    <x v="0"/>
    <x v="6"/>
    <x v="5"/>
    <x v="2"/>
    <x v="76"/>
    <d v="2024-05-15T00:00:00"/>
    <n v="20000"/>
    <x v="2"/>
    <x v="2"/>
  </r>
  <r>
    <s v="P0571"/>
    <x v="254"/>
    <n v="52"/>
    <x v="3"/>
    <x v="1"/>
    <x v="1"/>
    <x v="0"/>
    <x v="1"/>
    <x v="116"/>
    <d v="2024-07-10T00:00:00"/>
    <n v="50000"/>
    <x v="1"/>
    <x v="4"/>
  </r>
  <r>
    <s v="P0572"/>
    <x v="364"/>
    <n v="53"/>
    <x v="3"/>
    <x v="1"/>
    <x v="6"/>
    <x v="6"/>
    <x v="4"/>
    <x v="217"/>
    <d v="2024-09-02T00:00:00"/>
    <n v="25000"/>
    <x v="2"/>
    <x v="0"/>
  </r>
  <r>
    <s v="P0573"/>
    <x v="365"/>
    <n v="55"/>
    <x v="3"/>
    <x v="1"/>
    <x v="6"/>
    <x v="3"/>
    <x v="2"/>
    <x v="117"/>
    <d v="2024-10-20T00:00:00"/>
    <n v="100000"/>
    <x v="2"/>
    <x v="0"/>
  </r>
  <r>
    <s v="P0574"/>
    <x v="62"/>
    <n v="7"/>
    <x v="2"/>
    <x v="0"/>
    <x v="5"/>
    <x v="2"/>
    <x v="5"/>
    <x v="263"/>
    <d v="2024-10-29T00:00:00"/>
    <n v="20000"/>
    <x v="1"/>
    <x v="2"/>
  </r>
  <r>
    <s v="P0575"/>
    <x v="321"/>
    <n v="24"/>
    <x v="0"/>
    <x v="0"/>
    <x v="4"/>
    <x v="4"/>
    <x v="1"/>
    <x v="22"/>
    <d v="2024-05-30T00:00:00"/>
    <n v="15000"/>
    <x v="1"/>
    <x v="4"/>
  </r>
  <r>
    <s v="P0576"/>
    <x v="345"/>
    <n v="85"/>
    <x v="1"/>
    <x v="0"/>
    <x v="2"/>
    <x v="4"/>
    <x v="2"/>
    <x v="49"/>
    <d v="2024-05-21T00:00:00"/>
    <n v="75000"/>
    <x v="0"/>
    <x v="1"/>
  </r>
  <r>
    <s v="P0577"/>
    <x v="158"/>
    <n v="30"/>
    <x v="0"/>
    <x v="0"/>
    <x v="3"/>
    <x v="5"/>
    <x v="2"/>
    <x v="58"/>
    <d v="2024-03-18T00:00:00"/>
    <n v="75000"/>
    <x v="3"/>
    <x v="0"/>
  </r>
  <r>
    <s v="P0578"/>
    <x v="273"/>
    <n v="57"/>
    <x v="3"/>
    <x v="0"/>
    <x v="5"/>
    <x v="6"/>
    <x v="4"/>
    <x v="12"/>
    <d v="2024-04-12T00:00:00"/>
    <n v="35000"/>
    <x v="0"/>
    <x v="0"/>
  </r>
  <r>
    <s v="P0579"/>
    <x v="56"/>
    <n v="28"/>
    <x v="0"/>
    <x v="0"/>
    <x v="1"/>
    <x v="6"/>
    <x v="4"/>
    <x v="229"/>
    <d v="2024-10-07T00:00:00"/>
    <n v="35000"/>
    <x v="2"/>
    <x v="1"/>
  </r>
  <r>
    <s v="P0580"/>
    <x v="270"/>
    <n v="73"/>
    <x v="1"/>
    <x v="0"/>
    <x v="2"/>
    <x v="0"/>
    <x v="6"/>
    <x v="54"/>
    <d v="2024-03-03T00:00:00"/>
    <n v="0"/>
    <x v="4"/>
    <x v="2"/>
  </r>
  <r>
    <s v="P0581"/>
    <x v="0"/>
    <n v="44"/>
    <x v="3"/>
    <x v="0"/>
    <x v="5"/>
    <x v="0"/>
    <x v="2"/>
    <x v="238"/>
    <d v="2024-09-21T00:00:00"/>
    <n v="50000"/>
    <x v="2"/>
    <x v="1"/>
  </r>
  <r>
    <s v="P0582"/>
    <x v="61"/>
    <n v="43"/>
    <x v="3"/>
    <x v="1"/>
    <x v="6"/>
    <x v="3"/>
    <x v="0"/>
    <x v="198"/>
    <d v="2024-02-26T00:00:00"/>
    <n v="75000"/>
    <x v="1"/>
    <x v="4"/>
  </r>
  <r>
    <s v="P0583"/>
    <x v="160"/>
    <n v="81"/>
    <x v="1"/>
    <x v="1"/>
    <x v="4"/>
    <x v="0"/>
    <x v="0"/>
    <x v="238"/>
    <d v="2024-09-01T00:00:00"/>
    <n v="25000"/>
    <x v="3"/>
    <x v="1"/>
  </r>
  <r>
    <s v="P0584"/>
    <x v="145"/>
    <n v="12"/>
    <x v="2"/>
    <x v="1"/>
    <x v="2"/>
    <x v="0"/>
    <x v="3"/>
    <x v="236"/>
    <d v="2024-07-15T00:00:00"/>
    <n v="8000"/>
    <x v="1"/>
    <x v="4"/>
  </r>
  <r>
    <s v="P0585"/>
    <x v="185"/>
    <n v="67"/>
    <x v="1"/>
    <x v="0"/>
    <x v="0"/>
    <x v="5"/>
    <x v="3"/>
    <x v="195"/>
    <d v="2024-09-05T00:00:00"/>
    <n v="12000"/>
    <x v="1"/>
    <x v="1"/>
  </r>
  <r>
    <s v="P0586"/>
    <x v="366"/>
    <n v="84"/>
    <x v="1"/>
    <x v="0"/>
    <x v="5"/>
    <x v="3"/>
    <x v="3"/>
    <x v="239"/>
    <d v="2024-05-08T00:00:00"/>
    <n v="5000"/>
    <x v="0"/>
    <x v="4"/>
  </r>
  <r>
    <s v="P0587"/>
    <x v="33"/>
    <n v="9"/>
    <x v="2"/>
    <x v="0"/>
    <x v="0"/>
    <x v="6"/>
    <x v="0"/>
    <x v="197"/>
    <d v="2024-11-02T00:00:00"/>
    <n v="12000"/>
    <x v="0"/>
    <x v="4"/>
  </r>
  <r>
    <s v="P0588"/>
    <x v="159"/>
    <s v="Unknown"/>
    <x v="4"/>
    <x v="0"/>
    <x v="0"/>
    <x v="2"/>
    <x v="5"/>
    <x v="211"/>
    <d v="2024-05-28T00:00:00"/>
    <n v="75000"/>
    <x v="1"/>
    <x v="4"/>
  </r>
  <r>
    <s v="P0589"/>
    <x v="113"/>
    <n v="30"/>
    <x v="0"/>
    <x v="0"/>
    <x v="0"/>
    <x v="6"/>
    <x v="6"/>
    <x v="124"/>
    <d v="2024-03-20T00:00:00"/>
    <n v="75000"/>
    <x v="4"/>
    <x v="4"/>
  </r>
  <r>
    <s v="P0590"/>
    <x v="234"/>
    <n v="9"/>
    <x v="2"/>
    <x v="0"/>
    <x v="0"/>
    <x v="3"/>
    <x v="3"/>
    <x v="245"/>
    <d v="2024-10-17T00:00:00"/>
    <n v="25000"/>
    <x v="2"/>
    <x v="2"/>
  </r>
  <r>
    <s v="P0591"/>
    <x v="367"/>
    <n v="19"/>
    <x v="0"/>
    <x v="0"/>
    <x v="4"/>
    <x v="4"/>
    <x v="6"/>
    <x v="235"/>
    <d v="2024-04-06T00:00:00"/>
    <n v="15000"/>
    <x v="1"/>
    <x v="1"/>
  </r>
  <r>
    <s v="P0592"/>
    <x v="71"/>
    <n v="87"/>
    <x v="1"/>
    <x v="1"/>
    <x v="1"/>
    <x v="1"/>
    <x v="6"/>
    <x v="195"/>
    <d v="2024-08-12T00:00:00"/>
    <n v="5000"/>
    <x v="0"/>
    <x v="2"/>
  </r>
  <r>
    <s v="P0593"/>
    <x v="169"/>
    <n v="63"/>
    <x v="1"/>
    <x v="0"/>
    <x v="4"/>
    <x v="4"/>
    <x v="6"/>
    <x v="14"/>
    <d v="2024-09-03T00:00:00"/>
    <n v="50000"/>
    <x v="3"/>
    <x v="0"/>
  </r>
  <r>
    <s v="P0594"/>
    <x v="61"/>
    <n v="70"/>
    <x v="1"/>
    <x v="1"/>
    <x v="5"/>
    <x v="2"/>
    <x v="6"/>
    <x v="260"/>
    <d v="2024-10-11T00:00:00"/>
    <n v="8000"/>
    <x v="1"/>
    <x v="1"/>
  </r>
  <r>
    <s v="P0595"/>
    <x v="320"/>
    <n v="26"/>
    <x v="0"/>
    <x v="0"/>
    <x v="5"/>
    <x v="5"/>
    <x v="6"/>
    <x v="177"/>
    <d v="2024-08-20T00:00:00"/>
    <n v="100000"/>
    <x v="2"/>
    <x v="1"/>
  </r>
  <r>
    <s v="P0596"/>
    <x v="368"/>
    <n v="39"/>
    <x v="0"/>
    <x v="0"/>
    <x v="0"/>
    <x v="3"/>
    <x v="3"/>
    <x v="154"/>
    <d v="2024-09-10T00:00:00"/>
    <n v="20000"/>
    <x v="1"/>
    <x v="4"/>
  </r>
  <r>
    <s v="P0597"/>
    <x v="5"/>
    <n v="35"/>
    <x v="0"/>
    <x v="0"/>
    <x v="2"/>
    <x v="6"/>
    <x v="2"/>
    <x v="264"/>
    <d v="2024-10-12T00:00:00"/>
    <n v="20000"/>
    <x v="0"/>
    <x v="4"/>
  </r>
  <r>
    <s v="P0598"/>
    <x v="369"/>
    <s v="Unknown"/>
    <x v="4"/>
    <x v="1"/>
    <x v="1"/>
    <x v="3"/>
    <x v="6"/>
    <x v="236"/>
    <d v="2024-07-18T00:00:00"/>
    <n v="8000"/>
    <x v="2"/>
    <x v="1"/>
  </r>
  <r>
    <s v="P0599"/>
    <x v="370"/>
    <n v="70"/>
    <x v="1"/>
    <x v="0"/>
    <x v="0"/>
    <x v="5"/>
    <x v="4"/>
    <x v="129"/>
    <d v="2024-06-19T00:00:00"/>
    <n v="75000"/>
    <x v="3"/>
    <x v="0"/>
  </r>
  <r>
    <s v="P0600"/>
    <x v="201"/>
    <n v="86"/>
    <x v="1"/>
    <x v="0"/>
    <x v="1"/>
    <x v="5"/>
    <x v="6"/>
    <x v="142"/>
    <d v="2024-01-28T00:00:00"/>
    <n v="15000"/>
    <x v="1"/>
    <x v="2"/>
  </r>
  <r>
    <s v="P0601"/>
    <x v="371"/>
    <n v="58"/>
    <x v="3"/>
    <x v="1"/>
    <x v="2"/>
    <x v="4"/>
    <x v="1"/>
    <x v="90"/>
    <d v="2024-05-12T00:00:00"/>
    <n v="35000"/>
    <x v="2"/>
    <x v="2"/>
  </r>
  <r>
    <s v="P0602"/>
    <x v="372"/>
    <s v="Unknown"/>
    <x v="4"/>
    <x v="1"/>
    <x v="3"/>
    <x v="2"/>
    <x v="4"/>
    <x v="13"/>
    <d v="2024-03-14T00:00:00"/>
    <n v="100000"/>
    <x v="3"/>
    <x v="0"/>
  </r>
  <r>
    <s v="P0603"/>
    <x v="83"/>
    <n v="74"/>
    <x v="1"/>
    <x v="1"/>
    <x v="2"/>
    <x v="1"/>
    <x v="5"/>
    <x v="241"/>
    <d v="2024-02-07T00:00:00"/>
    <n v="75000"/>
    <x v="0"/>
    <x v="4"/>
  </r>
  <r>
    <s v="P0604"/>
    <x v="242"/>
    <n v="6"/>
    <x v="2"/>
    <x v="0"/>
    <x v="3"/>
    <x v="3"/>
    <x v="3"/>
    <x v="246"/>
    <d v="2024-07-22T00:00:00"/>
    <n v="12000"/>
    <x v="0"/>
    <x v="0"/>
  </r>
  <r>
    <s v="P0605"/>
    <x v="301"/>
    <n v="50"/>
    <x v="3"/>
    <x v="0"/>
    <x v="4"/>
    <x v="0"/>
    <x v="1"/>
    <x v="265"/>
    <d v="2024-02-07T00:00:00"/>
    <n v="8000"/>
    <x v="2"/>
    <x v="4"/>
  </r>
  <r>
    <s v="P0606"/>
    <x v="185"/>
    <n v="4"/>
    <x v="2"/>
    <x v="0"/>
    <x v="1"/>
    <x v="4"/>
    <x v="6"/>
    <x v="223"/>
    <d v="2024-05-18T00:00:00"/>
    <n v="75000"/>
    <x v="3"/>
    <x v="1"/>
  </r>
  <r>
    <s v="P0607"/>
    <x v="174"/>
    <s v="Unknown"/>
    <x v="4"/>
    <x v="0"/>
    <x v="3"/>
    <x v="4"/>
    <x v="4"/>
    <x v="259"/>
    <d v="2024-10-21T00:00:00"/>
    <n v="15000"/>
    <x v="1"/>
    <x v="1"/>
  </r>
  <r>
    <s v="P0608"/>
    <x v="68"/>
    <n v="50"/>
    <x v="3"/>
    <x v="0"/>
    <x v="2"/>
    <x v="3"/>
    <x v="5"/>
    <x v="125"/>
    <d v="2024-08-05T00:00:00"/>
    <n v="0"/>
    <x v="1"/>
    <x v="0"/>
  </r>
  <r>
    <s v="P0609"/>
    <x v="216"/>
    <n v="32"/>
    <x v="0"/>
    <x v="0"/>
    <x v="1"/>
    <x v="1"/>
    <x v="1"/>
    <x v="187"/>
    <d v="2024-07-08T00:00:00"/>
    <n v="50000"/>
    <x v="0"/>
    <x v="1"/>
  </r>
  <r>
    <s v="P0610"/>
    <x v="91"/>
    <n v="17"/>
    <x v="2"/>
    <x v="0"/>
    <x v="6"/>
    <x v="6"/>
    <x v="3"/>
    <x v="98"/>
    <d v="2024-03-18T00:00:00"/>
    <n v="8000"/>
    <x v="2"/>
    <x v="2"/>
  </r>
  <r>
    <s v="P0611"/>
    <x v="373"/>
    <n v="51"/>
    <x v="3"/>
    <x v="0"/>
    <x v="0"/>
    <x v="3"/>
    <x v="1"/>
    <x v="118"/>
    <d v="2024-02-29T00:00:00"/>
    <n v="12000"/>
    <x v="0"/>
    <x v="4"/>
  </r>
  <r>
    <s v="P0612"/>
    <x v="373"/>
    <n v="22"/>
    <x v="0"/>
    <x v="0"/>
    <x v="4"/>
    <x v="2"/>
    <x v="4"/>
    <x v="230"/>
    <d v="2024-07-27T00:00:00"/>
    <n v="15000"/>
    <x v="0"/>
    <x v="2"/>
  </r>
  <r>
    <s v="P0613"/>
    <x v="12"/>
    <n v="67"/>
    <x v="1"/>
    <x v="0"/>
    <x v="5"/>
    <x v="6"/>
    <x v="5"/>
    <x v="125"/>
    <d v="2024-08-18T00:00:00"/>
    <n v="8000"/>
    <x v="2"/>
    <x v="1"/>
  </r>
  <r>
    <s v="P0614"/>
    <x v="336"/>
    <s v="Unknown"/>
    <x v="4"/>
    <x v="0"/>
    <x v="4"/>
    <x v="0"/>
    <x v="6"/>
    <x v="262"/>
    <d v="2024-10-24T00:00:00"/>
    <n v="100000"/>
    <x v="2"/>
    <x v="2"/>
  </r>
  <r>
    <s v="P0615"/>
    <x v="270"/>
    <n v="14"/>
    <x v="2"/>
    <x v="1"/>
    <x v="2"/>
    <x v="5"/>
    <x v="1"/>
    <x v="233"/>
    <d v="2024-03-23T00:00:00"/>
    <n v="15000"/>
    <x v="1"/>
    <x v="0"/>
  </r>
  <r>
    <s v="P0616"/>
    <x v="346"/>
    <n v="27"/>
    <x v="0"/>
    <x v="0"/>
    <x v="1"/>
    <x v="0"/>
    <x v="5"/>
    <x v="161"/>
    <d v="2024-10-10T00:00:00"/>
    <n v="5000"/>
    <x v="2"/>
    <x v="0"/>
  </r>
  <r>
    <s v="P0617"/>
    <x v="157"/>
    <n v="83"/>
    <x v="1"/>
    <x v="1"/>
    <x v="1"/>
    <x v="6"/>
    <x v="0"/>
    <x v="118"/>
    <d v="2024-02-25T00:00:00"/>
    <n v="8000"/>
    <x v="3"/>
    <x v="1"/>
  </r>
  <r>
    <s v="P0618"/>
    <x v="79"/>
    <n v="32"/>
    <x v="0"/>
    <x v="1"/>
    <x v="3"/>
    <x v="1"/>
    <x v="6"/>
    <x v="98"/>
    <d v="2024-03-22T00:00:00"/>
    <n v="8000"/>
    <x v="0"/>
    <x v="0"/>
  </r>
  <r>
    <s v="P0619"/>
    <x v="374"/>
    <n v="81"/>
    <x v="1"/>
    <x v="1"/>
    <x v="3"/>
    <x v="5"/>
    <x v="6"/>
    <x v="58"/>
    <d v="2024-03-17T00:00:00"/>
    <n v="15000"/>
    <x v="2"/>
    <x v="1"/>
  </r>
  <r>
    <s v="P0620"/>
    <x v="375"/>
    <n v="29"/>
    <x v="0"/>
    <x v="1"/>
    <x v="6"/>
    <x v="4"/>
    <x v="5"/>
    <x v="195"/>
    <d v="2024-08-22T00:00:00"/>
    <n v="12000"/>
    <x v="3"/>
    <x v="0"/>
  </r>
  <r>
    <s v="P0621"/>
    <x v="376"/>
    <n v="88"/>
    <x v="1"/>
    <x v="1"/>
    <x v="6"/>
    <x v="4"/>
    <x v="0"/>
    <x v="171"/>
    <d v="2024-10-14T00:00:00"/>
    <n v="20000"/>
    <x v="3"/>
    <x v="1"/>
  </r>
  <r>
    <s v="P0622"/>
    <x v="377"/>
    <n v="68"/>
    <x v="1"/>
    <x v="1"/>
    <x v="6"/>
    <x v="5"/>
    <x v="4"/>
    <x v="116"/>
    <d v="2024-07-09T00:00:00"/>
    <n v="25000"/>
    <x v="1"/>
    <x v="2"/>
  </r>
  <r>
    <s v="P0623"/>
    <x v="164"/>
    <n v="17"/>
    <x v="2"/>
    <x v="1"/>
    <x v="1"/>
    <x v="2"/>
    <x v="1"/>
    <x v="0"/>
    <d v="2024-03-10T00:00:00"/>
    <n v="8000"/>
    <x v="1"/>
    <x v="2"/>
  </r>
  <r>
    <s v="P0624"/>
    <x v="378"/>
    <n v="71"/>
    <x v="1"/>
    <x v="0"/>
    <x v="3"/>
    <x v="4"/>
    <x v="6"/>
    <x v="58"/>
    <d v="2024-03-10T00:00:00"/>
    <n v="8000"/>
    <x v="3"/>
    <x v="4"/>
  </r>
  <r>
    <s v="P0625"/>
    <x v="105"/>
    <n v="80"/>
    <x v="1"/>
    <x v="0"/>
    <x v="6"/>
    <x v="2"/>
    <x v="4"/>
    <x v="57"/>
    <d v="2024-07-02T00:00:00"/>
    <n v="12000"/>
    <x v="0"/>
    <x v="4"/>
  </r>
  <r>
    <s v="P0626"/>
    <x v="319"/>
    <n v="9"/>
    <x v="2"/>
    <x v="2"/>
    <x v="1"/>
    <x v="0"/>
    <x v="0"/>
    <x v="104"/>
    <d v="2024-01-14T00:00:00"/>
    <n v="25000"/>
    <x v="0"/>
    <x v="4"/>
  </r>
  <r>
    <s v="P0627"/>
    <x v="247"/>
    <n v="13"/>
    <x v="2"/>
    <x v="0"/>
    <x v="0"/>
    <x v="2"/>
    <x v="3"/>
    <x v="266"/>
    <d v="2024-08-20T00:00:00"/>
    <n v="100000"/>
    <x v="1"/>
    <x v="1"/>
  </r>
  <r>
    <s v="P0628"/>
    <x v="379"/>
    <n v="69"/>
    <x v="1"/>
    <x v="1"/>
    <x v="3"/>
    <x v="0"/>
    <x v="2"/>
    <x v="198"/>
    <d v="2024-02-25T00:00:00"/>
    <n v="100000"/>
    <x v="4"/>
    <x v="4"/>
  </r>
  <r>
    <s v="P0629"/>
    <x v="232"/>
    <n v="27"/>
    <x v="0"/>
    <x v="0"/>
    <x v="1"/>
    <x v="6"/>
    <x v="6"/>
    <x v="137"/>
    <d v="2024-07-07T00:00:00"/>
    <n v="75000"/>
    <x v="3"/>
    <x v="2"/>
  </r>
  <r>
    <s v="P0630"/>
    <x v="343"/>
    <n v="10"/>
    <x v="2"/>
    <x v="0"/>
    <x v="0"/>
    <x v="5"/>
    <x v="2"/>
    <x v="113"/>
    <d v="2024-11-08T00:00:00"/>
    <n v="5000"/>
    <x v="3"/>
    <x v="1"/>
  </r>
  <r>
    <s v="P0631"/>
    <x v="380"/>
    <n v="90"/>
    <x v="1"/>
    <x v="0"/>
    <x v="0"/>
    <x v="4"/>
    <x v="5"/>
    <x v="11"/>
    <d v="2024-08-19T00:00:00"/>
    <n v="25000"/>
    <x v="1"/>
    <x v="0"/>
  </r>
  <r>
    <s v="P0632"/>
    <x v="253"/>
    <n v="75"/>
    <x v="1"/>
    <x v="1"/>
    <x v="3"/>
    <x v="1"/>
    <x v="0"/>
    <x v="67"/>
    <d v="2024-08-11T00:00:00"/>
    <n v="25000"/>
    <x v="3"/>
    <x v="2"/>
  </r>
  <r>
    <s v="P0633"/>
    <x v="381"/>
    <n v="26"/>
    <x v="0"/>
    <x v="1"/>
    <x v="7"/>
    <x v="5"/>
    <x v="5"/>
    <x v="227"/>
    <d v="2024-07-04T00:00:00"/>
    <n v="50000"/>
    <x v="2"/>
    <x v="1"/>
  </r>
  <r>
    <s v="P0634"/>
    <x v="382"/>
    <n v="17"/>
    <x v="2"/>
    <x v="1"/>
    <x v="2"/>
    <x v="6"/>
    <x v="2"/>
    <x v="211"/>
    <d v="2024-06-06T00:00:00"/>
    <n v="100000"/>
    <x v="0"/>
    <x v="4"/>
  </r>
  <r>
    <s v="P0635"/>
    <x v="172"/>
    <n v="72"/>
    <x v="1"/>
    <x v="1"/>
    <x v="1"/>
    <x v="0"/>
    <x v="0"/>
    <x v="200"/>
    <d v="2024-04-03T00:00:00"/>
    <n v="25000"/>
    <x v="2"/>
    <x v="4"/>
  </r>
  <r>
    <s v="P0636"/>
    <x v="99"/>
    <n v="88"/>
    <x v="1"/>
    <x v="0"/>
    <x v="4"/>
    <x v="5"/>
    <x v="4"/>
    <x v="128"/>
    <d v="2024-02-12T00:00:00"/>
    <n v="8000"/>
    <x v="3"/>
    <x v="2"/>
  </r>
  <r>
    <s v="P0637"/>
    <x v="383"/>
    <n v="55"/>
    <x v="3"/>
    <x v="0"/>
    <x v="2"/>
    <x v="5"/>
    <x v="2"/>
    <x v="102"/>
    <d v="2024-07-25T00:00:00"/>
    <n v="20000"/>
    <x v="0"/>
    <x v="1"/>
  </r>
  <r>
    <s v="P0638"/>
    <x v="145"/>
    <n v="45"/>
    <x v="3"/>
    <x v="1"/>
    <x v="3"/>
    <x v="1"/>
    <x v="2"/>
    <x v="170"/>
    <d v="2024-02-10T00:00:00"/>
    <n v="15000"/>
    <x v="2"/>
    <x v="0"/>
  </r>
  <r>
    <s v="P0639"/>
    <x v="293"/>
    <n v="35"/>
    <x v="0"/>
    <x v="0"/>
    <x v="0"/>
    <x v="1"/>
    <x v="0"/>
    <x v="171"/>
    <d v="2024-10-15T00:00:00"/>
    <n v="5000"/>
    <x v="1"/>
    <x v="0"/>
  </r>
  <r>
    <s v="P0640"/>
    <x v="384"/>
    <n v="44"/>
    <x v="3"/>
    <x v="0"/>
    <x v="3"/>
    <x v="6"/>
    <x v="2"/>
    <x v="109"/>
    <d v="2024-09-20T00:00:00"/>
    <n v="25000"/>
    <x v="2"/>
    <x v="1"/>
  </r>
  <r>
    <s v="P0641"/>
    <x v="254"/>
    <n v="22"/>
    <x v="0"/>
    <x v="0"/>
    <x v="1"/>
    <x v="3"/>
    <x v="5"/>
    <x v="18"/>
    <d v="2024-08-01T00:00:00"/>
    <n v="35000"/>
    <x v="1"/>
    <x v="1"/>
  </r>
  <r>
    <s v="P0642"/>
    <x v="287"/>
    <n v="72"/>
    <x v="1"/>
    <x v="0"/>
    <x v="2"/>
    <x v="0"/>
    <x v="3"/>
    <x v="50"/>
    <d v="2024-06-10T00:00:00"/>
    <n v="8000"/>
    <x v="3"/>
    <x v="2"/>
  </r>
  <r>
    <s v="P0643"/>
    <x v="84"/>
    <n v="74"/>
    <x v="1"/>
    <x v="1"/>
    <x v="0"/>
    <x v="2"/>
    <x v="0"/>
    <x v="194"/>
    <d v="2024-07-07T00:00:00"/>
    <n v="75000"/>
    <x v="2"/>
    <x v="0"/>
  </r>
  <r>
    <s v="P0644"/>
    <x v="64"/>
    <n v="56"/>
    <x v="3"/>
    <x v="0"/>
    <x v="4"/>
    <x v="2"/>
    <x v="0"/>
    <x v="140"/>
    <d v="2024-07-22T00:00:00"/>
    <n v="25000"/>
    <x v="2"/>
    <x v="2"/>
  </r>
  <r>
    <s v="P0645"/>
    <x v="385"/>
    <n v="8"/>
    <x v="2"/>
    <x v="1"/>
    <x v="5"/>
    <x v="4"/>
    <x v="1"/>
    <x v="267"/>
    <d v="2024-09-29T00:00:00"/>
    <n v="25000"/>
    <x v="1"/>
    <x v="4"/>
  </r>
  <r>
    <s v="P0646"/>
    <x v="194"/>
    <n v="32"/>
    <x v="0"/>
    <x v="1"/>
    <x v="0"/>
    <x v="4"/>
    <x v="0"/>
    <x v="219"/>
    <d v="2024-07-16T00:00:00"/>
    <n v="20000"/>
    <x v="2"/>
    <x v="2"/>
  </r>
  <r>
    <s v="P0647"/>
    <x v="386"/>
    <n v="5"/>
    <x v="2"/>
    <x v="0"/>
    <x v="3"/>
    <x v="3"/>
    <x v="1"/>
    <x v="211"/>
    <d v="2024-06-12T00:00:00"/>
    <n v="20000"/>
    <x v="1"/>
    <x v="4"/>
  </r>
  <r>
    <s v="P0648"/>
    <x v="7"/>
    <n v="20"/>
    <x v="0"/>
    <x v="1"/>
    <x v="2"/>
    <x v="3"/>
    <x v="6"/>
    <x v="17"/>
    <d v="2024-09-05T00:00:00"/>
    <n v="12000"/>
    <x v="0"/>
    <x v="0"/>
  </r>
  <r>
    <s v="P0649"/>
    <x v="387"/>
    <n v="83"/>
    <x v="1"/>
    <x v="1"/>
    <x v="5"/>
    <x v="6"/>
    <x v="2"/>
    <x v="88"/>
    <d v="2024-07-23T00:00:00"/>
    <n v="75000"/>
    <x v="1"/>
    <x v="1"/>
  </r>
  <r>
    <s v="P0650"/>
    <x v="388"/>
    <n v="67"/>
    <x v="1"/>
    <x v="0"/>
    <x v="5"/>
    <x v="5"/>
    <x v="2"/>
    <x v="98"/>
    <d v="2024-03-18T00:00:00"/>
    <n v="100000"/>
    <x v="3"/>
    <x v="4"/>
  </r>
  <r>
    <s v="P0651"/>
    <x v="389"/>
    <n v="78"/>
    <x v="1"/>
    <x v="1"/>
    <x v="2"/>
    <x v="0"/>
    <x v="3"/>
    <x v="104"/>
    <d v="2024-01-17T00:00:00"/>
    <n v="100000"/>
    <x v="2"/>
    <x v="0"/>
  </r>
  <r>
    <s v="P0652"/>
    <x v="390"/>
    <n v="81"/>
    <x v="1"/>
    <x v="1"/>
    <x v="4"/>
    <x v="6"/>
    <x v="6"/>
    <x v="261"/>
    <d v="2024-07-24T00:00:00"/>
    <n v="25000"/>
    <x v="3"/>
    <x v="1"/>
  </r>
  <r>
    <s v="P0653"/>
    <x v="391"/>
    <n v="34"/>
    <x v="0"/>
    <x v="1"/>
    <x v="4"/>
    <x v="1"/>
    <x v="5"/>
    <x v="120"/>
    <d v="2024-09-21T00:00:00"/>
    <n v="12000"/>
    <x v="3"/>
    <x v="2"/>
  </r>
  <r>
    <s v="P0654"/>
    <x v="392"/>
    <n v="23"/>
    <x v="0"/>
    <x v="0"/>
    <x v="2"/>
    <x v="4"/>
    <x v="1"/>
    <x v="268"/>
    <d v="2024-07-11T00:00:00"/>
    <n v="12000"/>
    <x v="1"/>
    <x v="0"/>
  </r>
  <r>
    <s v="P0655"/>
    <x v="393"/>
    <n v="11"/>
    <x v="2"/>
    <x v="1"/>
    <x v="1"/>
    <x v="5"/>
    <x v="2"/>
    <x v="66"/>
    <d v="2024-05-26T00:00:00"/>
    <n v="100000"/>
    <x v="2"/>
    <x v="2"/>
  </r>
  <r>
    <s v="P0656"/>
    <x v="335"/>
    <n v="30"/>
    <x v="0"/>
    <x v="0"/>
    <x v="0"/>
    <x v="6"/>
    <x v="5"/>
    <x v="39"/>
    <d v="2024-04-25T00:00:00"/>
    <n v="75000"/>
    <x v="1"/>
    <x v="1"/>
  </r>
  <r>
    <s v="P0657"/>
    <x v="164"/>
    <n v="34"/>
    <x v="0"/>
    <x v="1"/>
    <x v="5"/>
    <x v="0"/>
    <x v="4"/>
    <x v="180"/>
    <d v="2024-05-09T00:00:00"/>
    <n v="50000"/>
    <x v="3"/>
    <x v="4"/>
  </r>
  <r>
    <s v="P0658"/>
    <x v="394"/>
    <s v="Unknown"/>
    <x v="4"/>
    <x v="1"/>
    <x v="6"/>
    <x v="1"/>
    <x v="0"/>
    <x v="266"/>
    <d v="2024-08-30T00:00:00"/>
    <n v="75000"/>
    <x v="1"/>
    <x v="2"/>
  </r>
  <r>
    <s v="P0659"/>
    <x v="0"/>
    <n v="35"/>
    <x v="0"/>
    <x v="1"/>
    <x v="1"/>
    <x v="2"/>
    <x v="4"/>
    <x v="269"/>
    <d v="2024-05-17T00:00:00"/>
    <n v="35000"/>
    <x v="2"/>
    <x v="0"/>
  </r>
  <r>
    <s v="P0660"/>
    <x v="395"/>
    <n v="22"/>
    <x v="0"/>
    <x v="1"/>
    <x v="1"/>
    <x v="4"/>
    <x v="4"/>
    <x v="192"/>
    <d v="2024-05-21T00:00:00"/>
    <n v="5000"/>
    <x v="0"/>
    <x v="0"/>
  </r>
  <r>
    <s v="P0661"/>
    <x v="238"/>
    <n v="75"/>
    <x v="1"/>
    <x v="1"/>
    <x v="6"/>
    <x v="2"/>
    <x v="5"/>
    <x v="5"/>
    <d v="2024-02-21T00:00:00"/>
    <n v="8000"/>
    <x v="2"/>
    <x v="2"/>
  </r>
  <r>
    <s v="P0662"/>
    <x v="226"/>
    <n v="71"/>
    <x v="1"/>
    <x v="1"/>
    <x v="3"/>
    <x v="1"/>
    <x v="0"/>
    <x v="240"/>
    <d v="2024-09-07T00:00:00"/>
    <n v="75000"/>
    <x v="0"/>
    <x v="2"/>
  </r>
  <r>
    <s v="P0663"/>
    <x v="77"/>
    <n v="1"/>
    <x v="2"/>
    <x v="0"/>
    <x v="5"/>
    <x v="5"/>
    <x v="3"/>
    <x v="173"/>
    <d v="2024-01-31T00:00:00"/>
    <n v="5000"/>
    <x v="3"/>
    <x v="2"/>
  </r>
  <r>
    <s v="P0664"/>
    <x v="54"/>
    <n v="43"/>
    <x v="3"/>
    <x v="1"/>
    <x v="1"/>
    <x v="0"/>
    <x v="0"/>
    <x v="205"/>
    <d v="2024-03-10T00:00:00"/>
    <n v="100000"/>
    <x v="2"/>
    <x v="0"/>
  </r>
  <r>
    <s v="P0665"/>
    <x v="396"/>
    <n v="62"/>
    <x v="1"/>
    <x v="0"/>
    <x v="6"/>
    <x v="6"/>
    <x v="6"/>
    <x v="78"/>
    <d v="2024-09-26T00:00:00"/>
    <n v="100000"/>
    <x v="1"/>
    <x v="0"/>
  </r>
  <r>
    <s v="P0666"/>
    <x v="289"/>
    <n v="42"/>
    <x v="3"/>
    <x v="0"/>
    <x v="1"/>
    <x v="2"/>
    <x v="5"/>
    <x v="190"/>
    <d v="2024-05-10T00:00:00"/>
    <n v="15000"/>
    <x v="2"/>
    <x v="1"/>
  </r>
  <r>
    <s v="P0667"/>
    <x v="397"/>
    <n v="13"/>
    <x v="2"/>
    <x v="0"/>
    <x v="5"/>
    <x v="4"/>
    <x v="2"/>
    <x v="193"/>
    <d v="2024-08-05T00:00:00"/>
    <n v="5000"/>
    <x v="2"/>
    <x v="2"/>
  </r>
  <r>
    <s v="P0668"/>
    <x v="398"/>
    <n v="90"/>
    <x v="1"/>
    <x v="1"/>
    <x v="3"/>
    <x v="4"/>
    <x v="1"/>
    <x v="85"/>
    <d v="2024-07-23T00:00:00"/>
    <n v="75000"/>
    <x v="2"/>
    <x v="2"/>
  </r>
  <r>
    <s v="P0669"/>
    <x v="354"/>
    <n v="47"/>
    <x v="3"/>
    <x v="0"/>
    <x v="2"/>
    <x v="5"/>
    <x v="3"/>
    <x v="270"/>
    <d v="2024-05-04T00:00:00"/>
    <n v="5000"/>
    <x v="1"/>
    <x v="2"/>
  </r>
  <r>
    <s v="P0670"/>
    <x v="116"/>
    <n v="40"/>
    <x v="3"/>
    <x v="1"/>
    <x v="6"/>
    <x v="1"/>
    <x v="2"/>
    <x v="233"/>
    <d v="2024-05-06T00:00:00"/>
    <n v="12000"/>
    <x v="2"/>
    <x v="0"/>
  </r>
  <r>
    <s v="P0671"/>
    <x v="1"/>
    <n v="45"/>
    <x v="3"/>
    <x v="0"/>
    <x v="6"/>
    <x v="0"/>
    <x v="5"/>
    <x v="83"/>
    <d v="2024-04-03T00:00:00"/>
    <n v="50000"/>
    <x v="2"/>
    <x v="4"/>
  </r>
  <r>
    <s v="P0672"/>
    <x v="399"/>
    <n v="31"/>
    <x v="0"/>
    <x v="0"/>
    <x v="3"/>
    <x v="4"/>
    <x v="2"/>
    <x v="149"/>
    <d v="2024-08-03T00:00:00"/>
    <n v="15000"/>
    <x v="1"/>
    <x v="2"/>
  </r>
  <r>
    <s v="P0673"/>
    <x v="146"/>
    <n v="35"/>
    <x v="0"/>
    <x v="0"/>
    <x v="2"/>
    <x v="5"/>
    <x v="0"/>
    <x v="166"/>
    <d v="2024-08-03T00:00:00"/>
    <n v="25000"/>
    <x v="0"/>
    <x v="0"/>
  </r>
  <r>
    <s v="P0674"/>
    <x v="400"/>
    <n v="38"/>
    <x v="0"/>
    <x v="1"/>
    <x v="0"/>
    <x v="5"/>
    <x v="1"/>
    <x v="216"/>
    <d v="2024-05-12T00:00:00"/>
    <n v="75000"/>
    <x v="2"/>
    <x v="0"/>
  </r>
  <r>
    <s v="P0675"/>
    <x v="33"/>
    <n v="81"/>
    <x v="1"/>
    <x v="0"/>
    <x v="1"/>
    <x v="6"/>
    <x v="5"/>
    <x v="75"/>
    <d v="2024-05-04T00:00:00"/>
    <n v="12000"/>
    <x v="4"/>
    <x v="4"/>
  </r>
  <r>
    <s v="P0676"/>
    <x v="13"/>
    <n v="5"/>
    <x v="2"/>
    <x v="0"/>
    <x v="6"/>
    <x v="5"/>
    <x v="3"/>
    <x v="15"/>
    <d v="2024-02-28T00:00:00"/>
    <n v="5000"/>
    <x v="1"/>
    <x v="0"/>
  </r>
  <r>
    <s v="P0677"/>
    <x v="241"/>
    <n v="11"/>
    <x v="2"/>
    <x v="0"/>
    <x v="3"/>
    <x v="3"/>
    <x v="1"/>
    <x v="112"/>
    <d v="2024-02-24T00:00:00"/>
    <n v="12000"/>
    <x v="1"/>
    <x v="1"/>
  </r>
  <r>
    <s v="P0678"/>
    <x v="401"/>
    <n v="26"/>
    <x v="0"/>
    <x v="1"/>
    <x v="2"/>
    <x v="3"/>
    <x v="1"/>
    <x v="19"/>
    <d v="2024-06-18T00:00:00"/>
    <n v="15000"/>
    <x v="3"/>
    <x v="0"/>
  </r>
  <r>
    <s v="P0679"/>
    <x v="252"/>
    <n v="39"/>
    <x v="0"/>
    <x v="0"/>
    <x v="1"/>
    <x v="3"/>
    <x v="0"/>
    <x v="222"/>
    <d v="2024-05-04T00:00:00"/>
    <n v="75000"/>
    <x v="1"/>
    <x v="1"/>
  </r>
  <r>
    <s v="P0680"/>
    <x v="328"/>
    <n v="66"/>
    <x v="1"/>
    <x v="0"/>
    <x v="4"/>
    <x v="2"/>
    <x v="0"/>
    <x v="124"/>
    <d v="2024-01-23T00:00:00"/>
    <n v="15000"/>
    <x v="3"/>
    <x v="0"/>
  </r>
  <r>
    <s v="P0681"/>
    <x v="402"/>
    <n v="29"/>
    <x v="0"/>
    <x v="1"/>
    <x v="1"/>
    <x v="4"/>
    <x v="1"/>
    <x v="159"/>
    <d v="2024-06-27T00:00:00"/>
    <n v="100000"/>
    <x v="2"/>
    <x v="4"/>
  </r>
  <r>
    <s v="P0682"/>
    <x v="403"/>
    <n v="49"/>
    <x v="3"/>
    <x v="0"/>
    <x v="5"/>
    <x v="4"/>
    <x v="1"/>
    <x v="134"/>
    <d v="2024-09-25T00:00:00"/>
    <n v="100000"/>
    <x v="3"/>
    <x v="3"/>
  </r>
  <r>
    <s v="P0683"/>
    <x v="404"/>
    <s v="Unknown"/>
    <x v="4"/>
    <x v="0"/>
    <x v="3"/>
    <x v="5"/>
    <x v="6"/>
    <x v="239"/>
    <d v="2024-05-04T00:00:00"/>
    <n v="100000"/>
    <x v="0"/>
    <x v="1"/>
  </r>
  <r>
    <s v="P0684"/>
    <x v="121"/>
    <n v="82"/>
    <x v="1"/>
    <x v="1"/>
    <x v="2"/>
    <x v="5"/>
    <x v="1"/>
    <x v="3"/>
    <d v="2024-08-26T00:00:00"/>
    <n v="25000"/>
    <x v="2"/>
    <x v="1"/>
  </r>
  <r>
    <s v="P0685"/>
    <x v="39"/>
    <n v="56"/>
    <x v="3"/>
    <x v="0"/>
    <x v="5"/>
    <x v="6"/>
    <x v="0"/>
    <x v="145"/>
    <d v="2024-06-17T00:00:00"/>
    <n v="15000"/>
    <x v="2"/>
    <x v="2"/>
  </r>
  <r>
    <s v="P0686"/>
    <x v="246"/>
    <n v="52"/>
    <x v="3"/>
    <x v="1"/>
    <x v="3"/>
    <x v="6"/>
    <x v="5"/>
    <x v="234"/>
    <d v="2024-08-24T00:00:00"/>
    <n v="0"/>
    <x v="1"/>
    <x v="0"/>
  </r>
  <r>
    <s v="P0687"/>
    <x v="8"/>
    <n v="52"/>
    <x v="3"/>
    <x v="0"/>
    <x v="5"/>
    <x v="5"/>
    <x v="1"/>
    <x v="222"/>
    <d v="2024-06-10T00:00:00"/>
    <n v="50000"/>
    <x v="2"/>
    <x v="4"/>
  </r>
  <r>
    <s v="P0688"/>
    <x v="98"/>
    <n v="70"/>
    <x v="1"/>
    <x v="0"/>
    <x v="1"/>
    <x v="6"/>
    <x v="6"/>
    <x v="271"/>
    <d v="2024-04-09T00:00:00"/>
    <n v="8000"/>
    <x v="0"/>
    <x v="4"/>
  </r>
  <r>
    <s v="P0689"/>
    <x v="405"/>
    <n v="87"/>
    <x v="1"/>
    <x v="0"/>
    <x v="3"/>
    <x v="1"/>
    <x v="2"/>
    <x v="272"/>
    <d v="2024-06-28T00:00:00"/>
    <n v="20000"/>
    <x v="3"/>
    <x v="1"/>
  </r>
  <r>
    <s v="P0690"/>
    <x v="406"/>
    <n v="25"/>
    <x v="0"/>
    <x v="1"/>
    <x v="0"/>
    <x v="5"/>
    <x v="6"/>
    <x v="209"/>
    <d v="2024-02-23T00:00:00"/>
    <n v="35000"/>
    <x v="2"/>
    <x v="2"/>
  </r>
  <r>
    <s v="P0691"/>
    <x v="223"/>
    <n v="14"/>
    <x v="2"/>
    <x v="1"/>
    <x v="5"/>
    <x v="2"/>
    <x v="2"/>
    <x v="269"/>
    <d v="2024-04-25T00:00:00"/>
    <n v="5000"/>
    <x v="2"/>
    <x v="1"/>
  </r>
  <r>
    <s v="P0692"/>
    <x v="223"/>
    <n v="14"/>
    <x v="2"/>
    <x v="1"/>
    <x v="5"/>
    <x v="2"/>
    <x v="2"/>
    <x v="269"/>
    <d v="2024-04-25T00:00:00"/>
    <n v="5000"/>
    <x v="2"/>
    <x v="1"/>
  </r>
  <r>
    <s v="P0693"/>
    <x v="226"/>
    <n v="83"/>
    <x v="1"/>
    <x v="0"/>
    <x v="5"/>
    <x v="5"/>
    <x v="5"/>
    <x v="59"/>
    <d v="2024-08-01T00:00:00"/>
    <n v="8000"/>
    <x v="0"/>
    <x v="2"/>
  </r>
  <r>
    <s v="P0694"/>
    <x v="348"/>
    <n v="72"/>
    <x v="1"/>
    <x v="2"/>
    <x v="3"/>
    <x v="3"/>
    <x v="1"/>
    <x v="231"/>
    <d v="2024-10-04T00:00:00"/>
    <n v="5000"/>
    <x v="3"/>
    <x v="1"/>
  </r>
  <r>
    <s v="P0695"/>
    <x v="161"/>
    <n v="56"/>
    <x v="3"/>
    <x v="1"/>
    <x v="5"/>
    <x v="5"/>
    <x v="2"/>
    <x v="273"/>
    <d v="2024-11-08T00:00:00"/>
    <n v="100000"/>
    <x v="0"/>
    <x v="0"/>
  </r>
  <r>
    <s v="P0696"/>
    <x v="407"/>
    <n v="37"/>
    <x v="0"/>
    <x v="0"/>
    <x v="5"/>
    <x v="6"/>
    <x v="5"/>
    <x v="274"/>
    <d v="2024-04-29T00:00:00"/>
    <n v="15000"/>
    <x v="3"/>
    <x v="1"/>
  </r>
  <r>
    <s v="P0697"/>
    <x v="408"/>
    <n v="68"/>
    <x v="1"/>
    <x v="1"/>
    <x v="4"/>
    <x v="3"/>
    <x v="2"/>
    <x v="135"/>
    <d v="2024-05-30T00:00:00"/>
    <n v="15000"/>
    <x v="2"/>
    <x v="4"/>
  </r>
  <r>
    <s v="P0698"/>
    <x v="24"/>
    <n v="54"/>
    <x v="3"/>
    <x v="1"/>
    <x v="2"/>
    <x v="6"/>
    <x v="6"/>
    <x v="188"/>
    <d v="2024-05-20T00:00:00"/>
    <n v="5000"/>
    <x v="1"/>
    <x v="1"/>
  </r>
  <r>
    <s v="P0699"/>
    <x v="327"/>
    <n v="80"/>
    <x v="1"/>
    <x v="1"/>
    <x v="2"/>
    <x v="1"/>
    <x v="0"/>
    <x v="44"/>
    <d v="2024-04-12T00:00:00"/>
    <n v="25000"/>
    <x v="0"/>
    <x v="1"/>
  </r>
  <r>
    <s v="P0700"/>
    <x v="409"/>
    <n v="38"/>
    <x v="0"/>
    <x v="0"/>
    <x v="3"/>
    <x v="0"/>
    <x v="3"/>
    <x v="275"/>
    <d v="2024-11-01T00:00:00"/>
    <n v="20000"/>
    <x v="0"/>
    <x v="2"/>
  </r>
  <r>
    <s v="P0701"/>
    <x v="410"/>
    <n v="89"/>
    <x v="1"/>
    <x v="0"/>
    <x v="1"/>
    <x v="4"/>
    <x v="5"/>
    <x v="168"/>
    <d v="2024-07-25T00:00:00"/>
    <n v="20000"/>
    <x v="1"/>
    <x v="0"/>
  </r>
  <r>
    <s v="P0702"/>
    <x v="411"/>
    <n v="32"/>
    <x v="0"/>
    <x v="1"/>
    <x v="6"/>
    <x v="1"/>
    <x v="5"/>
    <x v="131"/>
    <d v="2024-02-21T00:00:00"/>
    <n v="5000"/>
    <x v="3"/>
    <x v="1"/>
  </r>
  <r>
    <s v="P0703"/>
    <x v="175"/>
    <n v="44"/>
    <x v="3"/>
    <x v="1"/>
    <x v="2"/>
    <x v="5"/>
    <x v="2"/>
    <x v="48"/>
    <d v="2024-08-18T00:00:00"/>
    <n v="15000"/>
    <x v="0"/>
    <x v="2"/>
  </r>
  <r>
    <s v="P0704"/>
    <x v="104"/>
    <n v="32"/>
    <x v="0"/>
    <x v="0"/>
    <x v="0"/>
    <x v="3"/>
    <x v="4"/>
    <x v="254"/>
    <d v="2024-02-25T00:00:00"/>
    <n v="75000"/>
    <x v="0"/>
    <x v="0"/>
  </r>
  <r>
    <s v="P0705"/>
    <x v="111"/>
    <n v="72"/>
    <x v="1"/>
    <x v="0"/>
    <x v="1"/>
    <x v="6"/>
    <x v="3"/>
    <x v="215"/>
    <d v="2024-05-13T00:00:00"/>
    <n v="5000"/>
    <x v="3"/>
    <x v="0"/>
  </r>
  <r>
    <s v="P0706"/>
    <x v="412"/>
    <n v="41"/>
    <x v="3"/>
    <x v="0"/>
    <x v="6"/>
    <x v="6"/>
    <x v="3"/>
    <x v="226"/>
    <d v="2024-02-20T00:00:00"/>
    <n v="50000"/>
    <x v="1"/>
    <x v="4"/>
  </r>
  <r>
    <s v="P0707"/>
    <x v="190"/>
    <n v="8"/>
    <x v="2"/>
    <x v="0"/>
    <x v="4"/>
    <x v="3"/>
    <x v="5"/>
    <x v="116"/>
    <d v="2024-07-04T00:00:00"/>
    <n v="75000"/>
    <x v="0"/>
    <x v="4"/>
  </r>
  <r>
    <s v="P0708"/>
    <x v="22"/>
    <n v="73"/>
    <x v="1"/>
    <x v="1"/>
    <x v="4"/>
    <x v="3"/>
    <x v="2"/>
    <x v="239"/>
    <d v="2024-05-06T00:00:00"/>
    <n v="75000"/>
    <x v="1"/>
    <x v="4"/>
  </r>
  <r>
    <s v="P0709"/>
    <x v="27"/>
    <n v="90"/>
    <x v="1"/>
    <x v="0"/>
    <x v="6"/>
    <x v="4"/>
    <x v="1"/>
    <x v="83"/>
    <d v="2024-03-21T00:00:00"/>
    <n v="15000"/>
    <x v="3"/>
    <x v="2"/>
  </r>
  <r>
    <s v="P0710"/>
    <x v="413"/>
    <n v="14"/>
    <x v="2"/>
    <x v="2"/>
    <x v="3"/>
    <x v="6"/>
    <x v="6"/>
    <x v="44"/>
    <d v="2024-04-11T00:00:00"/>
    <n v="5000"/>
    <x v="3"/>
    <x v="4"/>
  </r>
  <r>
    <s v="P0711"/>
    <x v="71"/>
    <n v="86"/>
    <x v="1"/>
    <x v="1"/>
    <x v="4"/>
    <x v="1"/>
    <x v="6"/>
    <x v="114"/>
    <d v="2024-02-14T00:00:00"/>
    <n v="35000"/>
    <x v="1"/>
    <x v="1"/>
  </r>
  <r>
    <s v="P0712"/>
    <x v="406"/>
    <s v="Unknown"/>
    <x v="4"/>
    <x v="1"/>
    <x v="4"/>
    <x v="3"/>
    <x v="5"/>
    <x v="159"/>
    <d v="2024-07-10T00:00:00"/>
    <n v="12000"/>
    <x v="1"/>
    <x v="4"/>
  </r>
  <r>
    <s v="P0713"/>
    <x v="55"/>
    <n v="65"/>
    <x v="1"/>
    <x v="1"/>
    <x v="5"/>
    <x v="5"/>
    <x v="2"/>
    <x v="38"/>
    <d v="2024-06-30T00:00:00"/>
    <n v="50000"/>
    <x v="0"/>
    <x v="4"/>
  </r>
  <r>
    <s v="P0714"/>
    <x v="414"/>
    <n v="6"/>
    <x v="2"/>
    <x v="1"/>
    <x v="4"/>
    <x v="6"/>
    <x v="3"/>
    <x v="167"/>
    <d v="2024-08-16T00:00:00"/>
    <n v="15000"/>
    <x v="0"/>
    <x v="0"/>
  </r>
  <r>
    <s v="P0715"/>
    <x v="62"/>
    <n v="60"/>
    <x v="1"/>
    <x v="1"/>
    <x v="1"/>
    <x v="0"/>
    <x v="2"/>
    <x v="59"/>
    <d v="2024-07-19T00:00:00"/>
    <n v="50000"/>
    <x v="1"/>
    <x v="0"/>
  </r>
  <r>
    <s v="P0716"/>
    <x v="399"/>
    <n v="3"/>
    <x v="2"/>
    <x v="0"/>
    <x v="0"/>
    <x v="1"/>
    <x v="5"/>
    <x v="120"/>
    <d v="2024-09-14T00:00:00"/>
    <n v="12000"/>
    <x v="1"/>
    <x v="0"/>
  </r>
  <r>
    <s v="P0717"/>
    <x v="263"/>
    <n v="80"/>
    <x v="1"/>
    <x v="0"/>
    <x v="6"/>
    <x v="5"/>
    <x v="0"/>
    <x v="45"/>
    <d v="2024-04-15T00:00:00"/>
    <n v="8000"/>
    <x v="2"/>
    <x v="2"/>
  </r>
  <r>
    <s v="P0718"/>
    <x v="379"/>
    <n v="17"/>
    <x v="2"/>
    <x v="1"/>
    <x v="4"/>
    <x v="4"/>
    <x v="2"/>
    <x v="205"/>
    <d v="2024-02-23T00:00:00"/>
    <n v="5000"/>
    <x v="0"/>
    <x v="1"/>
  </r>
  <r>
    <s v="P0719"/>
    <x v="213"/>
    <n v="34"/>
    <x v="0"/>
    <x v="1"/>
    <x v="6"/>
    <x v="3"/>
    <x v="6"/>
    <x v="31"/>
    <d v="2024-11-14T00:00:00"/>
    <n v="100000"/>
    <x v="0"/>
    <x v="1"/>
  </r>
  <r>
    <s v="P0720"/>
    <x v="415"/>
    <n v="49"/>
    <x v="3"/>
    <x v="0"/>
    <x v="7"/>
    <x v="2"/>
    <x v="0"/>
    <x v="68"/>
    <d v="2024-04-06T00:00:00"/>
    <n v="25000"/>
    <x v="1"/>
    <x v="2"/>
  </r>
  <r>
    <s v="P0721"/>
    <x v="179"/>
    <n v="17"/>
    <x v="2"/>
    <x v="0"/>
    <x v="1"/>
    <x v="0"/>
    <x v="1"/>
    <x v="243"/>
    <d v="2024-03-20T00:00:00"/>
    <n v="35000"/>
    <x v="0"/>
    <x v="2"/>
  </r>
  <r>
    <s v="P0722"/>
    <x v="215"/>
    <n v="57"/>
    <x v="3"/>
    <x v="1"/>
    <x v="3"/>
    <x v="1"/>
    <x v="5"/>
    <x v="107"/>
    <d v="2024-01-30T00:00:00"/>
    <n v="100000"/>
    <x v="1"/>
    <x v="0"/>
  </r>
  <r>
    <s v="P0723"/>
    <x v="76"/>
    <n v="10"/>
    <x v="2"/>
    <x v="0"/>
    <x v="5"/>
    <x v="0"/>
    <x v="3"/>
    <x v="227"/>
    <d v="2024-07-08T00:00:00"/>
    <n v="15000"/>
    <x v="3"/>
    <x v="1"/>
  </r>
  <r>
    <s v="P0724"/>
    <x v="416"/>
    <n v="24"/>
    <x v="0"/>
    <x v="1"/>
    <x v="4"/>
    <x v="6"/>
    <x v="2"/>
    <x v="35"/>
    <d v="2024-08-10T00:00:00"/>
    <n v="100000"/>
    <x v="2"/>
    <x v="1"/>
  </r>
  <r>
    <s v="P0725"/>
    <x v="417"/>
    <n v="14"/>
    <x v="2"/>
    <x v="1"/>
    <x v="4"/>
    <x v="2"/>
    <x v="4"/>
    <x v="216"/>
    <d v="2024-05-08T00:00:00"/>
    <n v="25000"/>
    <x v="0"/>
    <x v="2"/>
  </r>
  <r>
    <s v="P0726"/>
    <x v="418"/>
    <n v="51"/>
    <x v="3"/>
    <x v="1"/>
    <x v="1"/>
    <x v="4"/>
    <x v="2"/>
    <x v="192"/>
    <d v="2024-05-22T00:00:00"/>
    <n v="5000"/>
    <x v="1"/>
    <x v="4"/>
  </r>
  <r>
    <s v="P0727"/>
    <x v="419"/>
    <n v="64"/>
    <x v="1"/>
    <x v="1"/>
    <x v="4"/>
    <x v="2"/>
    <x v="6"/>
    <x v="213"/>
    <d v="2024-02-14T00:00:00"/>
    <n v="25000"/>
    <x v="2"/>
    <x v="1"/>
  </r>
  <r>
    <s v="P0728"/>
    <x v="378"/>
    <n v="1"/>
    <x v="2"/>
    <x v="1"/>
    <x v="1"/>
    <x v="0"/>
    <x v="0"/>
    <x v="46"/>
    <d v="2024-06-26T00:00:00"/>
    <n v="15000"/>
    <x v="2"/>
    <x v="4"/>
  </r>
  <r>
    <s v="P0729"/>
    <x v="103"/>
    <n v="17"/>
    <x v="2"/>
    <x v="1"/>
    <x v="3"/>
    <x v="3"/>
    <x v="3"/>
    <x v="36"/>
    <d v="2024-01-24T00:00:00"/>
    <n v="8000"/>
    <x v="2"/>
    <x v="1"/>
  </r>
  <r>
    <s v="P0730"/>
    <x v="217"/>
    <n v="43"/>
    <x v="3"/>
    <x v="0"/>
    <x v="1"/>
    <x v="4"/>
    <x v="3"/>
    <x v="43"/>
    <d v="2024-01-12T00:00:00"/>
    <n v="5000"/>
    <x v="2"/>
    <x v="0"/>
  </r>
  <r>
    <s v="P0731"/>
    <x v="420"/>
    <n v="6"/>
    <x v="2"/>
    <x v="0"/>
    <x v="5"/>
    <x v="2"/>
    <x v="2"/>
    <x v="276"/>
    <d v="2024-02-28T00:00:00"/>
    <n v="25000"/>
    <x v="0"/>
    <x v="2"/>
  </r>
  <r>
    <s v="P0732"/>
    <x v="421"/>
    <n v="13"/>
    <x v="2"/>
    <x v="0"/>
    <x v="4"/>
    <x v="1"/>
    <x v="2"/>
    <x v="74"/>
    <d v="2024-02-23T00:00:00"/>
    <n v="50000"/>
    <x v="3"/>
    <x v="0"/>
  </r>
  <r>
    <s v="P0733"/>
    <x v="57"/>
    <n v="84"/>
    <x v="1"/>
    <x v="1"/>
    <x v="6"/>
    <x v="0"/>
    <x v="4"/>
    <x v="234"/>
    <d v="2024-09-18T00:00:00"/>
    <n v="12000"/>
    <x v="2"/>
    <x v="0"/>
  </r>
  <r>
    <s v="P0734"/>
    <x v="89"/>
    <n v="35"/>
    <x v="0"/>
    <x v="0"/>
    <x v="3"/>
    <x v="2"/>
    <x v="2"/>
    <x v="255"/>
    <d v="2024-01-26T00:00:00"/>
    <n v="15000"/>
    <x v="2"/>
    <x v="1"/>
  </r>
  <r>
    <s v="P0735"/>
    <x v="93"/>
    <n v="84"/>
    <x v="1"/>
    <x v="1"/>
    <x v="5"/>
    <x v="4"/>
    <x v="5"/>
    <x v="208"/>
    <d v="2024-06-07T00:00:00"/>
    <n v="75000"/>
    <x v="0"/>
    <x v="2"/>
  </r>
  <r>
    <s v="P0736"/>
    <x v="328"/>
    <s v="Unknown"/>
    <x v="4"/>
    <x v="1"/>
    <x v="3"/>
    <x v="6"/>
    <x v="5"/>
    <x v="56"/>
    <d v="2024-07-23T00:00:00"/>
    <n v="5000"/>
    <x v="3"/>
    <x v="1"/>
  </r>
  <r>
    <s v="P0737"/>
    <x v="61"/>
    <n v="1"/>
    <x v="2"/>
    <x v="0"/>
    <x v="5"/>
    <x v="4"/>
    <x v="5"/>
    <x v="105"/>
    <d v="2024-09-29T00:00:00"/>
    <n v="8000"/>
    <x v="1"/>
    <x v="0"/>
  </r>
  <r>
    <s v="P0738"/>
    <x v="323"/>
    <n v="70"/>
    <x v="1"/>
    <x v="1"/>
    <x v="2"/>
    <x v="0"/>
    <x v="6"/>
    <x v="277"/>
    <d v="2024-04-11T00:00:00"/>
    <n v="20000"/>
    <x v="0"/>
    <x v="2"/>
  </r>
  <r>
    <s v="P0739"/>
    <x v="218"/>
    <n v="46"/>
    <x v="3"/>
    <x v="1"/>
    <x v="6"/>
    <x v="5"/>
    <x v="2"/>
    <x v="250"/>
    <d v="2024-11-03T00:00:00"/>
    <n v="20000"/>
    <x v="2"/>
    <x v="1"/>
  </r>
  <r>
    <s v="P0740"/>
    <x v="293"/>
    <n v="78"/>
    <x v="1"/>
    <x v="0"/>
    <x v="2"/>
    <x v="0"/>
    <x v="6"/>
    <x v="157"/>
    <d v="2024-04-15T00:00:00"/>
    <n v="50000"/>
    <x v="2"/>
    <x v="2"/>
  </r>
  <r>
    <s v="P0741"/>
    <x v="377"/>
    <n v="12"/>
    <x v="2"/>
    <x v="0"/>
    <x v="2"/>
    <x v="3"/>
    <x v="0"/>
    <x v="6"/>
    <d v="2024-08-12T00:00:00"/>
    <n v="15000"/>
    <x v="0"/>
    <x v="4"/>
  </r>
  <r>
    <s v="P0742"/>
    <x v="353"/>
    <n v="80"/>
    <x v="1"/>
    <x v="0"/>
    <x v="6"/>
    <x v="3"/>
    <x v="6"/>
    <x v="230"/>
    <d v="2024-07-23T00:00:00"/>
    <n v="5000"/>
    <x v="1"/>
    <x v="1"/>
  </r>
  <r>
    <s v="P0743"/>
    <x v="177"/>
    <n v="1"/>
    <x v="2"/>
    <x v="0"/>
    <x v="0"/>
    <x v="1"/>
    <x v="3"/>
    <x v="42"/>
    <d v="2024-09-19T00:00:00"/>
    <n v="35000"/>
    <x v="0"/>
    <x v="4"/>
  </r>
  <r>
    <s v="P0744"/>
    <x v="331"/>
    <s v="Unknown"/>
    <x v="4"/>
    <x v="1"/>
    <x v="6"/>
    <x v="6"/>
    <x v="6"/>
    <x v="168"/>
    <d v="2024-07-08T00:00:00"/>
    <n v="12000"/>
    <x v="1"/>
    <x v="4"/>
  </r>
  <r>
    <s v="P0745"/>
    <x v="422"/>
    <n v="31"/>
    <x v="0"/>
    <x v="1"/>
    <x v="0"/>
    <x v="0"/>
    <x v="5"/>
    <x v="59"/>
    <d v="2024-08-04T00:00:00"/>
    <n v="8000"/>
    <x v="3"/>
    <x v="4"/>
  </r>
  <r>
    <s v="P0746"/>
    <x v="354"/>
    <n v="46"/>
    <x v="3"/>
    <x v="0"/>
    <x v="2"/>
    <x v="3"/>
    <x v="4"/>
    <x v="236"/>
    <d v="2024-07-22T00:00:00"/>
    <n v="20000"/>
    <x v="0"/>
    <x v="2"/>
  </r>
  <r>
    <s v="P0747"/>
    <x v="95"/>
    <n v="47"/>
    <x v="3"/>
    <x v="0"/>
    <x v="3"/>
    <x v="3"/>
    <x v="4"/>
    <x v="244"/>
    <d v="2024-03-30T00:00:00"/>
    <n v="35000"/>
    <x v="2"/>
    <x v="2"/>
  </r>
  <r>
    <s v="P0748"/>
    <x v="33"/>
    <n v="39"/>
    <x v="0"/>
    <x v="1"/>
    <x v="1"/>
    <x v="0"/>
    <x v="6"/>
    <x v="22"/>
    <d v="2024-05-24T00:00:00"/>
    <n v="25000"/>
    <x v="1"/>
    <x v="4"/>
  </r>
  <r>
    <s v="P0749"/>
    <x v="423"/>
    <n v="37"/>
    <x v="0"/>
    <x v="0"/>
    <x v="4"/>
    <x v="2"/>
    <x v="6"/>
    <x v="211"/>
    <d v="2024-05-28T00:00:00"/>
    <n v="50000"/>
    <x v="0"/>
    <x v="2"/>
  </r>
  <r>
    <s v="P0750"/>
    <x v="296"/>
    <n v="26"/>
    <x v="0"/>
    <x v="1"/>
    <x v="2"/>
    <x v="2"/>
    <x v="0"/>
    <x v="86"/>
    <d v="2024-05-03T00:00:00"/>
    <n v="50000"/>
    <x v="1"/>
    <x v="0"/>
  </r>
  <r>
    <s v="P0751"/>
    <x v="375"/>
    <n v="51"/>
    <x v="3"/>
    <x v="0"/>
    <x v="5"/>
    <x v="1"/>
    <x v="0"/>
    <x v="278"/>
    <d v="2024-01-11T00:00:00"/>
    <n v="75000"/>
    <x v="0"/>
    <x v="0"/>
  </r>
  <r>
    <s v="P0752"/>
    <x v="249"/>
    <n v="85"/>
    <x v="1"/>
    <x v="1"/>
    <x v="6"/>
    <x v="4"/>
    <x v="2"/>
    <x v="50"/>
    <d v="2024-06-25T00:00:00"/>
    <n v="5000"/>
    <x v="0"/>
    <x v="1"/>
  </r>
  <r>
    <s v="P0753"/>
    <x v="424"/>
    <n v="30"/>
    <x v="0"/>
    <x v="1"/>
    <x v="5"/>
    <x v="0"/>
    <x v="2"/>
    <x v="217"/>
    <d v="2024-08-19T00:00:00"/>
    <n v="35000"/>
    <x v="2"/>
    <x v="2"/>
  </r>
  <r>
    <s v="P0754"/>
    <x v="164"/>
    <n v="88"/>
    <x v="1"/>
    <x v="1"/>
    <x v="1"/>
    <x v="1"/>
    <x v="5"/>
    <x v="27"/>
    <d v="2024-02-19T00:00:00"/>
    <n v="20000"/>
    <x v="1"/>
    <x v="2"/>
  </r>
  <r>
    <s v="P0755"/>
    <x v="425"/>
    <n v="33"/>
    <x v="0"/>
    <x v="0"/>
    <x v="6"/>
    <x v="6"/>
    <x v="0"/>
    <x v="224"/>
    <d v="2024-02-12T00:00:00"/>
    <n v="25000"/>
    <x v="3"/>
    <x v="2"/>
  </r>
  <r>
    <s v="P0756"/>
    <x v="131"/>
    <n v="22"/>
    <x v="0"/>
    <x v="1"/>
    <x v="1"/>
    <x v="2"/>
    <x v="4"/>
    <x v="76"/>
    <d v="2024-05-10T00:00:00"/>
    <n v="25000"/>
    <x v="1"/>
    <x v="0"/>
  </r>
  <r>
    <s v="P0757"/>
    <x v="108"/>
    <n v="20"/>
    <x v="0"/>
    <x v="1"/>
    <x v="6"/>
    <x v="1"/>
    <x v="4"/>
    <x v="12"/>
    <d v="2024-04-09T00:00:00"/>
    <n v="75000"/>
    <x v="2"/>
    <x v="1"/>
  </r>
  <r>
    <s v="P0758"/>
    <x v="371"/>
    <n v="21"/>
    <x v="0"/>
    <x v="0"/>
    <x v="2"/>
    <x v="3"/>
    <x v="0"/>
    <x v="117"/>
    <d v="2024-11-06T00:00:00"/>
    <n v="35000"/>
    <x v="0"/>
    <x v="2"/>
  </r>
  <r>
    <s v="P0759"/>
    <x v="138"/>
    <n v="63"/>
    <x v="1"/>
    <x v="0"/>
    <x v="3"/>
    <x v="5"/>
    <x v="1"/>
    <x v="275"/>
    <d v="2024-10-09T00:00:00"/>
    <n v="20000"/>
    <x v="2"/>
    <x v="4"/>
  </r>
  <r>
    <s v="P0760"/>
    <x v="343"/>
    <n v="9"/>
    <x v="2"/>
    <x v="1"/>
    <x v="3"/>
    <x v="3"/>
    <x v="6"/>
    <x v="174"/>
    <d v="2024-09-28T00:00:00"/>
    <n v="8000"/>
    <x v="2"/>
    <x v="4"/>
  </r>
  <r>
    <s v="P0761"/>
    <x v="77"/>
    <n v="67"/>
    <x v="1"/>
    <x v="0"/>
    <x v="0"/>
    <x v="6"/>
    <x v="1"/>
    <x v="221"/>
    <d v="2024-03-15T00:00:00"/>
    <n v="100000"/>
    <x v="3"/>
    <x v="2"/>
  </r>
  <r>
    <s v="P0762"/>
    <x v="426"/>
    <n v="10"/>
    <x v="2"/>
    <x v="0"/>
    <x v="6"/>
    <x v="0"/>
    <x v="4"/>
    <x v="175"/>
    <d v="2024-03-01T00:00:00"/>
    <n v="15000"/>
    <x v="0"/>
    <x v="4"/>
  </r>
  <r>
    <s v="P0763"/>
    <x v="213"/>
    <n v="15"/>
    <x v="2"/>
    <x v="0"/>
    <x v="6"/>
    <x v="2"/>
    <x v="3"/>
    <x v="162"/>
    <d v="2024-07-04T00:00:00"/>
    <n v="35000"/>
    <x v="0"/>
    <x v="4"/>
  </r>
  <r>
    <s v="P0764"/>
    <x v="427"/>
    <n v="70"/>
    <x v="1"/>
    <x v="1"/>
    <x v="1"/>
    <x v="0"/>
    <x v="4"/>
    <x v="136"/>
    <d v="2024-02-26T00:00:00"/>
    <n v="15000"/>
    <x v="3"/>
    <x v="4"/>
  </r>
  <r>
    <s v="P0765"/>
    <x v="167"/>
    <n v="15"/>
    <x v="2"/>
    <x v="0"/>
    <x v="6"/>
    <x v="3"/>
    <x v="0"/>
    <x v="122"/>
    <d v="2024-01-20T00:00:00"/>
    <n v="50000"/>
    <x v="2"/>
    <x v="4"/>
  </r>
  <r>
    <s v="P0766"/>
    <x v="428"/>
    <n v="86"/>
    <x v="1"/>
    <x v="1"/>
    <x v="1"/>
    <x v="6"/>
    <x v="4"/>
    <x v="279"/>
    <d v="2024-07-10T00:00:00"/>
    <n v="35000"/>
    <x v="0"/>
    <x v="4"/>
  </r>
  <r>
    <s v="P0767"/>
    <x v="416"/>
    <n v="9"/>
    <x v="2"/>
    <x v="1"/>
    <x v="1"/>
    <x v="0"/>
    <x v="1"/>
    <x v="225"/>
    <d v="2024-04-28T00:00:00"/>
    <n v="20000"/>
    <x v="2"/>
    <x v="2"/>
  </r>
  <r>
    <s v="P0768"/>
    <x v="248"/>
    <n v="71"/>
    <x v="1"/>
    <x v="1"/>
    <x v="3"/>
    <x v="1"/>
    <x v="4"/>
    <x v="28"/>
    <d v="2024-08-09T00:00:00"/>
    <n v="15000"/>
    <x v="2"/>
    <x v="0"/>
  </r>
  <r>
    <s v="P0769"/>
    <x v="142"/>
    <s v="Unknown"/>
    <x v="4"/>
    <x v="0"/>
    <x v="0"/>
    <x v="1"/>
    <x v="5"/>
    <x v="251"/>
    <d v="2024-09-01T00:00:00"/>
    <n v="15000"/>
    <x v="2"/>
    <x v="0"/>
  </r>
  <r>
    <s v="P0770"/>
    <x v="55"/>
    <n v="3"/>
    <x v="2"/>
    <x v="1"/>
    <x v="6"/>
    <x v="0"/>
    <x v="2"/>
    <x v="196"/>
    <d v="2024-03-29T00:00:00"/>
    <n v="15000"/>
    <x v="2"/>
    <x v="2"/>
  </r>
  <r>
    <s v="P0771"/>
    <x v="405"/>
    <n v="76"/>
    <x v="1"/>
    <x v="0"/>
    <x v="4"/>
    <x v="1"/>
    <x v="3"/>
    <x v="223"/>
    <d v="2024-05-02T00:00:00"/>
    <n v="8000"/>
    <x v="0"/>
    <x v="1"/>
  </r>
  <r>
    <s v="P0772"/>
    <x v="120"/>
    <n v="42"/>
    <x v="3"/>
    <x v="0"/>
    <x v="6"/>
    <x v="0"/>
    <x v="4"/>
    <x v="149"/>
    <d v="2024-06-13T00:00:00"/>
    <n v="5000"/>
    <x v="1"/>
    <x v="2"/>
  </r>
  <r>
    <s v="P0773"/>
    <x v="144"/>
    <n v="20"/>
    <x v="0"/>
    <x v="0"/>
    <x v="1"/>
    <x v="3"/>
    <x v="4"/>
    <x v="51"/>
    <d v="2024-02-07T00:00:00"/>
    <n v="25000"/>
    <x v="1"/>
    <x v="2"/>
  </r>
  <r>
    <s v="P0774"/>
    <x v="429"/>
    <n v="5"/>
    <x v="2"/>
    <x v="0"/>
    <x v="4"/>
    <x v="3"/>
    <x v="0"/>
    <x v="167"/>
    <d v="2024-08-16T00:00:00"/>
    <n v="25000"/>
    <x v="0"/>
    <x v="1"/>
  </r>
  <r>
    <s v="P0775"/>
    <x v="430"/>
    <s v="Unknown"/>
    <x v="4"/>
    <x v="0"/>
    <x v="6"/>
    <x v="5"/>
    <x v="5"/>
    <x v="223"/>
    <d v="2024-05-07T00:00:00"/>
    <n v="35000"/>
    <x v="0"/>
    <x v="2"/>
  </r>
  <r>
    <s v="P0776"/>
    <x v="110"/>
    <n v="10"/>
    <x v="2"/>
    <x v="0"/>
    <x v="6"/>
    <x v="5"/>
    <x v="3"/>
    <x v="27"/>
    <d v="2024-02-08T00:00:00"/>
    <n v="50000"/>
    <x v="3"/>
    <x v="0"/>
  </r>
  <r>
    <s v="P0777"/>
    <x v="268"/>
    <n v="11"/>
    <x v="2"/>
    <x v="0"/>
    <x v="4"/>
    <x v="2"/>
    <x v="0"/>
    <x v="138"/>
    <d v="2024-09-12T00:00:00"/>
    <n v="25000"/>
    <x v="1"/>
    <x v="3"/>
  </r>
  <r>
    <s v="P0778"/>
    <x v="224"/>
    <n v="76"/>
    <x v="1"/>
    <x v="0"/>
    <x v="6"/>
    <x v="2"/>
    <x v="5"/>
    <x v="274"/>
    <d v="2024-05-16T00:00:00"/>
    <n v="35000"/>
    <x v="1"/>
    <x v="4"/>
  </r>
  <r>
    <s v="P0779"/>
    <x v="163"/>
    <n v="17"/>
    <x v="2"/>
    <x v="0"/>
    <x v="0"/>
    <x v="5"/>
    <x v="0"/>
    <x v="118"/>
    <d v="2024-02-22T00:00:00"/>
    <n v="25000"/>
    <x v="1"/>
    <x v="0"/>
  </r>
  <r>
    <s v="P0780"/>
    <x v="340"/>
    <n v="83"/>
    <x v="1"/>
    <x v="0"/>
    <x v="2"/>
    <x v="2"/>
    <x v="3"/>
    <x v="280"/>
    <d v="2024-05-09T00:00:00"/>
    <n v="20000"/>
    <x v="2"/>
    <x v="4"/>
  </r>
  <r>
    <s v="P0781"/>
    <x v="409"/>
    <n v="34"/>
    <x v="0"/>
    <x v="1"/>
    <x v="6"/>
    <x v="1"/>
    <x v="4"/>
    <x v="178"/>
    <d v="2024-07-15T00:00:00"/>
    <n v="50000"/>
    <x v="2"/>
    <x v="4"/>
  </r>
  <r>
    <s v="P0782"/>
    <x v="144"/>
    <n v="33"/>
    <x v="0"/>
    <x v="1"/>
    <x v="1"/>
    <x v="5"/>
    <x v="6"/>
    <x v="2"/>
    <d v="2024-02-23T00:00:00"/>
    <n v="15000"/>
    <x v="2"/>
    <x v="4"/>
  </r>
  <r>
    <s v="P0783"/>
    <x v="291"/>
    <n v="85"/>
    <x v="1"/>
    <x v="1"/>
    <x v="2"/>
    <x v="4"/>
    <x v="1"/>
    <x v="178"/>
    <d v="2024-07-21T00:00:00"/>
    <n v="5000"/>
    <x v="2"/>
    <x v="2"/>
  </r>
  <r>
    <s v="P0784"/>
    <x v="431"/>
    <n v="52"/>
    <x v="3"/>
    <x v="0"/>
    <x v="3"/>
    <x v="5"/>
    <x v="6"/>
    <x v="73"/>
    <d v="2024-03-27T00:00:00"/>
    <n v="35000"/>
    <x v="2"/>
    <x v="2"/>
  </r>
  <r>
    <s v="P0785"/>
    <x v="399"/>
    <n v="73"/>
    <x v="1"/>
    <x v="1"/>
    <x v="3"/>
    <x v="3"/>
    <x v="0"/>
    <x v="86"/>
    <d v="2024-04-30T00:00:00"/>
    <n v="50000"/>
    <x v="1"/>
    <x v="4"/>
  </r>
  <r>
    <s v="P0786"/>
    <x v="432"/>
    <n v="42"/>
    <x v="3"/>
    <x v="0"/>
    <x v="3"/>
    <x v="1"/>
    <x v="5"/>
    <x v="27"/>
    <d v="2024-03-07T00:00:00"/>
    <n v="12000"/>
    <x v="0"/>
    <x v="4"/>
  </r>
  <r>
    <s v="P0787"/>
    <x v="76"/>
    <n v="78"/>
    <x v="1"/>
    <x v="0"/>
    <x v="0"/>
    <x v="1"/>
    <x v="0"/>
    <x v="117"/>
    <d v="2024-11-03T00:00:00"/>
    <n v="100000"/>
    <x v="2"/>
    <x v="2"/>
  </r>
  <r>
    <s v="P0788"/>
    <x v="433"/>
    <n v="22"/>
    <x v="0"/>
    <x v="1"/>
    <x v="4"/>
    <x v="2"/>
    <x v="2"/>
    <x v="72"/>
    <d v="2024-08-15T00:00:00"/>
    <n v="75000"/>
    <x v="1"/>
    <x v="4"/>
  </r>
  <r>
    <s v="P0789"/>
    <x v="434"/>
    <n v="50"/>
    <x v="3"/>
    <x v="2"/>
    <x v="4"/>
    <x v="0"/>
    <x v="6"/>
    <x v="281"/>
    <d v="2024-09-07T00:00:00"/>
    <n v="20000"/>
    <x v="0"/>
    <x v="4"/>
  </r>
  <r>
    <s v="P0790"/>
    <x v="416"/>
    <n v="70"/>
    <x v="1"/>
    <x v="1"/>
    <x v="4"/>
    <x v="3"/>
    <x v="5"/>
    <x v="57"/>
    <d v="2024-06-17T00:00:00"/>
    <n v="0"/>
    <x v="0"/>
    <x v="1"/>
  </r>
  <r>
    <s v="P0791"/>
    <x v="22"/>
    <n v="78"/>
    <x v="1"/>
    <x v="0"/>
    <x v="3"/>
    <x v="6"/>
    <x v="1"/>
    <x v="88"/>
    <d v="2024-07-23T00:00:00"/>
    <n v="25000"/>
    <x v="0"/>
    <x v="1"/>
  </r>
  <r>
    <s v="P0792"/>
    <x v="17"/>
    <n v="29"/>
    <x v="0"/>
    <x v="0"/>
    <x v="1"/>
    <x v="5"/>
    <x v="4"/>
    <x v="71"/>
    <d v="2024-05-16T00:00:00"/>
    <n v="35000"/>
    <x v="3"/>
    <x v="2"/>
  </r>
  <r>
    <s v="P0793"/>
    <x v="15"/>
    <n v="88"/>
    <x v="1"/>
    <x v="1"/>
    <x v="3"/>
    <x v="2"/>
    <x v="0"/>
    <x v="200"/>
    <d v="2024-04-04T00:00:00"/>
    <n v="75000"/>
    <x v="2"/>
    <x v="2"/>
  </r>
  <r>
    <s v="P0794"/>
    <x v="435"/>
    <n v="75"/>
    <x v="1"/>
    <x v="1"/>
    <x v="0"/>
    <x v="2"/>
    <x v="2"/>
    <x v="282"/>
    <d v="2024-06-15T00:00:00"/>
    <n v="15000"/>
    <x v="3"/>
    <x v="1"/>
  </r>
  <r>
    <s v="P0795"/>
    <x v="113"/>
    <n v="9"/>
    <x v="2"/>
    <x v="0"/>
    <x v="4"/>
    <x v="6"/>
    <x v="2"/>
    <x v="253"/>
    <d v="2024-04-28T00:00:00"/>
    <n v="50000"/>
    <x v="3"/>
    <x v="2"/>
  </r>
  <r>
    <s v="P0796"/>
    <x v="384"/>
    <n v="82"/>
    <x v="1"/>
    <x v="1"/>
    <x v="0"/>
    <x v="5"/>
    <x v="4"/>
    <x v="202"/>
    <d v="2024-05-30T00:00:00"/>
    <n v="35000"/>
    <x v="2"/>
    <x v="2"/>
  </r>
  <r>
    <s v="P0797"/>
    <x v="4"/>
    <s v="Unknown"/>
    <x v="4"/>
    <x v="0"/>
    <x v="1"/>
    <x v="5"/>
    <x v="0"/>
    <x v="11"/>
    <d v="2024-09-08T00:00:00"/>
    <n v="12000"/>
    <x v="3"/>
    <x v="4"/>
  </r>
  <r>
    <s v="P0798"/>
    <x v="436"/>
    <n v="89"/>
    <x v="1"/>
    <x v="0"/>
    <x v="1"/>
    <x v="4"/>
    <x v="6"/>
    <x v="223"/>
    <d v="2024-05-27T00:00:00"/>
    <n v="25000"/>
    <x v="2"/>
    <x v="4"/>
  </r>
  <r>
    <s v="P0799"/>
    <x v="437"/>
    <n v="46"/>
    <x v="3"/>
    <x v="0"/>
    <x v="3"/>
    <x v="6"/>
    <x v="2"/>
    <x v="193"/>
    <d v="2024-11-05T00:00:00"/>
    <n v="50000"/>
    <x v="0"/>
    <x v="2"/>
  </r>
  <r>
    <s v="P0800"/>
    <x v="438"/>
    <n v="16"/>
    <x v="2"/>
    <x v="1"/>
    <x v="4"/>
    <x v="5"/>
    <x v="5"/>
    <x v="260"/>
    <d v="2024-10-09T00:00:00"/>
    <n v="15000"/>
    <x v="3"/>
    <x v="0"/>
  </r>
  <r>
    <s v="P0801"/>
    <x v="19"/>
    <n v="67"/>
    <x v="1"/>
    <x v="1"/>
    <x v="5"/>
    <x v="4"/>
    <x v="6"/>
    <x v="116"/>
    <d v="2024-06-29T00:00:00"/>
    <n v="12000"/>
    <x v="2"/>
    <x v="0"/>
  </r>
  <r>
    <s v="P0802"/>
    <x v="439"/>
    <n v="40"/>
    <x v="3"/>
    <x v="0"/>
    <x v="1"/>
    <x v="3"/>
    <x v="6"/>
    <x v="3"/>
    <d v="2024-08-28T00:00:00"/>
    <n v="20000"/>
    <x v="0"/>
    <x v="0"/>
  </r>
  <r>
    <s v="P0803"/>
    <x v="32"/>
    <n v="26"/>
    <x v="0"/>
    <x v="0"/>
    <x v="2"/>
    <x v="0"/>
    <x v="0"/>
    <x v="112"/>
    <d v="2024-02-21T00:00:00"/>
    <n v="12000"/>
    <x v="3"/>
    <x v="4"/>
  </r>
  <r>
    <s v="P0804"/>
    <x v="356"/>
    <n v="79"/>
    <x v="1"/>
    <x v="0"/>
    <x v="0"/>
    <x v="0"/>
    <x v="4"/>
    <x v="125"/>
    <d v="2024-08-02T00:00:00"/>
    <n v="75000"/>
    <x v="3"/>
    <x v="2"/>
  </r>
  <r>
    <s v="P0805"/>
    <x v="413"/>
    <n v="20"/>
    <x v="0"/>
    <x v="0"/>
    <x v="2"/>
    <x v="2"/>
    <x v="2"/>
    <x v="51"/>
    <d v="2024-02-18T00:00:00"/>
    <n v="8000"/>
    <x v="0"/>
    <x v="1"/>
  </r>
  <r>
    <s v="P0806"/>
    <x v="191"/>
    <n v="5"/>
    <x v="2"/>
    <x v="1"/>
    <x v="2"/>
    <x v="3"/>
    <x v="4"/>
    <x v="113"/>
    <d v="2024-11-02T00:00:00"/>
    <n v="50000"/>
    <x v="1"/>
    <x v="4"/>
  </r>
  <r>
    <s v="P0807"/>
    <x v="140"/>
    <n v="23"/>
    <x v="0"/>
    <x v="0"/>
    <x v="4"/>
    <x v="0"/>
    <x v="3"/>
    <x v="217"/>
    <d v="2024-09-01T00:00:00"/>
    <n v="50000"/>
    <x v="2"/>
    <x v="4"/>
  </r>
  <r>
    <s v="P0808"/>
    <x v="38"/>
    <n v="82"/>
    <x v="1"/>
    <x v="0"/>
    <x v="4"/>
    <x v="0"/>
    <x v="2"/>
    <x v="46"/>
    <d v="2024-05-30T00:00:00"/>
    <n v="8000"/>
    <x v="0"/>
    <x v="2"/>
  </r>
  <r>
    <s v="P0809"/>
    <x v="265"/>
    <n v="90"/>
    <x v="1"/>
    <x v="0"/>
    <x v="5"/>
    <x v="0"/>
    <x v="3"/>
    <x v="281"/>
    <d v="2024-09-08T00:00:00"/>
    <n v="8000"/>
    <x v="3"/>
    <x v="2"/>
  </r>
  <r>
    <s v="P0810"/>
    <x v="81"/>
    <n v="19"/>
    <x v="0"/>
    <x v="0"/>
    <x v="4"/>
    <x v="4"/>
    <x v="2"/>
    <x v="96"/>
    <d v="2024-04-10T00:00:00"/>
    <n v="75000"/>
    <x v="3"/>
    <x v="1"/>
  </r>
  <r>
    <s v="P0811"/>
    <x v="84"/>
    <n v="82"/>
    <x v="1"/>
    <x v="1"/>
    <x v="1"/>
    <x v="1"/>
    <x v="3"/>
    <x v="250"/>
    <d v="2024-11-07T00:00:00"/>
    <n v="20000"/>
    <x v="4"/>
    <x v="0"/>
  </r>
  <r>
    <s v="P0812"/>
    <x v="440"/>
    <n v="79"/>
    <x v="1"/>
    <x v="1"/>
    <x v="0"/>
    <x v="5"/>
    <x v="2"/>
    <x v="235"/>
    <d v="2024-03-26T00:00:00"/>
    <n v="50000"/>
    <x v="3"/>
    <x v="0"/>
  </r>
  <r>
    <s v="P0813"/>
    <x v="56"/>
    <n v="25"/>
    <x v="0"/>
    <x v="0"/>
    <x v="0"/>
    <x v="1"/>
    <x v="2"/>
    <x v="16"/>
    <d v="2024-11-06T00:00:00"/>
    <n v="100000"/>
    <x v="1"/>
    <x v="0"/>
  </r>
  <r>
    <s v="P0814"/>
    <x v="441"/>
    <n v="46"/>
    <x v="3"/>
    <x v="0"/>
    <x v="0"/>
    <x v="4"/>
    <x v="3"/>
    <x v="137"/>
    <d v="2024-07-17T00:00:00"/>
    <n v="100000"/>
    <x v="3"/>
    <x v="1"/>
  </r>
  <r>
    <s v="P0815"/>
    <x v="442"/>
    <n v="6"/>
    <x v="2"/>
    <x v="0"/>
    <x v="0"/>
    <x v="3"/>
    <x v="4"/>
    <x v="39"/>
    <d v="2024-05-06T00:00:00"/>
    <n v="100000"/>
    <x v="1"/>
    <x v="0"/>
  </r>
  <r>
    <s v="P0816"/>
    <x v="275"/>
    <n v="13"/>
    <x v="2"/>
    <x v="0"/>
    <x v="6"/>
    <x v="3"/>
    <x v="2"/>
    <x v="264"/>
    <d v="2024-10-22T00:00:00"/>
    <n v="12000"/>
    <x v="3"/>
    <x v="0"/>
  </r>
  <r>
    <s v="P0817"/>
    <x v="352"/>
    <n v="21"/>
    <x v="0"/>
    <x v="0"/>
    <x v="5"/>
    <x v="1"/>
    <x v="4"/>
    <x v="80"/>
    <d v="2024-05-19T00:00:00"/>
    <n v="25000"/>
    <x v="2"/>
    <x v="0"/>
  </r>
  <r>
    <s v="P0818"/>
    <x v="157"/>
    <n v="9"/>
    <x v="2"/>
    <x v="1"/>
    <x v="4"/>
    <x v="1"/>
    <x v="1"/>
    <x v="227"/>
    <d v="2024-06-13T00:00:00"/>
    <n v="8000"/>
    <x v="3"/>
    <x v="0"/>
  </r>
  <r>
    <s v="P0819"/>
    <x v="443"/>
    <n v="79"/>
    <x v="1"/>
    <x v="0"/>
    <x v="3"/>
    <x v="0"/>
    <x v="2"/>
    <x v="99"/>
    <d v="2024-03-11T00:00:00"/>
    <n v="5000"/>
    <x v="0"/>
    <x v="4"/>
  </r>
  <r>
    <s v="P0820"/>
    <x v="444"/>
    <n v="11"/>
    <x v="2"/>
    <x v="1"/>
    <x v="4"/>
    <x v="5"/>
    <x v="6"/>
    <x v="211"/>
    <d v="2024-06-04T00:00:00"/>
    <n v="50000"/>
    <x v="2"/>
    <x v="2"/>
  </r>
  <r>
    <s v="P0821"/>
    <x v="69"/>
    <n v="69"/>
    <x v="1"/>
    <x v="1"/>
    <x v="2"/>
    <x v="2"/>
    <x v="4"/>
    <x v="140"/>
    <d v="2024-08-02T00:00:00"/>
    <n v="20000"/>
    <x v="1"/>
    <x v="2"/>
  </r>
  <r>
    <s v="P0822"/>
    <x v="445"/>
    <n v="10"/>
    <x v="2"/>
    <x v="0"/>
    <x v="1"/>
    <x v="2"/>
    <x v="4"/>
    <x v="137"/>
    <d v="2024-07-06T00:00:00"/>
    <n v="75000"/>
    <x v="2"/>
    <x v="0"/>
  </r>
  <r>
    <s v="P0823"/>
    <x v="446"/>
    <n v="88"/>
    <x v="1"/>
    <x v="0"/>
    <x v="2"/>
    <x v="1"/>
    <x v="0"/>
    <x v="283"/>
    <d v="2024-10-20T00:00:00"/>
    <n v="12000"/>
    <x v="0"/>
    <x v="2"/>
  </r>
  <r>
    <s v="P0824"/>
    <x v="189"/>
    <n v="1"/>
    <x v="2"/>
    <x v="0"/>
    <x v="2"/>
    <x v="3"/>
    <x v="3"/>
    <x v="154"/>
    <d v="2024-09-12T00:00:00"/>
    <n v="0"/>
    <x v="0"/>
    <x v="2"/>
  </r>
  <r>
    <s v="P0825"/>
    <x v="209"/>
    <n v="51"/>
    <x v="3"/>
    <x v="1"/>
    <x v="4"/>
    <x v="0"/>
    <x v="4"/>
    <x v="98"/>
    <d v="2024-03-07T00:00:00"/>
    <n v="12000"/>
    <x v="2"/>
    <x v="0"/>
  </r>
  <r>
    <s v="P0826"/>
    <x v="396"/>
    <n v="56"/>
    <x v="3"/>
    <x v="1"/>
    <x v="3"/>
    <x v="6"/>
    <x v="4"/>
    <x v="41"/>
    <d v="2024-01-27T00:00:00"/>
    <n v="5000"/>
    <x v="2"/>
    <x v="4"/>
  </r>
  <r>
    <s v="P0827"/>
    <x v="25"/>
    <s v="Unknown"/>
    <x v="4"/>
    <x v="1"/>
    <x v="2"/>
    <x v="2"/>
    <x v="0"/>
    <x v="284"/>
    <d v="2024-06-01T00:00:00"/>
    <n v="75000"/>
    <x v="3"/>
    <x v="1"/>
  </r>
  <r>
    <s v="P0828"/>
    <x v="80"/>
    <n v="23"/>
    <x v="0"/>
    <x v="1"/>
    <x v="5"/>
    <x v="5"/>
    <x v="3"/>
    <x v="220"/>
    <d v="2024-02-13T00:00:00"/>
    <n v="25000"/>
    <x v="2"/>
    <x v="1"/>
  </r>
  <r>
    <s v="P0829"/>
    <x v="447"/>
    <n v="11"/>
    <x v="2"/>
    <x v="2"/>
    <x v="6"/>
    <x v="2"/>
    <x v="3"/>
    <x v="129"/>
    <d v="2024-05-24T00:00:00"/>
    <n v="12000"/>
    <x v="0"/>
    <x v="0"/>
  </r>
  <r>
    <s v="P0830"/>
    <x v="448"/>
    <s v="Unknown"/>
    <x v="4"/>
    <x v="0"/>
    <x v="3"/>
    <x v="0"/>
    <x v="5"/>
    <x v="213"/>
    <d v="2024-02-05T00:00:00"/>
    <n v="12000"/>
    <x v="0"/>
    <x v="1"/>
  </r>
  <r>
    <s v="P0831"/>
    <x v="253"/>
    <n v="74"/>
    <x v="1"/>
    <x v="0"/>
    <x v="4"/>
    <x v="4"/>
    <x v="6"/>
    <x v="149"/>
    <d v="2024-07-01T00:00:00"/>
    <n v="35000"/>
    <x v="3"/>
    <x v="0"/>
  </r>
  <r>
    <s v="P0832"/>
    <x v="332"/>
    <n v="71"/>
    <x v="1"/>
    <x v="1"/>
    <x v="2"/>
    <x v="3"/>
    <x v="4"/>
    <x v="20"/>
    <d v="2024-07-02T00:00:00"/>
    <n v="12000"/>
    <x v="1"/>
    <x v="4"/>
  </r>
  <r>
    <s v="P0833"/>
    <x v="395"/>
    <n v="60"/>
    <x v="1"/>
    <x v="1"/>
    <x v="2"/>
    <x v="1"/>
    <x v="4"/>
    <x v="285"/>
    <d v="2024-03-14T00:00:00"/>
    <n v="35000"/>
    <x v="3"/>
    <x v="1"/>
  </r>
  <r>
    <s v="P0834"/>
    <x v="449"/>
    <n v="56"/>
    <x v="3"/>
    <x v="0"/>
    <x v="1"/>
    <x v="1"/>
    <x v="4"/>
    <x v="220"/>
    <d v="2024-08-20T00:00:00"/>
    <n v="20000"/>
    <x v="2"/>
    <x v="4"/>
  </r>
  <r>
    <s v="P0835"/>
    <x v="211"/>
    <n v="28"/>
    <x v="0"/>
    <x v="1"/>
    <x v="1"/>
    <x v="6"/>
    <x v="5"/>
    <x v="210"/>
    <d v="2024-07-19T00:00:00"/>
    <n v="12000"/>
    <x v="1"/>
    <x v="2"/>
  </r>
  <r>
    <s v="P0836"/>
    <x v="211"/>
    <n v="27"/>
    <x v="0"/>
    <x v="2"/>
    <x v="3"/>
    <x v="3"/>
    <x v="3"/>
    <x v="286"/>
    <d v="2024-04-14T00:00:00"/>
    <n v="8000"/>
    <x v="3"/>
    <x v="4"/>
  </r>
  <r>
    <s v="P0837"/>
    <x v="124"/>
    <n v="10"/>
    <x v="2"/>
    <x v="1"/>
    <x v="3"/>
    <x v="4"/>
    <x v="2"/>
    <x v="10"/>
    <d v="2024-04-02T00:00:00"/>
    <n v="50000"/>
    <x v="2"/>
    <x v="1"/>
  </r>
  <r>
    <s v="P0838"/>
    <x v="111"/>
    <n v="2"/>
    <x v="2"/>
    <x v="0"/>
    <x v="1"/>
    <x v="2"/>
    <x v="4"/>
    <x v="191"/>
    <d v="2024-09-17T00:00:00"/>
    <n v="100000"/>
    <x v="3"/>
    <x v="1"/>
  </r>
  <r>
    <s v="P0839"/>
    <x v="374"/>
    <n v="26"/>
    <x v="0"/>
    <x v="1"/>
    <x v="5"/>
    <x v="4"/>
    <x v="0"/>
    <x v="14"/>
    <d v="2024-08-17T00:00:00"/>
    <n v="75000"/>
    <x v="1"/>
    <x v="4"/>
  </r>
  <r>
    <s v="P0840"/>
    <x v="303"/>
    <n v="19"/>
    <x v="0"/>
    <x v="0"/>
    <x v="0"/>
    <x v="5"/>
    <x v="0"/>
    <x v="12"/>
    <d v="2024-04-17T00:00:00"/>
    <n v="75000"/>
    <x v="2"/>
    <x v="1"/>
  </r>
  <r>
    <s v="P0841"/>
    <x v="169"/>
    <n v="42"/>
    <x v="3"/>
    <x v="0"/>
    <x v="4"/>
    <x v="0"/>
    <x v="2"/>
    <x v="287"/>
    <d v="2024-10-24T00:00:00"/>
    <n v="75000"/>
    <x v="0"/>
    <x v="4"/>
  </r>
  <r>
    <s v="P0842"/>
    <x v="329"/>
    <n v="86"/>
    <x v="1"/>
    <x v="1"/>
    <x v="0"/>
    <x v="2"/>
    <x v="0"/>
    <x v="140"/>
    <d v="2024-08-06T00:00:00"/>
    <n v="12000"/>
    <x v="0"/>
    <x v="0"/>
  </r>
  <r>
    <s v="P0843"/>
    <x v="450"/>
    <n v="2"/>
    <x v="2"/>
    <x v="0"/>
    <x v="4"/>
    <x v="3"/>
    <x v="5"/>
    <x v="255"/>
    <d v="2024-01-21T00:00:00"/>
    <n v="100000"/>
    <x v="3"/>
    <x v="4"/>
  </r>
  <r>
    <s v="P0844"/>
    <x v="451"/>
    <n v="73"/>
    <x v="1"/>
    <x v="0"/>
    <x v="2"/>
    <x v="1"/>
    <x v="3"/>
    <x v="91"/>
    <d v="2024-10-07T00:00:00"/>
    <n v="12000"/>
    <x v="3"/>
    <x v="4"/>
  </r>
  <r>
    <s v="P0845"/>
    <x v="255"/>
    <n v="37"/>
    <x v="0"/>
    <x v="1"/>
    <x v="5"/>
    <x v="6"/>
    <x v="0"/>
    <x v="190"/>
    <d v="2024-05-08T00:00:00"/>
    <n v="20000"/>
    <x v="2"/>
    <x v="0"/>
  </r>
  <r>
    <s v="P0846"/>
    <x v="437"/>
    <n v="37"/>
    <x v="0"/>
    <x v="0"/>
    <x v="1"/>
    <x v="6"/>
    <x v="1"/>
    <x v="65"/>
    <d v="2024-07-22T00:00:00"/>
    <n v="75000"/>
    <x v="3"/>
    <x v="4"/>
  </r>
  <r>
    <s v="P0847"/>
    <x v="12"/>
    <n v="65"/>
    <x v="1"/>
    <x v="1"/>
    <x v="1"/>
    <x v="2"/>
    <x v="6"/>
    <x v="166"/>
    <d v="2024-08-14T00:00:00"/>
    <n v="25000"/>
    <x v="1"/>
    <x v="2"/>
  </r>
  <r>
    <s v="P0848"/>
    <x v="384"/>
    <n v="18"/>
    <x v="0"/>
    <x v="1"/>
    <x v="4"/>
    <x v="3"/>
    <x v="2"/>
    <x v="54"/>
    <d v="2024-03-21T00:00:00"/>
    <n v="50000"/>
    <x v="0"/>
    <x v="0"/>
  </r>
  <r>
    <s v="P0849"/>
    <x v="452"/>
    <n v="55"/>
    <x v="3"/>
    <x v="1"/>
    <x v="4"/>
    <x v="6"/>
    <x v="1"/>
    <x v="163"/>
    <d v="2024-11-01T00:00:00"/>
    <n v="100000"/>
    <x v="3"/>
    <x v="1"/>
  </r>
  <r>
    <s v="P0850"/>
    <x v="387"/>
    <n v="18"/>
    <x v="0"/>
    <x v="0"/>
    <x v="1"/>
    <x v="3"/>
    <x v="5"/>
    <x v="104"/>
    <d v="2024-06-24T00:00:00"/>
    <n v="20000"/>
    <x v="0"/>
    <x v="0"/>
  </r>
  <r>
    <s v="P0851"/>
    <x v="324"/>
    <n v="37"/>
    <x v="0"/>
    <x v="0"/>
    <x v="2"/>
    <x v="6"/>
    <x v="6"/>
    <x v="49"/>
    <d v="2024-05-20T00:00:00"/>
    <n v="8000"/>
    <x v="0"/>
    <x v="2"/>
  </r>
  <r>
    <s v="P0852"/>
    <x v="453"/>
    <n v="62"/>
    <x v="1"/>
    <x v="0"/>
    <x v="4"/>
    <x v="4"/>
    <x v="2"/>
    <x v="24"/>
    <d v="2024-08-12T00:00:00"/>
    <n v="5000"/>
    <x v="3"/>
    <x v="1"/>
  </r>
  <r>
    <s v="P0853"/>
    <x v="420"/>
    <n v="35"/>
    <x v="0"/>
    <x v="1"/>
    <x v="6"/>
    <x v="0"/>
    <x v="3"/>
    <x v="84"/>
    <d v="2024-05-23T00:00:00"/>
    <n v="5000"/>
    <x v="0"/>
    <x v="2"/>
  </r>
  <r>
    <s v="P0854"/>
    <x v="177"/>
    <n v="34"/>
    <x v="0"/>
    <x v="0"/>
    <x v="4"/>
    <x v="5"/>
    <x v="3"/>
    <x v="4"/>
    <d v="2024-08-22T00:00:00"/>
    <n v="20000"/>
    <x v="1"/>
    <x v="1"/>
  </r>
  <r>
    <s v="P0855"/>
    <x v="173"/>
    <n v="84"/>
    <x v="1"/>
    <x v="0"/>
    <x v="4"/>
    <x v="2"/>
    <x v="3"/>
    <x v="288"/>
    <d v="2024-04-22T00:00:00"/>
    <n v="5000"/>
    <x v="1"/>
    <x v="2"/>
  </r>
  <r>
    <s v="P0856"/>
    <x v="189"/>
    <n v="63"/>
    <x v="1"/>
    <x v="0"/>
    <x v="0"/>
    <x v="0"/>
    <x v="1"/>
    <x v="21"/>
    <d v="2024-05-14T00:00:00"/>
    <n v="100000"/>
    <x v="3"/>
    <x v="2"/>
  </r>
  <r>
    <s v="P0857"/>
    <x v="248"/>
    <n v="5"/>
    <x v="2"/>
    <x v="0"/>
    <x v="4"/>
    <x v="5"/>
    <x v="3"/>
    <x v="253"/>
    <d v="2024-04-17T00:00:00"/>
    <n v="20000"/>
    <x v="0"/>
    <x v="1"/>
  </r>
  <r>
    <s v="P0858"/>
    <x v="454"/>
    <n v="23"/>
    <x v="0"/>
    <x v="1"/>
    <x v="2"/>
    <x v="3"/>
    <x v="4"/>
    <x v="213"/>
    <d v="2024-02-21T00:00:00"/>
    <n v="5000"/>
    <x v="1"/>
    <x v="1"/>
  </r>
  <r>
    <s v="P0859"/>
    <x v="157"/>
    <n v="17"/>
    <x v="2"/>
    <x v="1"/>
    <x v="3"/>
    <x v="0"/>
    <x v="6"/>
    <x v="170"/>
    <d v="2024-02-21T00:00:00"/>
    <n v="100000"/>
    <x v="2"/>
    <x v="1"/>
  </r>
  <r>
    <s v="P0860"/>
    <x v="364"/>
    <n v="72"/>
    <x v="1"/>
    <x v="0"/>
    <x v="3"/>
    <x v="1"/>
    <x v="0"/>
    <x v="82"/>
    <d v="2024-09-22T00:00:00"/>
    <n v="75000"/>
    <x v="3"/>
    <x v="4"/>
  </r>
  <r>
    <s v="P0861"/>
    <x v="86"/>
    <n v="82"/>
    <x v="1"/>
    <x v="0"/>
    <x v="4"/>
    <x v="4"/>
    <x v="2"/>
    <x v="215"/>
    <d v="2024-05-11T00:00:00"/>
    <n v="20000"/>
    <x v="2"/>
    <x v="1"/>
  </r>
  <r>
    <s v="P0862"/>
    <x v="94"/>
    <n v="72"/>
    <x v="1"/>
    <x v="0"/>
    <x v="7"/>
    <x v="3"/>
    <x v="6"/>
    <x v="275"/>
    <d v="2024-10-17T00:00:00"/>
    <n v="100000"/>
    <x v="0"/>
    <x v="4"/>
  </r>
  <r>
    <s v="P0863"/>
    <x v="149"/>
    <n v="68"/>
    <x v="1"/>
    <x v="0"/>
    <x v="6"/>
    <x v="5"/>
    <x v="3"/>
    <x v="289"/>
    <d v="2024-08-31T00:00:00"/>
    <n v="12000"/>
    <x v="0"/>
    <x v="4"/>
  </r>
  <r>
    <s v="P0864"/>
    <x v="353"/>
    <n v="90"/>
    <x v="1"/>
    <x v="1"/>
    <x v="2"/>
    <x v="4"/>
    <x v="2"/>
    <x v="224"/>
    <d v="2024-02-06T00:00:00"/>
    <n v="50000"/>
    <x v="1"/>
    <x v="4"/>
  </r>
  <r>
    <s v="P0865"/>
    <x v="270"/>
    <n v="56"/>
    <x v="3"/>
    <x v="0"/>
    <x v="3"/>
    <x v="6"/>
    <x v="4"/>
    <x v="102"/>
    <d v="2024-05-16T00:00:00"/>
    <n v="35000"/>
    <x v="0"/>
    <x v="2"/>
  </r>
  <r>
    <s v="P0866"/>
    <x v="445"/>
    <n v="63"/>
    <x v="1"/>
    <x v="0"/>
    <x v="0"/>
    <x v="5"/>
    <x v="3"/>
    <x v="260"/>
    <d v="2024-10-01T00:00:00"/>
    <n v="20000"/>
    <x v="2"/>
    <x v="4"/>
  </r>
  <r>
    <s v="P0867"/>
    <x v="455"/>
    <n v="67"/>
    <x v="1"/>
    <x v="0"/>
    <x v="2"/>
    <x v="5"/>
    <x v="5"/>
    <x v="22"/>
    <d v="2024-05-28T00:00:00"/>
    <n v="5000"/>
    <x v="3"/>
    <x v="2"/>
  </r>
  <r>
    <s v="P0868"/>
    <x v="400"/>
    <n v="42"/>
    <x v="3"/>
    <x v="0"/>
    <x v="1"/>
    <x v="6"/>
    <x v="4"/>
    <x v="172"/>
    <d v="2024-10-23T00:00:00"/>
    <n v="20000"/>
    <x v="3"/>
    <x v="1"/>
  </r>
  <r>
    <s v="P0869"/>
    <x v="456"/>
    <n v="84"/>
    <x v="1"/>
    <x v="0"/>
    <x v="4"/>
    <x v="4"/>
    <x v="4"/>
    <x v="146"/>
    <d v="2024-03-21T00:00:00"/>
    <n v="8000"/>
    <x v="2"/>
    <x v="1"/>
  </r>
  <r>
    <s v="P0870"/>
    <x v="134"/>
    <n v="88"/>
    <x v="1"/>
    <x v="1"/>
    <x v="0"/>
    <x v="6"/>
    <x v="5"/>
    <x v="195"/>
    <d v="2024-08-13T00:00:00"/>
    <n v="25000"/>
    <x v="2"/>
    <x v="4"/>
  </r>
  <r>
    <s v="P0871"/>
    <x v="125"/>
    <n v="82"/>
    <x v="1"/>
    <x v="0"/>
    <x v="1"/>
    <x v="2"/>
    <x v="4"/>
    <x v="40"/>
    <d v="2024-08-22T00:00:00"/>
    <n v="8000"/>
    <x v="0"/>
    <x v="2"/>
  </r>
  <r>
    <s v="P0872"/>
    <x v="15"/>
    <n v="62"/>
    <x v="1"/>
    <x v="1"/>
    <x v="0"/>
    <x v="6"/>
    <x v="1"/>
    <x v="179"/>
    <d v="2024-08-20T00:00:00"/>
    <n v="5000"/>
    <x v="2"/>
    <x v="1"/>
  </r>
  <r>
    <s v="P0873"/>
    <x v="25"/>
    <n v="88"/>
    <x v="1"/>
    <x v="0"/>
    <x v="0"/>
    <x v="0"/>
    <x v="4"/>
    <x v="103"/>
    <d v="2024-07-02T00:00:00"/>
    <n v="8000"/>
    <x v="2"/>
    <x v="0"/>
  </r>
  <r>
    <s v="P0874"/>
    <x v="457"/>
    <n v="5"/>
    <x v="2"/>
    <x v="1"/>
    <x v="5"/>
    <x v="2"/>
    <x v="2"/>
    <x v="111"/>
    <d v="2024-11-15T00:00:00"/>
    <n v="20000"/>
    <x v="2"/>
    <x v="0"/>
  </r>
  <r>
    <s v="P0875"/>
    <x v="458"/>
    <n v="58"/>
    <x v="3"/>
    <x v="0"/>
    <x v="6"/>
    <x v="5"/>
    <x v="0"/>
    <x v="104"/>
    <d v="2024-01-10T00:00:00"/>
    <n v="20000"/>
    <x v="3"/>
    <x v="0"/>
  </r>
  <r>
    <s v="P0876"/>
    <x v="459"/>
    <n v="41"/>
    <x v="3"/>
    <x v="1"/>
    <x v="0"/>
    <x v="4"/>
    <x v="1"/>
    <x v="42"/>
    <d v="2024-09-01T00:00:00"/>
    <n v="5000"/>
    <x v="0"/>
    <x v="4"/>
  </r>
  <r>
    <s v="P0877"/>
    <x v="177"/>
    <n v="20"/>
    <x v="0"/>
    <x v="0"/>
    <x v="4"/>
    <x v="5"/>
    <x v="5"/>
    <x v="159"/>
    <d v="2024-06-18T00:00:00"/>
    <n v="100000"/>
    <x v="1"/>
    <x v="1"/>
  </r>
  <r>
    <s v="P0878"/>
    <x v="98"/>
    <n v="8"/>
    <x v="2"/>
    <x v="1"/>
    <x v="2"/>
    <x v="5"/>
    <x v="2"/>
    <x v="289"/>
    <d v="2024-09-05T00:00:00"/>
    <n v="25000"/>
    <x v="1"/>
    <x v="0"/>
  </r>
  <r>
    <s v="P0879"/>
    <x v="460"/>
    <n v="83"/>
    <x v="1"/>
    <x v="1"/>
    <x v="6"/>
    <x v="6"/>
    <x v="4"/>
    <x v="232"/>
    <d v="2024-10-26T00:00:00"/>
    <n v="75000"/>
    <x v="2"/>
    <x v="4"/>
  </r>
  <r>
    <s v="P0880"/>
    <x v="373"/>
    <n v="53"/>
    <x v="3"/>
    <x v="0"/>
    <x v="3"/>
    <x v="2"/>
    <x v="1"/>
    <x v="34"/>
    <d v="2024-04-23T00:00:00"/>
    <n v="5000"/>
    <x v="1"/>
    <x v="1"/>
  </r>
  <r>
    <s v="P0881"/>
    <x v="39"/>
    <n v="11"/>
    <x v="2"/>
    <x v="1"/>
    <x v="5"/>
    <x v="3"/>
    <x v="6"/>
    <x v="207"/>
    <d v="2024-04-06T00:00:00"/>
    <n v="20000"/>
    <x v="2"/>
    <x v="1"/>
  </r>
  <r>
    <s v="P0882"/>
    <x v="214"/>
    <n v="54"/>
    <x v="3"/>
    <x v="0"/>
    <x v="1"/>
    <x v="5"/>
    <x v="5"/>
    <x v="229"/>
    <d v="2024-10-10T00:00:00"/>
    <n v="25000"/>
    <x v="1"/>
    <x v="2"/>
  </r>
  <r>
    <s v="P0883"/>
    <x v="202"/>
    <n v="33"/>
    <x v="0"/>
    <x v="1"/>
    <x v="6"/>
    <x v="1"/>
    <x v="3"/>
    <x v="124"/>
    <d v="2024-03-07T00:00:00"/>
    <n v="12000"/>
    <x v="2"/>
    <x v="2"/>
  </r>
  <r>
    <s v="P0884"/>
    <x v="444"/>
    <n v="78"/>
    <x v="1"/>
    <x v="1"/>
    <x v="6"/>
    <x v="4"/>
    <x v="6"/>
    <x v="254"/>
    <d v="2024-02-26T00:00:00"/>
    <n v="20000"/>
    <x v="3"/>
    <x v="2"/>
  </r>
  <r>
    <s v="P0885"/>
    <x v="3"/>
    <n v="42"/>
    <x v="3"/>
    <x v="0"/>
    <x v="0"/>
    <x v="5"/>
    <x v="0"/>
    <x v="81"/>
    <d v="2024-11-05T00:00:00"/>
    <n v="15000"/>
    <x v="3"/>
    <x v="2"/>
  </r>
  <r>
    <s v="P0886"/>
    <x v="377"/>
    <n v="14"/>
    <x v="2"/>
    <x v="1"/>
    <x v="2"/>
    <x v="1"/>
    <x v="2"/>
    <x v="252"/>
    <d v="2024-04-22T00:00:00"/>
    <n v="0"/>
    <x v="1"/>
    <x v="0"/>
  </r>
  <r>
    <s v="P0887"/>
    <x v="165"/>
    <n v="34"/>
    <x v="0"/>
    <x v="1"/>
    <x v="4"/>
    <x v="6"/>
    <x v="3"/>
    <x v="145"/>
    <d v="2024-06-17T00:00:00"/>
    <n v="5000"/>
    <x v="3"/>
    <x v="4"/>
  </r>
  <r>
    <s v="P0888"/>
    <x v="461"/>
    <n v="62"/>
    <x v="1"/>
    <x v="0"/>
    <x v="6"/>
    <x v="1"/>
    <x v="1"/>
    <x v="118"/>
    <d v="2024-03-11T00:00:00"/>
    <n v="20000"/>
    <x v="1"/>
    <x v="4"/>
  </r>
  <r>
    <s v="P0889"/>
    <x v="410"/>
    <n v="53"/>
    <x v="3"/>
    <x v="0"/>
    <x v="1"/>
    <x v="0"/>
    <x v="0"/>
    <x v="3"/>
    <d v="2024-08-31T00:00:00"/>
    <n v="5000"/>
    <x v="2"/>
    <x v="3"/>
  </r>
  <r>
    <s v="P0890"/>
    <x v="190"/>
    <n v="69"/>
    <x v="1"/>
    <x v="0"/>
    <x v="5"/>
    <x v="4"/>
    <x v="1"/>
    <x v="127"/>
    <d v="2024-03-25T00:00:00"/>
    <n v="20000"/>
    <x v="3"/>
    <x v="4"/>
  </r>
  <r>
    <s v="P0891"/>
    <x v="220"/>
    <s v="Unknown"/>
    <x v="4"/>
    <x v="1"/>
    <x v="6"/>
    <x v="5"/>
    <x v="2"/>
    <x v="145"/>
    <d v="2024-06-30T00:00:00"/>
    <n v="0"/>
    <x v="1"/>
    <x v="0"/>
  </r>
  <r>
    <s v="P0892"/>
    <x v="297"/>
    <n v="35"/>
    <x v="0"/>
    <x v="0"/>
    <x v="0"/>
    <x v="4"/>
    <x v="4"/>
    <x v="133"/>
    <d v="2024-02-26T00:00:00"/>
    <n v="25000"/>
    <x v="1"/>
    <x v="2"/>
  </r>
  <r>
    <s v="P0893"/>
    <x v="462"/>
    <n v="6"/>
    <x v="2"/>
    <x v="1"/>
    <x v="1"/>
    <x v="5"/>
    <x v="0"/>
    <x v="36"/>
    <d v="2024-01-18T00:00:00"/>
    <n v="20000"/>
    <x v="3"/>
    <x v="4"/>
  </r>
  <r>
    <s v="P0894"/>
    <x v="320"/>
    <n v="27"/>
    <x v="0"/>
    <x v="1"/>
    <x v="0"/>
    <x v="2"/>
    <x v="4"/>
    <x v="168"/>
    <d v="2024-07-28T00:00:00"/>
    <n v="15000"/>
    <x v="3"/>
    <x v="1"/>
  </r>
  <r>
    <s v="P0895"/>
    <x v="256"/>
    <n v="62"/>
    <x v="1"/>
    <x v="1"/>
    <x v="1"/>
    <x v="2"/>
    <x v="2"/>
    <x v="148"/>
    <d v="2024-09-14T00:00:00"/>
    <n v="75000"/>
    <x v="2"/>
    <x v="3"/>
  </r>
  <r>
    <s v="P0896"/>
    <x v="379"/>
    <n v="25"/>
    <x v="0"/>
    <x v="0"/>
    <x v="0"/>
    <x v="4"/>
    <x v="5"/>
    <x v="63"/>
    <d v="2024-11-02T00:00:00"/>
    <n v="25000"/>
    <x v="2"/>
    <x v="1"/>
  </r>
  <r>
    <s v="P0897"/>
    <x v="237"/>
    <n v="83"/>
    <x v="1"/>
    <x v="0"/>
    <x v="2"/>
    <x v="2"/>
    <x v="0"/>
    <x v="60"/>
    <d v="2024-09-17T00:00:00"/>
    <n v="15000"/>
    <x v="1"/>
    <x v="4"/>
  </r>
  <r>
    <s v="P0898"/>
    <x v="463"/>
    <n v="80"/>
    <x v="1"/>
    <x v="0"/>
    <x v="0"/>
    <x v="2"/>
    <x v="1"/>
    <x v="252"/>
    <d v="2024-04-27T00:00:00"/>
    <n v="25000"/>
    <x v="2"/>
    <x v="0"/>
  </r>
  <r>
    <s v="P0899"/>
    <x v="43"/>
    <n v="75"/>
    <x v="1"/>
    <x v="1"/>
    <x v="4"/>
    <x v="4"/>
    <x v="5"/>
    <x v="48"/>
    <d v="2024-08-26T00:00:00"/>
    <n v="8000"/>
    <x v="2"/>
    <x v="1"/>
  </r>
  <r>
    <s v="P0900"/>
    <x v="282"/>
    <n v="76"/>
    <x v="1"/>
    <x v="1"/>
    <x v="4"/>
    <x v="1"/>
    <x v="5"/>
    <x v="12"/>
    <d v="2024-05-07T00:00:00"/>
    <n v="15000"/>
    <x v="0"/>
    <x v="4"/>
  </r>
  <r>
    <s v="P0901"/>
    <x v="464"/>
    <n v="61"/>
    <x v="1"/>
    <x v="0"/>
    <x v="5"/>
    <x v="5"/>
    <x v="4"/>
    <x v="203"/>
    <d v="2024-04-28T00:00:00"/>
    <n v="15000"/>
    <x v="2"/>
    <x v="4"/>
  </r>
  <r>
    <s v="P0902"/>
    <x v="465"/>
    <n v="60"/>
    <x v="1"/>
    <x v="0"/>
    <x v="1"/>
    <x v="3"/>
    <x v="5"/>
    <x v="120"/>
    <d v="2024-10-09T00:00:00"/>
    <n v="35000"/>
    <x v="1"/>
    <x v="2"/>
  </r>
  <r>
    <s v="P0903"/>
    <x v="19"/>
    <n v="82"/>
    <x v="1"/>
    <x v="1"/>
    <x v="6"/>
    <x v="0"/>
    <x v="6"/>
    <x v="112"/>
    <d v="2024-02-20T00:00:00"/>
    <n v="8000"/>
    <x v="0"/>
    <x v="4"/>
  </r>
  <r>
    <s v="P0904"/>
    <x v="80"/>
    <n v="44"/>
    <x v="3"/>
    <x v="1"/>
    <x v="5"/>
    <x v="3"/>
    <x v="2"/>
    <x v="128"/>
    <d v="2024-01-25T00:00:00"/>
    <n v="15000"/>
    <x v="2"/>
    <x v="2"/>
  </r>
  <r>
    <s v="P0905"/>
    <x v="230"/>
    <n v="57"/>
    <x v="3"/>
    <x v="0"/>
    <x v="7"/>
    <x v="6"/>
    <x v="5"/>
    <x v="24"/>
    <d v="2024-07-21T00:00:00"/>
    <n v="20000"/>
    <x v="0"/>
    <x v="0"/>
  </r>
  <r>
    <s v="P0906"/>
    <x v="466"/>
    <n v="56"/>
    <x v="3"/>
    <x v="1"/>
    <x v="4"/>
    <x v="0"/>
    <x v="5"/>
    <x v="152"/>
    <d v="2024-07-09T00:00:00"/>
    <n v="25000"/>
    <x v="1"/>
    <x v="0"/>
  </r>
  <r>
    <s v="P0907"/>
    <x v="395"/>
    <n v="81"/>
    <x v="1"/>
    <x v="1"/>
    <x v="4"/>
    <x v="0"/>
    <x v="5"/>
    <x v="39"/>
    <d v="2024-05-09T00:00:00"/>
    <n v="12000"/>
    <x v="2"/>
    <x v="2"/>
  </r>
  <r>
    <s v="P0908"/>
    <x v="152"/>
    <n v="44"/>
    <x v="3"/>
    <x v="1"/>
    <x v="3"/>
    <x v="6"/>
    <x v="5"/>
    <x v="181"/>
    <d v="2024-02-27T00:00:00"/>
    <n v="100000"/>
    <x v="3"/>
    <x v="0"/>
  </r>
  <r>
    <s v="P0909"/>
    <x v="462"/>
    <n v="85"/>
    <x v="1"/>
    <x v="1"/>
    <x v="5"/>
    <x v="0"/>
    <x v="3"/>
    <x v="157"/>
    <d v="2024-04-07T00:00:00"/>
    <n v="75000"/>
    <x v="3"/>
    <x v="2"/>
  </r>
  <r>
    <s v="P0910"/>
    <x v="141"/>
    <n v="45"/>
    <x v="3"/>
    <x v="1"/>
    <x v="4"/>
    <x v="3"/>
    <x v="2"/>
    <x v="83"/>
    <d v="2024-04-10T00:00:00"/>
    <n v="50000"/>
    <x v="2"/>
    <x v="0"/>
  </r>
  <r>
    <s v="P0911"/>
    <x v="467"/>
    <n v="4"/>
    <x v="2"/>
    <x v="0"/>
    <x v="3"/>
    <x v="4"/>
    <x v="2"/>
    <x v="237"/>
    <d v="2024-07-20T00:00:00"/>
    <n v="50000"/>
    <x v="1"/>
    <x v="0"/>
  </r>
  <r>
    <s v="P0912"/>
    <x v="468"/>
    <n v="18"/>
    <x v="0"/>
    <x v="1"/>
    <x v="1"/>
    <x v="0"/>
    <x v="1"/>
    <x v="229"/>
    <d v="2024-10-10T00:00:00"/>
    <n v="8000"/>
    <x v="1"/>
    <x v="1"/>
  </r>
  <r>
    <s v="P0913"/>
    <x v="384"/>
    <n v="55"/>
    <x v="3"/>
    <x v="0"/>
    <x v="6"/>
    <x v="6"/>
    <x v="6"/>
    <x v="263"/>
    <d v="2024-10-11T00:00:00"/>
    <n v="12000"/>
    <x v="2"/>
    <x v="4"/>
  </r>
  <r>
    <s v="P0914"/>
    <x v="430"/>
    <n v="26"/>
    <x v="0"/>
    <x v="0"/>
    <x v="3"/>
    <x v="3"/>
    <x v="4"/>
    <x v="81"/>
    <d v="2024-10-13T00:00:00"/>
    <n v="50000"/>
    <x v="0"/>
    <x v="0"/>
  </r>
  <r>
    <s v="P0915"/>
    <x v="336"/>
    <n v="45"/>
    <x v="3"/>
    <x v="1"/>
    <x v="3"/>
    <x v="4"/>
    <x v="3"/>
    <x v="206"/>
    <d v="2024-06-23T00:00:00"/>
    <n v="8000"/>
    <x v="3"/>
    <x v="1"/>
  </r>
  <r>
    <s v="P0916"/>
    <x v="453"/>
    <n v="49"/>
    <x v="3"/>
    <x v="1"/>
    <x v="4"/>
    <x v="2"/>
    <x v="6"/>
    <x v="85"/>
    <d v="2024-07-09T00:00:00"/>
    <n v="75000"/>
    <x v="1"/>
    <x v="0"/>
  </r>
  <r>
    <s v="P0917"/>
    <x v="167"/>
    <n v="89"/>
    <x v="1"/>
    <x v="0"/>
    <x v="5"/>
    <x v="4"/>
    <x v="5"/>
    <x v="175"/>
    <d v="2024-01-22T00:00:00"/>
    <n v="12000"/>
    <x v="2"/>
    <x v="0"/>
  </r>
  <r>
    <s v="P0918"/>
    <x v="76"/>
    <n v="57"/>
    <x v="3"/>
    <x v="1"/>
    <x v="2"/>
    <x v="5"/>
    <x v="7"/>
    <x v="253"/>
    <d v="2024-04-19T00:00:00"/>
    <n v="75000"/>
    <x v="3"/>
    <x v="1"/>
  </r>
  <r>
    <s v="P0919"/>
    <x v="193"/>
    <n v="84"/>
    <x v="1"/>
    <x v="1"/>
    <x v="0"/>
    <x v="5"/>
    <x v="0"/>
    <x v="287"/>
    <d v="2024-11-01T00:00:00"/>
    <n v="15000"/>
    <x v="0"/>
    <x v="2"/>
  </r>
  <r>
    <s v="P0920"/>
    <x v="469"/>
    <n v="82"/>
    <x v="1"/>
    <x v="1"/>
    <x v="4"/>
    <x v="2"/>
    <x v="0"/>
    <x v="234"/>
    <d v="2024-09-20T00:00:00"/>
    <n v="8000"/>
    <x v="3"/>
    <x v="0"/>
  </r>
  <r>
    <s v="P0921"/>
    <x v="48"/>
    <n v="65"/>
    <x v="1"/>
    <x v="2"/>
    <x v="5"/>
    <x v="4"/>
    <x v="4"/>
    <x v="63"/>
    <d v="2024-10-20T00:00:00"/>
    <n v="5000"/>
    <x v="2"/>
    <x v="2"/>
  </r>
  <r>
    <s v="P0922"/>
    <x v="66"/>
    <n v="57"/>
    <x v="3"/>
    <x v="0"/>
    <x v="4"/>
    <x v="6"/>
    <x v="2"/>
    <x v="98"/>
    <d v="2024-03-06T00:00:00"/>
    <n v="5000"/>
    <x v="1"/>
    <x v="1"/>
  </r>
  <r>
    <s v="P0923"/>
    <x v="275"/>
    <n v="3"/>
    <x v="2"/>
    <x v="1"/>
    <x v="0"/>
    <x v="3"/>
    <x v="6"/>
    <x v="113"/>
    <d v="2024-11-14T00:00:00"/>
    <n v="15000"/>
    <x v="3"/>
    <x v="4"/>
  </r>
  <r>
    <s v="P0924"/>
    <x v="339"/>
    <n v="63"/>
    <x v="1"/>
    <x v="0"/>
    <x v="3"/>
    <x v="2"/>
    <x v="6"/>
    <x v="208"/>
    <d v="2024-06-21T00:00:00"/>
    <n v="75000"/>
    <x v="3"/>
    <x v="0"/>
  </r>
  <r>
    <s v="P0925"/>
    <x v="470"/>
    <n v="5"/>
    <x v="2"/>
    <x v="1"/>
    <x v="0"/>
    <x v="1"/>
    <x v="5"/>
    <x v="138"/>
    <d v="2024-03-08T00:00:00"/>
    <n v="25000"/>
    <x v="0"/>
    <x v="0"/>
  </r>
  <r>
    <s v="P0926"/>
    <x v="267"/>
    <n v="47"/>
    <x v="3"/>
    <x v="0"/>
    <x v="0"/>
    <x v="4"/>
    <x v="1"/>
    <x v="256"/>
    <d v="2024-05-13T00:00:00"/>
    <n v="50000"/>
    <x v="3"/>
    <x v="4"/>
  </r>
  <r>
    <s v="P0927"/>
    <x v="323"/>
    <n v="21"/>
    <x v="0"/>
    <x v="0"/>
    <x v="5"/>
    <x v="3"/>
    <x v="3"/>
    <x v="17"/>
    <d v="2024-08-20T00:00:00"/>
    <n v="12000"/>
    <x v="3"/>
    <x v="0"/>
  </r>
  <r>
    <s v="P0928"/>
    <x v="263"/>
    <n v="5"/>
    <x v="2"/>
    <x v="0"/>
    <x v="3"/>
    <x v="3"/>
    <x v="1"/>
    <x v="290"/>
    <d v="2024-03-06T00:00:00"/>
    <n v="20000"/>
    <x v="2"/>
    <x v="1"/>
  </r>
  <r>
    <s v="P0929"/>
    <x v="281"/>
    <n v="41"/>
    <x v="3"/>
    <x v="0"/>
    <x v="4"/>
    <x v="5"/>
    <x v="5"/>
    <x v="258"/>
    <d v="2024-02-25T00:00:00"/>
    <n v="5000"/>
    <x v="3"/>
    <x v="0"/>
  </r>
  <r>
    <s v="P0930"/>
    <x v="182"/>
    <n v="61"/>
    <x v="1"/>
    <x v="1"/>
    <x v="5"/>
    <x v="6"/>
    <x v="2"/>
    <x v="109"/>
    <d v="2024-09-20T00:00:00"/>
    <n v="5000"/>
    <x v="3"/>
    <x v="0"/>
  </r>
  <r>
    <s v="P0931"/>
    <x v="368"/>
    <n v="90"/>
    <x v="1"/>
    <x v="1"/>
    <x v="6"/>
    <x v="5"/>
    <x v="1"/>
    <x v="194"/>
    <d v="2024-06-27T00:00:00"/>
    <n v="8000"/>
    <x v="1"/>
    <x v="1"/>
  </r>
  <r>
    <s v="P0932"/>
    <x v="207"/>
    <n v="73"/>
    <x v="1"/>
    <x v="1"/>
    <x v="4"/>
    <x v="1"/>
    <x v="0"/>
    <x v="290"/>
    <d v="2024-03-19T00:00:00"/>
    <n v="5000"/>
    <x v="0"/>
    <x v="0"/>
  </r>
  <r>
    <s v="P0933"/>
    <x v="70"/>
    <n v="54"/>
    <x v="3"/>
    <x v="1"/>
    <x v="5"/>
    <x v="6"/>
    <x v="3"/>
    <x v="242"/>
    <d v="2024-05-09T00:00:00"/>
    <n v="8000"/>
    <x v="0"/>
    <x v="4"/>
  </r>
  <r>
    <s v="P0934"/>
    <x v="191"/>
    <n v="87"/>
    <x v="1"/>
    <x v="1"/>
    <x v="5"/>
    <x v="3"/>
    <x v="5"/>
    <x v="35"/>
    <d v="2024-07-30T00:00:00"/>
    <n v="20000"/>
    <x v="1"/>
    <x v="2"/>
  </r>
  <r>
    <s v="P0935"/>
    <x v="124"/>
    <n v="35"/>
    <x v="0"/>
    <x v="1"/>
    <x v="6"/>
    <x v="2"/>
    <x v="4"/>
    <x v="75"/>
    <d v="2024-04-21T00:00:00"/>
    <n v="12000"/>
    <x v="1"/>
    <x v="1"/>
  </r>
  <r>
    <s v="P0936"/>
    <x v="166"/>
    <n v="88"/>
    <x v="1"/>
    <x v="0"/>
    <x v="3"/>
    <x v="4"/>
    <x v="2"/>
    <x v="256"/>
    <d v="2024-09-07T00:00:00"/>
    <n v="100000"/>
    <x v="3"/>
    <x v="0"/>
  </r>
  <r>
    <s v="P0937"/>
    <x v="384"/>
    <n v="11"/>
    <x v="2"/>
    <x v="1"/>
    <x v="4"/>
    <x v="5"/>
    <x v="6"/>
    <x v="273"/>
    <d v="2024-11-07T00:00:00"/>
    <n v="50000"/>
    <x v="0"/>
    <x v="1"/>
  </r>
  <r>
    <s v="P0938"/>
    <x v="62"/>
    <n v="82"/>
    <x v="1"/>
    <x v="0"/>
    <x v="5"/>
    <x v="3"/>
    <x v="3"/>
    <x v="128"/>
    <d v="2024-02-10T00:00:00"/>
    <n v="50000"/>
    <x v="3"/>
    <x v="0"/>
  </r>
  <r>
    <s v="P0939"/>
    <x v="95"/>
    <n v="84"/>
    <x v="1"/>
    <x v="1"/>
    <x v="4"/>
    <x v="2"/>
    <x v="6"/>
    <x v="287"/>
    <d v="2024-10-24T00:00:00"/>
    <n v="0"/>
    <x v="1"/>
    <x v="0"/>
  </r>
  <r>
    <s v="P0940"/>
    <x v="262"/>
    <n v="61"/>
    <x v="1"/>
    <x v="0"/>
    <x v="4"/>
    <x v="3"/>
    <x v="5"/>
    <x v="44"/>
    <d v="2024-04-11T00:00:00"/>
    <n v="50000"/>
    <x v="3"/>
    <x v="1"/>
  </r>
  <r>
    <s v="P0941"/>
    <x v="222"/>
    <n v="88"/>
    <x v="1"/>
    <x v="1"/>
    <x v="3"/>
    <x v="0"/>
    <x v="0"/>
    <x v="57"/>
    <d v="2024-09-13T00:00:00"/>
    <n v="15000"/>
    <x v="0"/>
    <x v="2"/>
  </r>
  <r>
    <s v="P0942"/>
    <x v="282"/>
    <n v="82"/>
    <x v="1"/>
    <x v="1"/>
    <x v="0"/>
    <x v="5"/>
    <x v="1"/>
    <x v="118"/>
    <d v="2024-03-18T00:00:00"/>
    <n v="35000"/>
    <x v="2"/>
    <x v="1"/>
  </r>
  <r>
    <s v="P0943"/>
    <x v="135"/>
    <n v="84"/>
    <x v="1"/>
    <x v="0"/>
    <x v="1"/>
    <x v="3"/>
    <x v="0"/>
    <x v="44"/>
    <d v="2024-04-16T00:00:00"/>
    <n v="50000"/>
    <x v="0"/>
    <x v="0"/>
  </r>
  <r>
    <s v="P0944"/>
    <x v="471"/>
    <n v="34"/>
    <x v="0"/>
    <x v="1"/>
    <x v="6"/>
    <x v="0"/>
    <x v="0"/>
    <x v="116"/>
    <d v="2024-06-29T00:00:00"/>
    <n v="8000"/>
    <x v="3"/>
    <x v="1"/>
  </r>
  <r>
    <s v="P0945"/>
    <x v="176"/>
    <n v="21"/>
    <x v="0"/>
    <x v="1"/>
    <x v="5"/>
    <x v="2"/>
    <x v="0"/>
    <x v="263"/>
    <d v="2024-10-22T00:00:00"/>
    <n v="8000"/>
    <x v="1"/>
    <x v="4"/>
  </r>
  <r>
    <s v="P0946"/>
    <x v="230"/>
    <n v="85"/>
    <x v="1"/>
    <x v="2"/>
    <x v="2"/>
    <x v="1"/>
    <x v="2"/>
    <x v="233"/>
    <d v="2024-05-12T00:00:00"/>
    <n v="8000"/>
    <x v="1"/>
    <x v="1"/>
  </r>
  <r>
    <s v="P0947"/>
    <x v="472"/>
    <n v="87"/>
    <x v="1"/>
    <x v="0"/>
    <x v="5"/>
    <x v="3"/>
    <x v="3"/>
    <x v="208"/>
    <d v="2024-06-04T00:00:00"/>
    <n v="0"/>
    <x v="2"/>
    <x v="2"/>
  </r>
  <r>
    <s v="P0948"/>
    <x v="473"/>
    <n v="34"/>
    <x v="0"/>
    <x v="1"/>
    <x v="4"/>
    <x v="5"/>
    <x v="0"/>
    <x v="109"/>
    <d v="2024-09-27T00:00:00"/>
    <n v="5000"/>
    <x v="2"/>
    <x v="0"/>
  </r>
  <r>
    <s v="P0949"/>
    <x v="70"/>
    <n v="18"/>
    <x v="0"/>
    <x v="0"/>
    <x v="1"/>
    <x v="2"/>
    <x v="5"/>
    <x v="279"/>
    <d v="2024-07-10T00:00:00"/>
    <n v="12000"/>
    <x v="1"/>
    <x v="0"/>
  </r>
  <r>
    <s v="P0950"/>
    <x v="203"/>
    <n v="84"/>
    <x v="1"/>
    <x v="1"/>
    <x v="3"/>
    <x v="0"/>
    <x v="5"/>
    <x v="110"/>
    <d v="2024-02-17T00:00:00"/>
    <n v="35000"/>
    <x v="0"/>
    <x v="3"/>
  </r>
  <r>
    <s v="P0951"/>
    <x v="278"/>
    <n v="68"/>
    <x v="1"/>
    <x v="0"/>
    <x v="0"/>
    <x v="1"/>
    <x v="1"/>
    <x v="132"/>
    <d v="2024-10-22T00:00:00"/>
    <n v="25000"/>
    <x v="1"/>
    <x v="0"/>
  </r>
  <r>
    <s v="P0952"/>
    <x v="213"/>
    <n v="20"/>
    <x v="0"/>
    <x v="0"/>
    <x v="3"/>
    <x v="3"/>
    <x v="2"/>
    <x v="42"/>
    <d v="2024-08-21T00:00:00"/>
    <n v="5000"/>
    <x v="2"/>
    <x v="4"/>
  </r>
  <r>
    <s v="P0953"/>
    <x v="474"/>
    <n v="25"/>
    <x v="0"/>
    <x v="0"/>
    <x v="1"/>
    <x v="5"/>
    <x v="1"/>
    <x v="279"/>
    <d v="2024-07-05T00:00:00"/>
    <n v="20000"/>
    <x v="2"/>
    <x v="1"/>
  </r>
  <r>
    <s v="P0954"/>
    <x v="100"/>
    <n v="74"/>
    <x v="1"/>
    <x v="0"/>
    <x v="2"/>
    <x v="5"/>
    <x v="1"/>
    <x v="84"/>
    <d v="2024-05-11T00:00:00"/>
    <n v="12000"/>
    <x v="2"/>
    <x v="4"/>
  </r>
  <r>
    <s v="P0955"/>
    <x v="227"/>
    <s v="Unknown"/>
    <x v="4"/>
    <x v="0"/>
    <x v="3"/>
    <x v="4"/>
    <x v="6"/>
    <x v="119"/>
    <d v="2024-03-20T00:00:00"/>
    <n v="50000"/>
    <x v="2"/>
    <x v="1"/>
  </r>
  <r>
    <s v="P0956"/>
    <x v="432"/>
    <n v="89"/>
    <x v="1"/>
    <x v="0"/>
    <x v="4"/>
    <x v="6"/>
    <x v="5"/>
    <x v="281"/>
    <d v="2024-09-08T00:00:00"/>
    <n v="0"/>
    <x v="3"/>
    <x v="0"/>
  </r>
  <r>
    <s v="P0957"/>
    <x v="17"/>
    <n v="11"/>
    <x v="2"/>
    <x v="0"/>
    <x v="4"/>
    <x v="5"/>
    <x v="1"/>
    <x v="222"/>
    <d v="2024-06-28T00:00:00"/>
    <n v="100000"/>
    <x v="2"/>
    <x v="2"/>
  </r>
  <r>
    <s v="P0958"/>
    <x v="475"/>
    <n v="55"/>
    <x v="3"/>
    <x v="1"/>
    <x v="4"/>
    <x v="6"/>
    <x v="1"/>
    <x v="54"/>
    <d v="2024-03-18T00:00:00"/>
    <n v="100000"/>
    <x v="3"/>
    <x v="2"/>
  </r>
  <r>
    <s v="P0959"/>
    <x v="61"/>
    <n v="29"/>
    <x v="0"/>
    <x v="1"/>
    <x v="3"/>
    <x v="3"/>
    <x v="0"/>
    <x v="286"/>
    <d v="2024-03-27T00:00:00"/>
    <n v="0"/>
    <x v="3"/>
    <x v="1"/>
  </r>
  <r>
    <s v="P0960"/>
    <x v="476"/>
    <n v="82"/>
    <x v="1"/>
    <x v="0"/>
    <x v="6"/>
    <x v="5"/>
    <x v="3"/>
    <x v="291"/>
    <d v="2024-04-19T00:00:00"/>
    <n v="12000"/>
    <x v="0"/>
    <x v="0"/>
  </r>
  <r>
    <s v="P0961"/>
    <x v="477"/>
    <n v="46"/>
    <x v="3"/>
    <x v="1"/>
    <x v="4"/>
    <x v="1"/>
    <x v="3"/>
    <x v="241"/>
    <d v="2024-09-10T00:00:00"/>
    <n v="5000"/>
    <x v="2"/>
    <x v="2"/>
  </r>
  <r>
    <s v="P0962"/>
    <x v="58"/>
    <n v="22"/>
    <x v="0"/>
    <x v="0"/>
    <x v="1"/>
    <x v="4"/>
    <x v="3"/>
    <x v="116"/>
    <d v="2024-07-18T00:00:00"/>
    <n v="35000"/>
    <x v="1"/>
    <x v="0"/>
  </r>
  <r>
    <s v="P0963"/>
    <x v="183"/>
    <n v="43"/>
    <x v="3"/>
    <x v="1"/>
    <x v="2"/>
    <x v="3"/>
    <x v="5"/>
    <x v="290"/>
    <d v="2024-03-19T00:00:00"/>
    <n v="0"/>
    <x v="0"/>
    <x v="0"/>
  </r>
  <r>
    <s v="P0964"/>
    <x v="242"/>
    <n v="1"/>
    <x v="2"/>
    <x v="1"/>
    <x v="2"/>
    <x v="4"/>
    <x v="5"/>
    <x v="137"/>
    <d v="2024-07-01T00:00:00"/>
    <n v="100000"/>
    <x v="3"/>
    <x v="2"/>
  </r>
  <r>
    <s v="P0965"/>
    <x v="67"/>
    <n v="31"/>
    <x v="0"/>
    <x v="1"/>
    <x v="3"/>
    <x v="5"/>
    <x v="6"/>
    <x v="266"/>
    <d v="2024-09-10T00:00:00"/>
    <n v="20000"/>
    <x v="2"/>
    <x v="4"/>
  </r>
  <r>
    <s v="P0966"/>
    <x v="175"/>
    <n v="47"/>
    <x v="3"/>
    <x v="1"/>
    <x v="6"/>
    <x v="4"/>
    <x v="2"/>
    <x v="69"/>
    <d v="2024-11-13T00:00:00"/>
    <n v="75000"/>
    <x v="2"/>
    <x v="2"/>
  </r>
  <r>
    <s v="P0967"/>
    <x v="478"/>
    <n v="81"/>
    <x v="1"/>
    <x v="0"/>
    <x v="3"/>
    <x v="4"/>
    <x v="2"/>
    <x v="292"/>
    <d v="2024-05-31T00:00:00"/>
    <n v="15000"/>
    <x v="0"/>
    <x v="2"/>
  </r>
  <r>
    <s v="P0968"/>
    <x v="154"/>
    <n v="8"/>
    <x v="2"/>
    <x v="0"/>
    <x v="0"/>
    <x v="4"/>
    <x v="4"/>
    <x v="231"/>
    <d v="2024-10-22T00:00:00"/>
    <n v="15000"/>
    <x v="2"/>
    <x v="1"/>
  </r>
  <r>
    <s v="P0969"/>
    <x v="173"/>
    <n v="16"/>
    <x v="2"/>
    <x v="1"/>
    <x v="2"/>
    <x v="2"/>
    <x v="5"/>
    <x v="265"/>
    <d v="2024-01-13T00:00:00"/>
    <n v="20000"/>
    <x v="2"/>
    <x v="4"/>
  </r>
  <r>
    <s v="P0970"/>
    <x v="301"/>
    <n v="74"/>
    <x v="1"/>
    <x v="1"/>
    <x v="1"/>
    <x v="5"/>
    <x v="6"/>
    <x v="57"/>
    <d v="2024-06-28T00:00:00"/>
    <n v="8000"/>
    <x v="1"/>
    <x v="0"/>
  </r>
  <r>
    <s v="P0971"/>
    <x v="479"/>
    <n v="87"/>
    <x v="1"/>
    <x v="0"/>
    <x v="0"/>
    <x v="6"/>
    <x v="3"/>
    <x v="266"/>
    <d v="2024-09-06T00:00:00"/>
    <n v="0"/>
    <x v="1"/>
    <x v="4"/>
  </r>
  <r>
    <s v="P0972"/>
    <x v="461"/>
    <n v="54"/>
    <x v="3"/>
    <x v="1"/>
    <x v="1"/>
    <x v="6"/>
    <x v="4"/>
    <x v="32"/>
    <d v="2024-04-30T00:00:00"/>
    <n v="100000"/>
    <x v="3"/>
    <x v="1"/>
  </r>
  <r>
    <s v="P0973"/>
    <x v="246"/>
    <n v="39"/>
    <x v="0"/>
    <x v="0"/>
    <x v="1"/>
    <x v="0"/>
    <x v="1"/>
    <x v="24"/>
    <d v="2024-07-19T00:00:00"/>
    <n v="5000"/>
    <x v="2"/>
    <x v="0"/>
  </r>
  <r>
    <s v="P0974"/>
    <x v="34"/>
    <s v="Unknown"/>
    <x v="4"/>
    <x v="1"/>
    <x v="3"/>
    <x v="4"/>
    <x v="3"/>
    <x v="203"/>
    <d v="2024-04-25T00:00:00"/>
    <n v="20000"/>
    <x v="0"/>
    <x v="0"/>
  </r>
  <r>
    <s v="P0975"/>
    <x v="47"/>
    <n v="87"/>
    <x v="1"/>
    <x v="0"/>
    <x v="5"/>
    <x v="1"/>
    <x v="5"/>
    <x v="24"/>
    <d v="2024-07-21T00:00:00"/>
    <n v="100000"/>
    <x v="3"/>
    <x v="4"/>
  </r>
  <r>
    <s v="P0976"/>
    <x v="403"/>
    <n v="7"/>
    <x v="2"/>
    <x v="0"/>
    <x v="0"/>
    <x v="6"/>
    <x v="6"/>
    <x v="203"/>
    <d v="2024-04-22T00:00:00"/>
    <n v="35000"/>
    <x v="3"/>
    <x v="2"/>
  </r>
  <r>
    <s v="P0977"/>
    <x v="114"/>
    <n v="31"/>
    <x v="0"/>
    <x v="1"/>
    <x v="1"/>
    <x v="2"/>
    <x v="5"/>
    <x v="5"/>
    <d v="2024-02-27T00:00:00"/>
    <n v="100000"/>
    <x v="3"/>
    <x v="1"/>
  </r>
  <r>
    <s v="P0978"/>
    <x v="480"/>
    <n v="45"/>
    <x v="3"/>
    <x v="1"/>
    <x v="3"/>
    <x v="5"/>
    <x v="6"/>
    <x v="238"/>
    <d v="2024-09-26T00:00:00"/>
    <n v="12000"/>
    <x v="0"/>
    <x v="0"/>
  </r>
  <r>
    <s v="P0979"/>
    <x v="481"/>
    <n v="29"/>
    <x v="0"/>
    <x v="0"/>
    <x v="3"/>
    <x v="1"/>
    <x v="3"/>
    <x v="112"/>
    <d v="2024-01-26T00:00:00"/>
    <n v="15000"/>
    <x v="3"/>
    <x v="0"/>
  </r>
  <r>
    <s v="P0980"/>
    <x v="327"/>
    <n v="53"/>
    <x v="3"/>
    <x v="0"/>
    <x v="5"/>
    <x v="4"/>
    <x v="3"/>
    <x v="293"/>
    <d v="2024-04-25T00:00:00"/>
    <n v="50000"/>
    <x v="2"/>
    <x v="1"/>
  </r>
  <r>
    <s v="P0981"/>
    <x v="394"/>
    <n v="23"/>
    <x v="0"/>
    <x v="0"/>
    <x v="0"/>
    <x v="0"/>
    <x v="2"/>
    <x v="101"/>
    <d v="2024-10-09T00:00:00"/>
    <n v="75000"/>
    <x v="3"/>
    <x v="1"/>
  </r>
  <r>
    <s v="P0982"/>
    <x v="182"/>
    <n v="63"/>
    <x v="1"/>
    <x v="0"/>
    <x v="6"/>
    <x v="1"/>
    <x v="6"/>
    <x v="285"/>
    <d v="2024-09-14T00:00:00"/>
    <n v="0"/>
    <x v="3"/>
    <x v="4"/>
  </r>
  <r>
    <s v="P0983"/>
    <x v="254"/>
    <n v="29"/>
    <x v="0"/>
    <x v="0"/>
    <x v="3"/>
    <x v="2"/>
    <x v="0"/>
    <x v="17"/>
    <d v="2024-09-07T00:00:00"/>
    <n v="50000"/>
    <x v="0"/>
    <x v="2"/>
  </r>
  <r>
    <s v="P0984"/>
    <x v="283"/>
    <n v="39"/>
    <x v="0"/>
    <x v="1"/>
    <x v="0"/>
    <x v="2"/>
    <x v="3"/>
    <x v="174"/>
    <d v="2024-10-13T00:00:00"/>
    <n v="5000"/>
    <x v="2"/>
    <x v="4"/>
  </r>
  <r>
    <s v="P0985"/>
    <x v="379"/>
    <n v="5"/>
    <x v="2"/>
    <x v="0"/>
    <x v="0"/>
    <x v="4"/>
    <x v="3"/>
    <x v="240"/>
    <d v="2024-08-31T00:00:00"/>
    <n v="8000"/>
    <x v="4"/>
    <x v="1"/>
  </r>
  <r>
    <s v="P0986"/>
    <x v="482"/>
    <n v="86"/>
    <x v="1"/>
    <x v="0"/>
    <x v="4"/>
    <x v="3"/>
    <x v="2"/>
    <x v="241"/>
    <d v="2024-09-19T00:00:00"/>
    <n v="75000"/>
    <x v="1"/>
    <x v="0"/>
  </r>
  <r>
    <s v="P0987"/>
    <x v="483"/>
    <n v="7"/>
    <x v="2"/>
    <x v="1"/>
    <x v="1"/>
    <x v="4"/>
    <x v="2"/>
    <x v="29"/>
    <d v="2024-05-03T00:00:00"/>
    <n v="15000"/>
    <x v="3"/>
    <x v="1"/>
  </r>
  <r>
    <s v="P0988"/>
    <x v="283"/>
    <n v="89"/>
    <x v="1"/>
    <x v="1"/>
    <x v="1"/>
    <x v="0"/>
    <x v="4"/>
    <x v="258"/>
    <d v="2024-02-16T00:00:00"/>
    <n v="50000"/>
    <x v="3"/>
    <x v="2"/>
  </r>
  <r>
    <s v="P0989"/>
    <x v="484"/>
    <s v="Unknown"/>
    <x v="4"/>
    <x v="0"/>
    <x v="5"/>
    <x v="4"/>
    <x v="4"/>
    <x v="63"/>
    <d v="2024-10-25T00:00:00"/>
    <n v="8000"/>
    <x v="0"/>
    <x v="1"/>
  </r>
  <r>
    <s v="P0990"/>
    <x v="132"/>
    <n v="25"/>
    <x v="0"/>
    <x v="0"/>
    <x v="6"/>
    <x v="3"/>
    <x v="5"/>
    <x v="294"/>
    <d v="2024-04-21T00:00:00"/>
    <n v="0"/>
    <x v="0"/>
    <x v="2"/>
  </r>
  <r>
    <s v="P0991"/>
    <x v="485"/>
    <n v="79"/>
    <x v="1"/>
    <x v="1"/>
    <x v="1"/>
    <x v="3"/>
    <x v="0"/>
    <x v="30"/>
    <d v="2024-03-08T00:00:00"/>
    <n v="35000"/>
    <x v="2"/>
    <x v="2"/>
  </r>
  <r>
    <s v="P0992"/>
    <x v="486"/>
    <n v="25"/>
    <x v="0"/>
    <x v="0"/>
    <x v="6"/>
    <x v="3"/>
    <x v="4"/>
    <x v="177"/>
    <d v="2024-08-13T00:00:00"/>
    <n v="8000"/>
    <x v="1"/>
    <x v="4"/>
  </r>
  <r>
    <s v="P0993"/>
    <x v="255"/>
    <n v="56"/>
    <x v="3"/>
    <x v="1"/>
    <x v="1"/>
    <x v="1"/>
    <x v="4"/>
    <x v="25"/>
    <d v="2024-03-06T00:00:00"/>
    <n v="12000"/>
    <x v="3"/>
    <x v="2"/>
  </r>
  <r>
    <s v="P0994"/>
    <x v="188"/>
    <n v="15"/>
    <x v="2"/>
    <x v="1"/>
    <x v="5"/>
    <x v="4"/>
    <x v="0"/>
    <x v="223"/>
    <d v="2024-05-05T00:00:00"/>
    <n v="8000"/>
    <x v="2"/>
    <x v="0"/>
  </r>
  <r>
    <s v="P0995"/>
    <x v="71"/>
    <n v="63"/>
    <x v="1"/>
    <x v="1"/>
    <x v="6"/>
    <x v="5"/>
    <x v="5"/>
    <x v="62"/>
    <d v="2024-09-11T00:00:00"/>
    <n v="20000"/>
    <x v="2"/>
    <x v="2"/>
  </r>
  <r>
    <s v="P0996"/>
    <x v="235"/>
    <n v="4"/>
    <x v="2"/>
    <x v="0"/>
    <x v="4"/>
    <x v="1"/>
    <x v="6"/>
    <x v="55"/>
    <d v="2024-04-19T00:00:00"/>
    <n v="5000"/>
    <x v="3"/>
    <x v="4"/>
  </r>
  <r>
    <s v="P0997"/>
    <x v="171"/>
    <n v="36"/>
    <x v="0"/>
    <x v="0"/>
    <x v="0"/>
    <x v="4"/>
    <x v="0"/>
    <x v="34"/>
    <d v="2024-04-01T00:00:00"/>
    <n v="15000"/>
    <x v="1"/>
    <x v="0"/>
  </r>
  <r>
    <s v="P0998"/>
    <x v="19"/>
    <n v="33"/>
    <x v="0"/>
    <x v="1"/>
    <x v="1"/>
    <x v="1"/>
    <x v="2"/>
    <x v="242"/>
    <d v="2024-05-13T00:00:00"/>
    <n v="35000"/>
    <x v="3"/>
    <x v="4"/>
  </r>
  <r>
    <s v="P0999"/>
    <x v="91"/>
    <n v="62"/>
    <x v="1"/>
    <x v="1"/>
    <x v="1"/>
    <x v="5"/>
    <x v="3"/>
    <x v="285"/>
    <d v="2024-09-22T00:00:00"/>
    <n v="5000"/>
    <x v="4"/>
    <x v="0"/>
  </r>
  <r>
    <s v="P1000"/>
    <x v="20"/>
    <n v="52"/>
    <x v="3"/>
    <x v="0"/>
    <x v="4"/>
    <x v="1"/>
    <x v="2"/>
    <x v="140"/>
    <d v="2024-07-31T00:00:00"/>
    <n v="15000"/>
    <x v="3"/>
    <x v="2"/>
  </r>
  <r>
    <s v="P1001"/>
    <x v="51"/>
    <s v="Unknown"/>
    <x v="4"/>
    <x v="0"/>
    <x v="6"/>
    <x v="2"/>
    <x v="2"/>
    <x v="252"/>
    <d v="2024-04-10T00:00:00"/>
    <n v="35000"/>
    <x v="0"/>
    <x v="4"/>
  </r>
  <r>
    <s v="P1002"/>
    <x v="487"/>
    <n v="10"/>
    <x v="2"/>
    <x v="0"/>
    <x v="3"/>
    <x v="5"/>
    <x v="2"/>
    <x v="155"/>
    <d v="2024-10-06T00:00:00"/>
    <n v="5000"/>
    <x v="2"/>
    <x v="1"/>
  </r>
  <r>
    <s v="P1003"/>
    <x v="271"/>
    <n v="73"/>
    <x v="1"/>
    <x v="1"/>
    <x v="4"/>
    <x v="1"/>
    <x v="5"/>
    <x v="83"/>
    <d v="2024-04-08T00:00:00"/>
    <n v="35000"/>
    <x v="1"/>
    <x v="2"/>
  </r>
  <r>
    <s v="P1004"/>
    <x v="164"/>
    <n v="40"/>
    <x v="3"/>
    <x v="0"/>
    <x v="2"/>
    <x v="1"/>
    <x v="3"/>
    <x v="253"/>
    <d v="2024-10-01T00:00:00"/>
    <n v="25000"/>
    <x v="3"/>
    <x v="2"/>
  </r>
  <r>
    <s v="P1005"/>
    <x v="450"/>
    <n v="12"/>
    <x v="2"/>
    <x v="1"/>
    <x v="6"/>
    <x v="0"/>
    <x v="2"/>
    <x v="13"/>
    <d v="2024-03-24T00:00:00"/>
    <n v="800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56D1C3-0D75-45F7-B55C-777B5FE6F28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0:H26" firstHeaderRow="1" firstDataRow="1" firstDataCol="1"/>
  <pivotFields count="14">
    <pivotField showAll="0"/>
    <pivotField dataField="1" showAll="0" includeNewItemsInFilter="1"/>
    <pivotField showAll="0"/>
    <pivotField showAll="0">
      <items count="6">
        <item x="2"/>
        <item x="3"/>
        <item x="1"/>
        <item x="4"/>
        <item x="0"/>
        <item t="default"/>
      </items>
    </pivotField>
    <pivotField showAll="0"/>
    <pivotField showAll="0">
      <items count="9">
        <item x="1"/>
        <item x="4"/>
        <item x="2"/>
        <item x="0"/>
        <item x="3"/>
        <item x="5"/>
        <item x="6"/>
        <item x="7"/>
        <item t="default"/>
      </items>
    </pivotField>
    <pivotField showAll="0">
      <items count="8">
        <item x="6"/>
        <item x="5"/>
        <item x="3"/>
        <item x="2"/>
        <item x="1"/>
        <item x="0"/>
        <item x="4"/>
        <item t="default"/>
      </items>
    </pivotField>
    <pivotField showAll="0">
      <items count="9">
        <item x="0"/>
        <item x="3"/>
        <item x="2"/>
        <item x="6"/>
        <item x="7"/>
        <item x="4"/>
        <item x="1"/>
        <item x="5"/>
        <item t="default"/>
      </items>
    </pivotField>
    <pivotField showAll="0">
      <items count="296">
        <item x="123"/>
        <item x="112"/>
        <item x="124"/>
        <item x="160"/>
        <item x="280"/>
        <item x="50"/>
        <item x="103"/>
        <item x="125"/>
        <item x="87"/>
        <item x="61"/>
        <item x="224"/>
        <item x="122"/>
        <item x="95"/>
        <item x="36"/>
        <item x="128"/>
        <item x="41"/>
        <item x="142"/>
        <item x="107"/>
        <item x="110"/>
        <item x="213"/>
        <item x="51"/>
        <item x="53"/>
        <item x="114"/>
        <item x="144"/>
        <item x="170"/>
        <item x="108"/>
        <item x="5"/>
        <item x="254"/>
        <item x="74"/>
        <item x="175"/>
        <item x="146"/>
        <item x="252"/>
        <item x="135"/>
        <item x="26"/>
        <item x="162"/>
        <item x="220"/>
        <item x="138"/>
        <item x="171"/>
        <item x="23"/>
        <item x="258"/>
        <item x="0"/>
        <item x="226"/>
        <item x="198"/>
        <item x="158"/>
        <item x="30"/>
        <item x="118"/>
        <item x="205"/>
        <item x="54"/>
        <item x="94"/>
        <item x="15"/>
        <item x="98"/>
        <item x="181"/>
        <item x="25"/>
        <item x="13"/>
        <item x="221"/>
        <item x="290"/>
        <item x="147"/>
        <item x="119"/>
        <item x="153"/>
        <item x="233"/>
        <item x="85"/>
        <item x="141"/>
        <item x="285"/>
        <item x="275"/>
        <item x="243"/>
        <item x="235"/>
        <item x="83"/>
        <item x="189"/>
        <item x="200"/>
        <item x="286"/>
        <item x="248"/>
        <item x="96"/>
        <item x="182"/>
        <item x="45"/>
        <item x="157"/>
        <item x="277"/>
        <item x="288"/>
        <item x="271"/>
        <item x="185"/>
        <item x="186"/>
        <item x="34"/>
        <item x="55"/>
        <item x="291"/>
        <item x="130"/>
        <item x="209"/>
        <item x="73"/>
        <item x="44"/>
        <item x="7"/>
        <item x="222"/>
        <item x="168"/>
        <item x="293"/>
        <item x="263"/>
        <item x="180"/>
        <item x="270"/>
        <item x="76"/>
        <item x="242"/>
        <item x="274"/>
        <item x="39"/>
        <item x="294"/>
        <item x="70"/>
        <item x="269"/>
        <item x="165"/>
        <item x="225"/>
        <item x="215"/>
        <item x="218"/>
        <item x="29"/>
        <item x="21"/>
        <item x="239"/>
        <item x="32"/>
        <item x="223"/>
        <item x="278"/>
        <item x="276"/>
        <item x="214"/>
        <item x="207"/>
        <item x="90"/>
        <item x="38"/>
        <item x="102"/>
        <item x="48"/>
        <item x="256"/>
        <item x="161"/>
        <item x="188"/>
        <item x="71"/>
        <item x="80"/>
        <item x="292"/>
        <item x="192"/>
        <item x="150"/>
        <item x="22"/>
        <item x="228"/>
        <item x="211"/>
        <item x="129"/>
        <item x="208"/>
        <item x="199"/>
        <item x="47"/>
        <item x="284"/>
        <item x="139"/>
        <item x="46"/>
        <item x="272"/>
        <item x="206"/>
        <item x="145"/>
        <item x="104"/>
        <item x="133"/>
        <item x="10"/>
        <item x="75"/>
        <item x="190"/>
        <item x="121"/>
        <item x="149"/>
        <item x="9"/>
        <item x="194"/>
        <item x="197"/>
        <item x="282"/>
        <item x="268"/>
        <item x="159"/>
        <item x="19"/>
        <item x="219"/>
        <item x="187"/>
        <item x="77"/>
        <item x="210"/>
        <item x="236"/>
        <item x="246"/>
        <item x="137"/>
        <item x="52"/>
        <item x="116"/>
        <item x="237"/>
        <item x="43"/>
        <item x="27"/>
        <item x="58"/>
        <item x="216"/>
        <item x="126"/>
        <item x="178"/>
        <item x="195"/>
        <item x="183"/>
        <item x="79"/>
        <item x="176"/>
        <item x="212"/>
        <item x="24"/>
        <item x="18"/>
        <item x="59"/>
        <item x="140"/>
        <item x="1"/>
        <item x="65"/>
        <item x="261"/>
        <item x="64"/>
        <item x="35"/>
        <item x="230"/>
        <item x="8"/>
        <item x="67"/>
        <item x="166"/>
        <item x="4"/>
        <item x="115"/>
        <item x="6"/>
        <item x="151"/>
        <item x="177"/>
        <item x="167"/>
        <item x="255"/>
        <item x="100"/>
        <item x="127"/>
        <item x="12"/>
        <item x="66"/>
        <item x="227"/>
        <item x="40"/>
        <item x="251"/>
        <item x="109"/>
        <item x="63"/>
        <item x="11"/>
        <item x="3"/>
        <item x="14"/>
        <item x="17"/>
        <item x="201"/>
        <item x="289"/>
        <item x="106"/>
        <item x="42"/>
        <item x="281"/>
        <item x="62"/>
        <item x="234"/>
        <item x="257"/>
        <item x="93"/>
        <item x="154"/>
        <item x="240"/>
        <item x="191"/>
        <item x="238"/>
        <item x="148"/>
        <item x="241"/>
        <item x="131"/>
        <item x="68"/>
        <item x="253"/>
        <item x="84"/>
        <item x="57"/>
        <item x="88"/>
        <item x="179"/>
        <item x="120"/>
        <item x="250"/>
        <item x="204"/>
        <item x="105"/>
        <item x="260"/>
        <item x="134"/>
        <item x="60"/>
        <item x="245"/>
        <item x="184"/>
        <item x="89"/>
        <item x="247"/>
        <item x="267"/>
        <item x="174"/>
        <item x="229"/>
        <item x="264"/>
        <item x="91"/>
        <item x="172"/>
        <item x="156"/>
        <item x="155"/>
        <item x="101"/>
        <item x="231"/>
        <item x="173"/>
        <item x="164"/>
        <item x="99"/>
        <item x="86"/>
        <item x="37"/>
        <item x="152"/>
        <item x="193"/>
        <item x="72"/>
        <item x="78"/>
        <item x="81"/>
        <item x="283"/>
        <item x="117"/>
        <item x="259"/>
        <item x="273"/>
        <item x="232"/>
        <item x="287"/>
        <item x="132"/>
        <item x="111"/>
        <item x="33"/>
        <item x="16"/>
        <item x="169"/>
        <item x="31"/>
        <item x="113"/>
        <item x="163"/>
        <item x="97"/>
        <item x="69"/>
        <item x="249"/>
        <item x="2"/>
        <item x="196"/>
        <item x="92"/>
        <item x="202"/>
        <item x="279"/>
        <item x="28"/>
        <item x="217"/>
        <item x="82"/>
        <item x="143"/>
        <item x="265"/>
        <item x="136"/>
        <item x="244"/>
        <item x="203"/>
        <item x="49"/>
        <item x="20"/>
        <item x="56"/>
        <item x="266"/>
        <item x="262"/>
        <item t="default"/>
      </items>
    </pivotField>
    <pivotField numFmtId="164" showAll="0"/>
    <pivotField showAll="0"/>
    <pivotField showAll="0"/>
    <pivotField axis="axisRow" showAll="0">
      <items count="6">
        <item x="4"/>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12"/>
  </rowFields>
  <rowItems count="6">
    <i>
      <x/>
    </i>
    <i>
      <x v="1"/>
    </i>
    <i>
      <x v="2"/>
    </i>
    <i>
      <x v="3"/>
    </i>
    <i>
      <x v="4"/>
    </i>
    <i t="grand">
      <x/>
    </i>
  </rowItems>
  <colItems count="1">
    <i/>
  </colItems>
  <dataFields count="1">
    <dataField name="Count of Patient Name" fld="1" subtotal="count" baseField="0" baseItem="0"/>
  </dataField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0"/>
          </reference>
        </references>
      </pivotArea>
    </chartFormat>
    <chartFormat chart="3" format="9">
      <pivotArea type="data" outline="0" fieldPosition="0">
        <references count="2">
          <reference field="4294967294" count="1" selected="0">
            <x v="0"/>
          </reference>
          <reference field="12" count="1" selected="0">
            <x v="1"/>
          </reference>
        </references>
      </pivotArea>
    </chartFormat>
    <chartFormat chart="3" format="10">
      <pivotArea type="data" outline="0" fieldPosition="0">
        <references count="2">
          <reference field="4294967294" count="1" selected="0">
            <x v="0"/>
          </reference>
          <reference field="12" count="1" selected="0">
            <x v="2"/>
          </reference>
        </references>
      </pivotArea>
    </chartFormat>
    <chartFormat chart="3" format="11">
      <pivotArea type="data" outline="0" fieldPosition="0">
        <references count="2">
          <reference field="4294967294" count="1" selected="0">
            <x v="0"/>
          </reference>
          <reference field="12" count="1" selected="0">
            <x v="3"/>
          </reference>
        </references>
      </pivotArea>
    </chartFormat>
    <chartFormat chart="3" format="12">
      <pivotArea type="data" outline="0" fieldPosition="0">
        <references count="2">
          <reference field="4294967294" count="1" selected="0">
            <x v="0"/>
          </reference>
          <reference field="12"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12" count="1" selected="0">
            <x v="0"/>
          </reference>
        </references>
      </pivotArea>
    </chartFormat>
    <chartFormat chart="8" format="21">
      <pivotArea type="data" outline="0" fieldPosition="0">
        <references count="2">
          <reference field="4294967294" count="1" selected="0">
            <x v="0"/>
          </reference>
          <reference field="12" count="1" selected="0">
            <x v="1"/>
          </reference>
        </references>
      </pivotArea>
    </chartFormat>
    <chartFormat chart="8" format="22">
      <pivotArea type="data" outline="0" fieldPosition="0">
        <references count="2">
          <reference field="4294967294" count="1" selected="0">
            <x v="0"/>
          </reference>
          <reference field="12" count="1" selected="0">
            <x v="2"/>
          </reference>
        </references>
      </pivotArea>
    </chartFormat>
    <chartFormat chart="8" format="23">
      <pivotArea type="data" outline="0" fieldPosition="0">
        <references count="2">
          <reference field="4294967294" count="1" selected="0">
            <x v="0"/>
          </reference>
          <reference field="12" count="1" selected="0">
            <x v="3"/>
          </reference>
        </references>
      </pivotArea>
    </chartFormat>
    <chartFormat chart="8" format="24">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3B4D78-1E71-481E-9D8F-619CFF7EB73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7:H13" firstHeaderRow="1" firstDataRow="1" firstDataCol="1"/>
  <pivotFields count="14">
    <pivotField showAll="0"/>
    <pivotField dataField="1" showAll="0" includeNewItemsInFilter="1"/>
    <pivotField showAll="0"/>
    <pivotField showAll="0">
      <items count="6">
        <item x="2"/>
        <item x="3"/>
        <item x="1"/>
        <item x="4"/>
        <item x="0"/>
        <item t="default"/>
      </items>
    </pivotField>
    <pivotField showAll="0"/>
    <pivotField showAll="0">
      <items count="9">
        <item x="1"/>
        <item x="4"/>
        <item x="2"/>
        <item x="0"/>
        <item x="3"/>
        <item x="5"/>
        <item x="6"/>
        <item x="7"/>
        <item t="default"/>
      </items>
    </pivotField>
    <pivotField showAll="0">
      <items count="8">
        <item x="6"/>
        <item x="5"/>
        <item x="3"/>
        <item x="2"/>
        <item x="1"/>
        <item x="0"/>
        <item x="4"/>
        <item t="default"/>
      </items>
    </pivotField>
    <pivotField showAll="0">
      <items count="9">
        <item x="0"/>
        <item x="3"/>
        <item x="2"/>
        <item x="6"/>
        <item x="7"/>
        <item x="4"/>
        <item x="1"/>
        <item x="5"/>
        <item t="default"/>
      </items>
    </pivotField>
    <pivotField showAll="0">
      <items count="296">
        <item x="123"/>
        <item x="112"/>
        <item x="124"/>
        <item x="160"/>
        <item x="280"/>
        <item x="50"/>
        <item x="103"/>
        <item x="125"/>
        <item x="87"/>
        <item x="61"/>
        <item x="224"/>
        <item x="122"/>
        <item x="95"/>
        <item x="36"/>
        <item x="128"/>
        <item x="41"/>
        <item x="142"/>
        <item x="107"/>
        <item x="110"/>
        <item x="213"/>
        <item x="51"/>
        <item x="53"/>
        <item x="114"/>
        <item x="144"/>
        <item x="170"/>
        <item x="108"/>
        <item x="5"/>
        <item x="254"/>
        <item x="74"/>
        <item x="175"/>
        <item x="146"/>
        <item x="252"/>
        <item x="135"/>
        <item x="26"/>
        <item x="162"/>
        <item x="220"/>
        <item x="138"/>
        <item x="171"/>
        <item x="23"/>
        <item x="258"/>
        <item x="0"/>
        <item x="226"/>
        <item x="198"/>
        <item x="158"/>
        <item x="30"/>
        <item x="118"/>
        <item x="205"/>
        <item x="54"/>
        <item x="94"/>
        <item x="15"/>
        <item x="98"/>
        <item x="181"/>
        <item x="25"/>
        <item x="13"/>
        <item x="221"/>
        <item x="290"/>
        <item x="147"/>
        <item x="119"/>
        <item x="153"/>
        <item x="233"/>
        <item x="85"/>
        <item x="141"/>
        <item x="285"/>
        <item x="275"/>
        <item x="243"/>
        <item x="235"/>
        <item x="83"/>
        <item x="189"/>
        <item x="200"/>
        <item x="286"/>
        <item x="248"/>
        <item x="96"/>
        <item x="182"/>
        <item x="45"/>
        <item x="157"/>
        <item x="277"/>
        <item x="288"/>
        <item x="271"/>
        <item x="185"/>
        <item x="186"/>
        <item x="34"/>
        <item x="55"/>
        <item x="291"/>
        <item x="130"/>
        <item x="209"/>
        <item x="73"/>
        <item x="44"/>
        <item x="7"/>
        <item x="222"/>
        <item x="168"/>
        <item x="293"/>
        <item x="263"/>
        <item x="180"/>
        <item x="270"/>
        <item x="76"/>
        <item x="242"/>
        <item x="274"/>
        <item x="39"/>
        <item x="294"/>
        <item x="70"/>
        <item x="269"/>
        <item x="165"/>
        <item x="225"/>
        <item x="215"/>
        <item x="218"/>
        <item x="29"/>
        <item x="21"/>
        <item x="239"/>
        <item x="32"/>
        <item x="223"/>
        <item x="278"/>
        <item x="276"/>
        <item x="214"/>
        <item x="207"/>
        <item x="90"/>
        <item x="38"/>
        <item x="102"/>
        <item x="48"/>
        <item x="256"/>
        <item x="161"/>
        <item x="188"/>
        <item x="71"/>
        <item x="80"/>
        <item x="292"/>
        <item x="192"/>
        <item x="150"/>
        <item x="22"/>
        <item x="228"/>
        <item x="211"/>
        <item x="129"/>
        <item x="208"/>
        <item x="199"/>
        <item x="47"/>
        <item x="284"/>
        <item x="139"/>
        <item x="46"/>
        <item x="272"/>
        <item x="206"/>
        <item x="145"/>
        <item x="104"/>
        <item x="133"/>
        <item x="10"/>
        <item x="75"/>
        <item x="190"/>
        <item x="121"/>
        <item x="149"/>
        <item x="9"/>
        <item x="194"/>
        <item x="197"/>
        <item x="282"/>
        <item x="268"/>
        <item x="159"/>
        <item x="19"/>
        <item x="219"/>
        <item x="187"/>
        <item x="77"/>
        <item x="210"/>
        <item x="236"/>
        <item x="246"/>
        <item x="137"/>
        <item x="52"/>
        <item x="116"/>
        <item x="237"/>
        <item x="43"/>
        <item x="27"/>
        <item x="58"/>
        <item x="216"/>
        <item x="126"/>
        <item x="178"/>
        <item x="195"/>
        <item x="183"/>
        <item x="79"/>
        <item x="176"/>
        <item x="212"/>
        <item x="24"/>
        <item x="18"/>
        <item x="59"/>
        <item x="140"/>
        <item x="1"/>
        <item x="65"/>
        <item x="261"/>
        <item x="64"/>
        <item x="35"/>
        <item x="230"/>
        <item x="8"/>
        <item x="67"/>
        <item x="166"/>
        <item x="4"/>
        <item x="115"/>
        <item x="6"/>
        <item x="151"/>
        <item x="177"/>
        <item x="167"/>
        <item x="255"/>
        <item x="100"/>
        <item x="127"/>
        <item x="12"/>
        <item x="66"/>
        <item x="227"/>
        <item x="40"/>
        <item x="251"/>
        <item x="109"/>
        <item x="63"/>
        <item x="11"/>
        <item x="3"/>
        <item x="14"/>
        <item x="17"/>
        <item x="201"/>
        <item x="289"/>
        <item x="106"/>
        <item x="42"/>
        <item x="281"/>
        <item x="62"/>
        <item x="234"/>
        <item x="257"/>
        <item x="93"/>
        <item x="154"/>
        <item x="240"/>
        <item x="191"/>
        <item x="238"/>
        <item x="148"/>
        <item x="241"/>
        <item x="131"/>
        <item x="68"/>
        <item x="253"/>
        <item x="84"/>
        <item x="57"/>
        <item x="88"/>
        <item x="179"/>
        <item x="120"/>
        <item x="250"/>
        <item x="204"/>
        <item x="105"/>
        <item x="260"/>
        <item x="134"/>
        <item x="60"/>
        <item x="245"/>
        <item x="184"/>
        <item x="89"/>
        <item x="247"/>
        <item x="267"/>
        <item x="174"/>
        <item x="229"/>
        <item x="264"/>
        <item x="91"/>
        <item x="172"/>
        <item x="156"/>
        <item x="155"/>
        <item x="101"/>
        <item x="231"/>
        <item x="173"/>
        <item x="164"/>
        <item x="99"/>
        <item x="86"/>
        <item x="37"/>
        <item x="152"/>
        <item x="193"/>
        <item x="72"/>
        <item x="78"/>
        <item x="81"/>
        <item x="283"/>
        <item x="117"/>
        <item x="259"/>
        <item x="273"/>
        <item x="232"/>
        <item x="287"/>
        <item x="132"/>
        <item x="111"/>
        <item x="33"/>
        <item x="16"/>
        <item x="169"/>
        <item x="31"/>
        <item x="113"/>
        <item x="163"/>
        <item x="97"/>
        <item x="69"/>
        <item x="249"/>
        <item x="2"/>
        <item x="196"/>
        <item x="92"/>
        <item x="202"/>
        <item x="279"/>
        <item x="28"/>
        <item x="217"/>
        <item x="82"/>
        <item x="143"/>
        <item x="265"/>
        <item x="136"/>
        <item x="244"/>
        <item x="203"/>
        <item x="49"/>
        <item x="20"/>
        <item x="56"/>
        <item x="266"/>
        <item x="262"/>
        <item t="default"/>
      </items>
    </pivotField>
    <pivotField numFmtId="164" showAll="0"/>
    <pivotField showAll="0"/>
    <pivotField axis="axisRow" showAll="0">
      <items count="6">
        <item x="3"/>
        <item x="0"/>
        <item x="1"/>
        <item x="2"/>
        <item x="4"/>
        <item t="default"/>
      </items>
    </pivotField>
    <pivotField showAll="0"/>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Count of Patient Name" fld="1" subtotal="count" baseField="0" baseItem="0"/>
  </dataField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 chart="3" format="11">
      <pivotArea type="data" outline="0" fieldPosition="0">
        <references count="2">
          <reference field="4294967294" count="1" selected="0">
            <x v="0"/>
          </reference>
          <reference field="11" count="1" selected="0">
            <x v="3"/>
          </reference>
        </references>
      </pivotArea>
    </chartFormat>
    <chartFormat chart="3" format="12">
      <pivotArea type="data" outline="0" fieldPosition="0">
        <references count="2">
          <reference field="4294967294" count="1" selected="0">
            <x v="0"/>
          </reference>
          <reference field="11"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1" count="1" selected="0">
            <x v="0"/>
          </reference>
        </references>
      </pivotArea>
    </chartFormat>
    <chartFormat chart="6" format="21">
      <pivotArea type="data" outline="0" fieldPosition="0">
        <references count="2">
          <reference field="4294967294" count="1" selected="0">
            <x v="0"/>
          </reference>
          <reference field="11" count="1" selected="0">
            <x v="1"/>
          </reference>
        </references>
      </pivotArea>
    </chartFormat>
    <chartFormat chart="6" format="22">
      <pivotArea type="data" outline="0" fieldPosition="0">
        <references count="2">
          <reference field="4294967294" count="1" selected="0">
            <x v="0"/>
          </reference>
          <reference field="11" count="1" selected="0">
            <x v="2"/>
          </reference>
        </references>
      </pivotArea>
    </chartFormat>
    <chartFormat chart="6" format="23">
      <pivotArea type="data" outline="0" fieldPosition="0">
        <references count="2">
          <reference field="4294967294" count="1" selected="0">
            <x v="0"/>
          </reference>
          <reference field="11" count="1" selected="0">
            <x v="3"/>
          </reference>
        </references>
      </pivotArea>
    </chartFormat>
    <chartFormat chart="6" format="24">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1652D4-B4A1-4793-B137-E9CF9763E6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7:E15" firstHeaderRow="1" firstDataRow="1" firstDataCol="1"/>
  <pivotFields count="14">
    <pivotField showAll="0"/>
    <pivotField showAll="0" includeNewItemsInFilter="1"/>
    <pivotField showAll="0"/>
    <pivotField showAll="0">
      <items count="6">
        <item x="2"/>
        <item x="3"/>
        <item x="1"/>
        <item x="4"/>
        <item x="0"/>
        <item t="default"/>
      </items>
    </pivotField>
    <pivotField showAll="0"/>
    <pivotField showAll="0">
      <items count="9">
        <item x="1"/>
        <item x="4"/>
        <item x="2"/>
        <item x="0"/>
        <item x="3"/>
        <item x="5"/>
        <item x="6"/>
        <item x="7"/>
        <item t="default"/>
      </items>
    </pivotField>
    <pivotField axis="axisRow" showAll="0" sortType="ascending">
      <items count="8">
        <item x="6"/>
        <item x="5"/>
        <item x="3"/>
        <item x="2"/>
        <item x="1"/>
        <item x="0"/>
        <item x="4"/>
        <item t="default"/>
      </items>
      <autoSortScope>
        <pivotArea dataOnly="0" outline="0" fieldPosition="0">
          <references count="1">
            <reference field="4294967294" count="1" selected="0">
              <x v="0"/>
            </reference>
          </references>
        </pivotArea>
      </autoSortScope>
    </pivotField>
    <pivotField showAll="0">
      <items count="9">
        <item x="0"/>
        <item x="3"/>
        <item x="2"/>
        <item x="6"/>
        <item x="7"/>
        <item x="4"/>
        <item x="1"/>
        <item x="5"/>
        <item t="default"/>
      </items>
    </pivotField>
    <pivotField showAll="0">
      <items count="296">
        <item x="123"/>
        <item x="112"/>
        <item x="124"/>
        <item x="160"/>
        <item x="280"/>
        <item x="50"/>
        <item x="103"/>
        <item x="125"/>
        <item x="87"/>
        <item x="61"/>
        <item x="224"/>
        <item x="122"/>
        <item x="95"/>
        <item x="36"/>
        <item x="128"/>
        <item x="41"/>
        <item x="142"/>
        <item x="107"/>
        <item x="110"/>
        <item x="213"/>
        <item x="51"/>
        <item x="53"/>
        <item x="114"/>
        <item x="144"/>
        <item x="170"/>
        <item x="108"/>
        <item x="5"/>
        <item x="254"/>
        <item x="74"/>
        <item x="175"/>
        <item x="146"/>
        <item x="252"/>
        <item x="135"/>
        <item x="26"/>
        <item x="162"/>
        <item x="220"/>
        <item x="138"/>
        <item x="171"/>
        <item x="23"/>
        <item x="258"/>
        <item x="0"/>
        <item x="226"/>
        <item x="198"/>
        <item x="158"/>
        <item x="30"/>
        <item x="118"/>
        <item x="205"/>
        <item x="54"/>
        <item x="94"/>
        <item x="15"/>
        <item x="98"/>
        <item x="181"/>
        <item x="25"/>
        <item x="13"/>
        <item x="221"/>
        <item x="290"/>
        <item x="147"/>
        <item x="119"/>
        <item x="153"/>
        <item x="233"/>
        <item x="85"/>
        <item x="141"/>
        <item x="285"/>
        <item x="275"/>
        <item x="243"/>
        <item x="235"/>
        <item x="83"/>
        <item x="189"/>
        <item x="200"/>
        <item x="286"/>
        <item x="248"/>
        <item x="96"/>
        <item x="182"/>
        <item x="45"/>
        <item x="157"/>
        <item x="277"/>
        <item x="288"/>
        <item x="271"/>
        <item x="185"/>
        <item x="186"/>
        <item x="34"/>
        <item x="55"/>
        <item x="291"/>
        <item x="130"/>
        <item x="209"/>
        <item x="73"/>
        <item x="44"/>
        <item x="7"/>
        <item x="222"/>
        <item x="168"/>
        <item x="293"/>
        <item x="263"/>
        <item x="180"/>
        <item x="270"/>
        <item x="76"/>
        <item x="242"/>
        <item x="274"/>
        <item x="39"/>
        <item x="294"/>
        <item x="70"/>
        <item x="269"/>
        <item x="165"/>
        <item x="225"/>
        <item x="215"/>
        <item x="218"/>
        <item x="29"/>
        <item x="21"/>
        <item x="239"/>
        <item x="32"/>
        <item x="223"/>
        <item x="278"/>
        <item x="276"/>
        <item x="214"/>
        <item x="207"/>
        <item x="90"/>
        <item x="38"/>
        <item x="102"/>
        <item x="48"/>
        <item x="256"/>
        <item x="161"/>
        <item x="188"/>
        <item x="71"/>
        <item x="80"/>
        <item x="292"/>
        <item x="192"/>
        <item x="150"/>
        <item x="22"/>
        <item x="228"/>
        <item x="211"/>
        <item x="129"/>
        <item x="208"/>
        <item x="199"/>
        <item x="47"/>
        <item x="284"/>
        <item x="139"/>
        <item x="46"/>
        <item x="272"/>
        <item x="206"/>
        <item x="145"/>
        <item x="104"/>
        <item x="133"/>
        <item x="10"/>
        <item x="75"/>
        <item x="190"/>
        <item x="121"/>
        <item x="149"/>
        <item x="9"/>
        <item x="194"/>
        <item x="197"/>
        <item x="282"/>
        <item x="268"/>
        <item x="159"/>
        <item x="19"/>
        <item x="219"/>
        <item x="187"/>
        <item x="77"/>
        <item x="210"/>
        <item x="236"/>
        <item x="246"/>
        <item x="137"/>
        <item x="52"/>
        <item x="116"/>
        <item x="237"/>
        <item x="43"/>
        <item x="27"/>
        <item x="58"/>
        <item x="216"/>
        <item x="126"/>
        <item x="178"/>
        <item x="195"/>
        <item x="183"/>
        <item x="79"/>
        <item x="176"/>
        <item x="212"/>
        <item x="24"/>
        <item x="18"/>
        <item x="59"/>
        <item x="140"/>
        <item x="1"/>
        <item x="65"/>
        <item x="261"/>
        <item x="64"/>
        <item x="35"/>
        <item x="230"/>
        <item x="8"/>
        <item x="67"/>
        <item x="166"/>
        <item x="4"/>
        <item x="115"/>
        <item x="6"/>
        <item x="151"/>
        <item x="177"/>
        <item x="167"/>
        <item x="255"/>
        <item x="100"/>
        <item x="127"/>
        <item x="12"/>
        <item x="66"/>
        <item x="227"/>
        <item x="40"/>
        <item x="251"/>
        <item x="109"/>
        <item x="63"/>
        <item x="11"/>
        <item x="3"/>
        <item x="14"/>
        <item x="17"/>
        <item x="201"/>
        <item x="289"/>
        <item x="106"/>
        <item x="42"/>
        <item x="281"/>
        <item x="62"/>
        <item x="234"/>
        <item x="257"/>
        <item x="93"/>
        <item x="154"/>
        <item x="240"/>
        <item x="191"/>
        <item x="238"/>
        <item x="148"/>
        <item x="241"/>
        <item x="131"/>
        <item x="68"/>
        <item x="253"/>
        <item x="84"/>
        <item x="57"/>
        <item x="88"/>
        <item x="179"/>
        <item x="120"/>
        <item x="250"/>
        <item x="204"/>
        <item x="105"/>
        <item x="260"/>
        <item x="134"/>
        <item x="60"/>
        <item x="245"/>
        <item x="184"/>
        <item x="89"/>
        <item x="247"/>
        <item x="267"/>
        <item x="174"/>
        <item x="229"/>
        <item x="264"/>
        <item x="91"/>
        <item x="172"/>
        <item x="156"/>
        <item x="155"/>
        <item x="101"/>
        <item x="231"/>
        <item x="173"/>
        <item x="164"/>
        <item x="99"/>
        <item x="86"/>
        <item x="37"/>
        <item x="152"/>
        <item x="193"/>
        <item x="72"/>
        <item x="78"/>
        <item x="81"/>
        <item x="283"/>
        <item x="117"/>
        <item x="259"/>
        <item x="273"/>
        <item x="232"/>
        <item x="287"/>
        <item x="132"/>
        <item x="111"/>
        <item x="33"/>
        <item x="16"/>
        <item x="169"/>
        <item x="31"/>
        <item x="113"/>
        <item x="163"/>
        <item x="97"/>
        <item x="69"/>
        <item x="249"/>
        <item x="2"/>
        <item x="196"/>
        <item x="92"/>
        <item x="202"/>
        <item x="279"/>
        <item x="28"/>
        <item x="217"/>
        <item x="82"/>
        <item x="143"/>
        <item x="265"/>
        <item x="136"/>
        <item x="244"/>
        <item x="203"/>
        <item x="49"/>
        <item x="20"/>
        <item x="56"/>
        <item x="266"/>
        <item x="262"/>
        <item t="default"/>
      </items>
    </pivotField>
    <pivotField numFmtId="164"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8">
    <i>
      <x v="3"/>
    </i>
    <i>
      <x v="4"/>
    </i>
    <i>
      <x v="5"/>
    </i>
    <i>
      <x/>
    </i>
    <i>
      <x v="2"/>
    </i>
    <i>
      <x v="1"/>
    </i>
    <i>
      <x v="6"/>
    </i>
    <i t="grand">
      <x/>
    </i>
  </rowItems>
  <colItems count="1">
    <i/>
  </colItems>
  <dataFields count="1">
    <dataField name="Sum of Treatment Cost (PKR)" fld="10" baseField="0" baseItem="0" numFmtId="165"/>
  </dataFields>
  <formats count="1">
    <format dxfId="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8AE7B-B1A6-400A-9DCB-0A61D1DE931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A38:I45" firstHeaderRow="1" firstDataRow="2" firstDataCol="1"/>
  <pivotFields count="12">
    <pivotField dataField="1" showAll="0"/>
    <pivotField showAll="0"/>
    <pivotField axis="axisRow" showAll="0" sortType="ascending">
      <items count="6">
        <item x="2"/>
        <item x="3"/>
        <item x="1"/>
        <item x="4"/>
        <item x="0"/>
        <item t="default"/>
      </items>
      <autoSortScope>
        <pivotArea dataOnly="0" outline="0" fieldPosition="0">
          <references count="2">
            <reference field="4294967294" count="1" selected="0">
              <x v="0"/>
            </reference>
            <reference field="5" count="1" selected="0">
              <x v="4"/>
            </reference>
          </references>
        </pivotArea>
      </autoSortScope>
    </pivotField>
    <pivotField showAll="0"/>
    <pivotField showAll="0"/>
    <pivotField axis="axisCol" showAll="0">
      <items count="8">
        <item x="6"/>
        <item x="5"/>
        <item x="3"/>
        <item x="2"/>
        <item x="1"/>
        <item x="0"/>
        <item x="4"/>
        <item t="default"/>
      </items>
    </pivotField>
    <pivotField showAll="0"/>
    <pivotField showAll="0"/>
    <pivotField showAll="0"/>
    <pivotField showAll="0"/>
    <pivotField showAll="0"/>
    <pivotField showAll="0"/>
  </pivotFields>
  <rowFields count="1">
    <field x="2"/>
  </rowFields>
  <rowItems count="6">
    <i>
      <x v="3"/>
    </i>
    <i>
      <x v="1"/>
    </i>
    <i>
      <x/>
    </i>
    <i>
      <x v="4"/>
    </i>
    <i>
      <x v="2"/>
    </i>
    <i t="grand">
      <x/>
    </i>
  </rowItems>
  <colFields count="1">
    <field x="5"/>
  </colFields>
  <colItems count="8">
    <i>
      <x/>
    </i>
    <i>
      <x v="1"/>
    </i>
    <i>
      <x v="2"/>
    </i>
    <i>
      <x v="3"/>
    </i>
    <i>
      <x v="4"/>
    </i>
    <i>
      <x v="5"/>
    </i>
    <i>
      <x v="6"/>
    </i>
    <i t="grand">
      <x/>
    </i>
  </colItems>
  <dataFields count="1">
    <dataField name="Count of Patient Name" fld="0" subtotal="count" baseField="0" baseItem="0"/>
  </dataFields>
  <formats count="3">
    <format dxfId="4">
      <pivotArea outline="0" collapsedLevelsAreSubtotals="1" fieldPosition="0"/>
    </format>
    <format dxfId="3">
      <pivotArea dataOnly="0" labelOnly="1" fieldPosition="0">
        <references count="1">
          <reference field="5" count="0"/>
        </references>
      </pivotArea>
    </format>
    <format dxfId="2">
      <pivotArea dataOnly="0" labelOnly="1" grandCol="1" outline="0" fieldPosition="0"/>
    </format>
  </formats>
  <chartFormats count="3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3" format="14" series="1">
      <pivotArea type="data" outline="0" fieldPosition="0">
        <references count="2">
          <reference field="4294967294" count="1" selected="0">
            <x v="0"/>
          </reference>
          <reference field="5" count="1" selected="0">
            <x v="0"/>
          </reference>
        </references>
      </pivotArea>
    </chartFormat>
    <chartFormat chart="3" format="15" series="1">
      <pivotArea type="data" outline="0" fieldPosition="0">
        <references count="2">
          <reference field="4294967294" count="1" selected="0">
            <x v="0"/>
          </reference>
          <reference field="5" count="1" selected="0">
            <x v="1"/>
          </reference>
        </references>
      </pivotArea>
    </chartFormat>
    <chartFormat chart="3" format="16" series="1">
      <pivotArea type="data" outline="0" fieldPosition="0">
        <references count="2">
          <reference field="4294967294" count="1" selected="0">
            <x v="0"/>
          </reference>
          <reference field="5" count="1" selected="0">
            <x v="2"/>
          </reference>
        </references>
      </pivotArea>
    </chartFormat>
    <chartFormat chart="3" format="17" series="1">
      <pivotArea type="data" outline="0" fieldPosition="0">
        <references count="2">
          <reference field="4294967294" count="1" selected="0">
            <x v="0"/>
          </reference>
          <reference field="5" count="1" selected="0">
            <x v="3"/>
          </reference>
        </references>
      </pivotArea>
    </chartFormat>
    <chartFormat chart="3" format="18" series="1">
      <pivotArea type="data" outline="0" fieldPosition="0">
        <references count="2">
          <reference field="4294967294" count="1" selected="0">
            <x v="0"/>
          </reference>
          <reference field="5" count="1" selected="0">
            <x v="4"/>
          </reference>
        </references>
      </pivotArea>
    </chartFormat>
    <chartFormat chart="3" format="19" series="1">
      <pivotArea type="data" outline="0" fieldPosition="0">
        <references count="2">
          <reference field="4294967294" count="1" selected="0">
            <x v="0"/>
          </reference>
          <reference field="5" count="1" selected="0">
            <x v="5"/>
          </reference>
        </references>
      </pivotArea>
    </chartFormat>
    <chartFormat chart="3" format="20" series="1">
      <pivotArea type="data" outline="0" fieldPosition="0">
        <references count="2">
          <reference field="4294967294" count="1" selected="0">
            <x v="0"/>
          </reference>
          <reference field="5" count="1" selected="0">
            <x v="6"/>
          </reference>
        </references>
      </pivotArea>
    </chartFormat>
    <chartFormat chart="13" format="0" series="1">
      <pivotArea type="data" outline="0" fieldPosition="0">
        <references count="2">
          <reference field="4294967294" count="1" selected="0">
            <x v="0"/>
          </reference>
          <reference field="5" count="1" selected="0">
            <x v="0"/>
          </reference>
        </references>
      </pivotArea>
    </chartFormat>
    <chartFormat chart="13" format="1" series="1">
      <pivotArea type="data" outline="0" fieldPosition="0">
        <references count="2">
          <reference field="4294967294" count="1" selected="0">
            <x v="0"/>
          </reference>
          <reference field="5" count="1" selected="0">
            <x v="1"/>
          </reference>
        </references>
      </pivotArea>
    </chartFormat>
    <chartFormat chart="13" format="2" series="1">
      <pivotArea type="data" outline="0" fieldPosition="0">
        <references count="2">
          <reference field="4294967294" count="1" selected="0">
            <x v="0"/>
          </reference>
          <reference field="5" count="1" selected="0">
            <x v="2"/>
          </reference>
        </references>
      </pivotArea>
    </chartFormat>
    <chartFormat chart="13" format="3" series="1">
      <pivotArea type="data" outline="0" fieldPosition="0">
        <references count="2">
          <reference field="4294967294" count="1" selected="0">
            <x v="0"/>
          </reference>
          <reference field="5" count="1" selected="0">
            <x v="3"/>
          </reference>
        </references>
      </pivotArea>
    </chartFormat>
    <chartFormat chart="13" format="4" series="1">
      <pivotArea type="data" outline="0" fieldPosition="0">
        <references count="2">
          <reference field="4294967294" count="1" selected="0">
            <x v="0"/>
          </reference>
          <reference field="5" count="1" selected="0">
            <x v="4"/>
          </reference>
        </references>
      </pivotArea>
    </chartFormat>
    <chartFormat chart="13" format="5" series="1">
      <pivotArea type="data" outline="0" fieldPosition="0">
        <references count="2">
          <reference field="4294967294" count="1" selected="0">
            <x v="0"/>
          </reference>
          <reference field="5" count="1" selected="0">
            <x v="5"/>
          </reference>
        </references>
      </pivotArea>
    </chartFormat>
    <chartFormat chart="13" format="6" series="1">
      <pivotArea type="data" outline="0" fieldPosition="0">
        <references count="2">
          <reference field="4294967294" count="1" selected="0">
            <x v="0"/>
          </reference>
          <reference field="5" count="1" selected="0">
            <x v="6"/>
          </reference>
        </references>
      </pivotArea>
    </chartFormat>
    <chartFormat chart="16" format="14" series="1">
      <pivotArea type="data" outline="0" fieldPosition="0">
        <references count="2">
          <reference field="4294967294" count="1" selected="0">
            <x v="0"/>
          </reference>
          <reference field="5" count="1" selected="0">
            <x v="0"/>
          </reference>
        </references>
      </pivotArea>
    </chartFormat>
    <chartFormat chart="16" format="15" series="1">
      <pivotArea type="data" outline="0" fieldPosition="0">
        <references count="2">
          <reference field="4294967294" count="1" selected="0">
            <x v="0"/>
          </reference>
          <reference field="5" count="1" selected="0">
            <x v="1"/>
          </reference>
        </references>
      </pivotArea>
    </chartFormat>
    <chartFormat chart="16" format="16" series="1">
      <pivotArea type="data" outline="0" fieldPosition="0">
        <references count="2">
          <reference field="4294967294" count="1" selected="0">
            <x v="0"/>
          </reference>
          <reference field="5" count="1" selected="0">
            <x v="2"/>
          </reference>
        </references>
      </pivotArea>
    </chartFormat>
    <chartFormat chart="16" format="17" series="1">
      <pivotArea type="data" outline="0" fieldPosition="0">
        <references count="2">
          <reference field="4294967294" count="1" selected="0">
            <x v="0"/>
          </reference>
          <reference field="5" count="1" selected="0">
            <x v="3"/>
          </reference>
        </references>
      </pivotArea>
    </chartFormat>
    <chartFormat chart="16" format="18" series="1">
      <pivotArea type="data" outline="0" fieldPosition="0">
        <references count="2">
          <reference field="4294967294" count="1" selected="0">
            <x v="0"/>
          </reference>
          <reference field="5" count="1" selected="0">
            <x v="4"/>
          </reference>
        </references>
      </pivotArea>
    </chartFormat>
    <chartFormat chart="16" format="19" series="1">
      <pivotArea type="data" outline="0" fieldPosition="0">
        <references count="2">
          <reference field="4294967294" count="1" selected="0">
            <x v="0"/>
          </reference>
          <reference field="5" count="1" selected="0">
            <x v="5"/>
          </reference>
        </references>
      </pivotArea>
    </chartFormat>
    <chartFormat chart="16" format="20" series="1">
      <pivotArea type="data" outline="0" fieldPosition="0">
        <references count="2">
          <reference field="4294967294" count="1" selected="0">
            <x v="0"/>
          </reference>
          <reference field="5" count="1" selected="0">
            <x v="6"/>
          </reference>
        </references>
      </pivotArea>
    </chartFormat>
    <chartFormat chart="21" format="28" series="1">
      <pivotArea type="data" outline="0" fieldPosition="0">
        <references count="2">
          <reference field="4294967294" count="1" selected="0">
            <x v="0"/>
          </reference>
          <reference field="5" count="1" selected="0">
            <x v="0"/>
          </reference>
        </references>
      </pivotArea>
    </chartFormat>
    <chartFormat chart="21" format="29" series="1">
      <pivotArea type="data" outline="0" fieldPosition="0">
        <references count="2">
          <reference field="4294967294" count="1" selected="0">
            <x v="0"/>
          </reference>
          <reference field="5" count="1" selected="0">
            <x v="1"/>
          </reference>
        </references>
      </pivotArea>
    </chartFormat>
    <chartFormat chart="21" format="30" series="1">
      <pivotArea type="data" outline="0" fieldPosition="0">
        <references count="2">
          <reference field="4294967294" count="1" selected="0">
            <x v="0"/>
          </reference>
          <reference field="5" count="1" selected="0">
            <x v="2"/>
          </reference>
        </references>
      </pivotArea>
    </chartFormat>
    <chartFormat chart="21" format="31" series="1">
      <pivotArea type="data" outline="0" fieldPosition="0">
        <references count="2">
          <reference field="4294967294" count="1" selected="0">
            <x v="0"/>
          </reference>
          <reference field="5" count="1" selected="0">
            <x v="3"/>
          </reference>
        </references>
      </pivotArea>
    </chartFormat>
    <chartFormat chart="21" format="32" series="1">
      <pivotArea type="data" outline="0" fieldPosition="0">
        <references count="2">
          <reference field="4294967294" count="1" selected="0">
            <x v="0"/>
          </reference>
          <reference field="5" count="1" selected="0">
            <x v="4"/>
          </reference>
        </references>
      </pivotArea>
    </chartFormat>
    <chartFormat chart="21" format="33" series="1">
      <pivotArea type="data" outline="0" fieldPosition="0">
        <references count="2">
          <reference field="4294967294" count="1" selected="0">
            <x v="0"/>
          </reference>
          <reference field="5" count="1" selected="0">
            <x v="5"/>
          </reference>
        </references>
      </pivotArea>
    </chartFormat>
    <chartFormat chart="21" format="34"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7F5C67-4A72-43C1-8BE5-C441EC865A3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33" firstHeaderRow="1" firstDataRow="1" firstDataCol="1"/>
  <pivotFields count="14">
    <pivotField showAll="0"/>
    <pivotField dataField="1" showAll="0" includeNewItemsInFilter="1"/>
    <pivotField showAll="0"/>
    <pivotField showAll="0">
      <items count="6">
        <item x="2"/>
        <item x="3"/>
        <item x="1"/>
        <item x="4"/>
        <item x="0"/>
        <item t="default"/>
      </items>
    </pivotField>
    <pivotField showAll="0"/>
    <pivotField showAll="0">
      <items count="9">
        <item x="1"/>
        <item x="4"/>
        <item x="2"/>
        <item x="0"/>
        <item x="3"/>
        <item x="5"/>
        <item x="6"/>
        <item x="7"/>
        <item t="default"/>
      </items>
    </pivotField>
    <pivotField showAll="0">
      <items count="8">
        <item x="6"/>
        <item x="5"/>
        <item x="3"/>
        <item x="2"/>
        <item x="1"/>
        <item x="0"/>
        <item x="4"/>
        <item t="default"/>
      </items>
    </pivotField>
    <pivotField showAll="0">
      <items count="9">
        <item x="0"/>
        <item x="3"/>
        <item x="2"/>
        <item x="6"/>
        <item x="7"/>
        <item x="4"/>
        <item x="1"/>
        <item x="5"/>
        <item t="default"/>
      </items>
    </pivotField>
    <pivotField numFmtId="164" showAll="0">
      <items count="296">
        <item x="123"/>
        <item x="112"/>
        <item x="124"/>
        <item x="160"/>
        <item x="280"/>
        <item x="50"/>
        <item x="103"/>
        <item x="125"/>
        <item x="87"/>
        <item x="61"/>
        <item x="224"/>
        <item x="122"/>
        <item x="95"/>
        <item x="36"/>
        <item x="128"/>
        <item x="41"/>
        <item x="142"/>
        <item x="107"/>
        <item x="110"/>
        <item x="213"/>
        <item x="51"/>
        <item x="53"/>
        <item x="114"/>
        <item x="144"/>
        <item x="170"/>
        <item x="108"/>
        <item x="5"/>
        <item x="254"/>
        <item x="74"/>
        <item x="175"/>
        <item x="146"/>
        <item x="252"/>
        <item x="135"/>
        <item x="26"/>
        <item x="162"/>
        <item x="220"/>
        <item x="138"/>
        <item x="171"/>
        <item x="23"/>
        <item x="258"/>
        <item x="0"/>
        <item x="226"/>
        <item x="198"/>
        <item x="158"/>
        <item x="30"/>
        <item x="118"/>
        <item x="205"/>
        <item x="54"/>
        <item x="94"/>
        <item x="15"/>
        <item x="98"/>
        <item x="181"/>
        <item x="25"/>
        <item x="13"/>
        <item x="221"/>
        <item x="290"/>
        <item x="147"/>
        <item x="119"/>
        <item x="153"/>
        <item x="233"/>
        <item x="85"/>
        <item x="141"/>
        <item x="285"/>
        <item x="275"/>
        <item x="243"/>
        <item x="235"/>
        <item x="83"/>
        <item x="189"/>
        <item x="200"/>
        <item x="286"/>
        <item x="248"/>
        <item x="96"/>
        <item x="182"/>
        <item x="45"/>
        <item x="157"/>
        <item x="277"/>
        <item x="288"/>
        <item x="271"/>
        <item x="185"/>
        <item x="186"/>
        <item x="34"/>
        <item x="55"/>
        <item x="291"/>
        <item x="130"/>
        <item x="209"/>
        <item x="73"/>
        <item x="44"/>
        <item x="7"/>
        <item x="222"/>
        <item x="168"/>
        <item x="293"/>
        <item x="263"/>
        <item x="180"/>
        <item x="270"/>
        <item x="76"/>
        <item x="242"/>
        <item x="274"/>
        <item x="39"/>
        <item x="294"/>
        <item x="70"/>
        <item x="269"/>
        <item x="165"/>
        <item x="225"/>
        <item x="215"/>
        <item x="218"/>
        <item x="29"/>
        <item x="21"/>
        <item x="239"/>
        <item x="32"/>
        <item x="223"/>
        <item x="278"/>
        <item x="276"/>
        <item x="214"/>
        <item x="207"/>
        <item x="90"/>
        <item x="38"/>
        <item x="102"/>
        <item x="48"/>
        <item x="256"/>
        <item x="161"/>
        <item x="188"/>
        <item x="71"/>
        <item x="80"/>
        <item x="292"/>
        <item x="192"/>
        <item x="150"/>
        <item x="22"/>
        <item x="228"/>
        <item x="211"/>
        <item x="129"/>
        <item x="208"/>
        <item x="199"/>
        <item x="47"/>
        <item x="284"/>
        <item x="139"/>
        <item x="46"/>
        <item x="272"/>
        <item x="206"/>
        <item x="145"/>
        <item x="104"/>
        <item x="133"/>
        <item x="10"/>
        <item x="75"/>
        <item x="190"/>
        <item x="121"/>
        <item x="149"/>
        <item x="9"/>
        <item x="194"/>
        <item x="197"/>
        <item x="282"/>
        <item x="268"/>
        <item x="159"/>
        <item x="19"/>
        <item x="219"/>
        <item x="187"/>
        <item x="77"/>
        <item x="210"/>
        <item x="236"/>
        <item x="246"/>
        <item x="137"/>
        <item x="52"/>
        <item x="116"/>
        <item x="237"/>
        <item x="43"/>
        <item x="27"/>
        <item x="58"/>
        <item x="216"/>
        <item x="126"/>
        <item x="178"/>
        <item x="195"/>
        <item x="183"/>
        <item x="79"/>
        <item x="176"/>
        <item x="212"/>
        <item x="24"/>
        <item x="18"/>
        <item x="59"/>
        <item x="140"/>
        <item x="1"/>
        <item x="65"/>
        <item x="261"/>
        <item x="64"/>
        <item x="35"/>
        <item x="230"/>
        <item x="8"/>
        <item x="67"/>
        <item x="166"/>
        <item x="4"/>
        <item x="115"/>
        <item x="6"/>
        <item x="151"/>
        <item x="177"/>
        <item x="167"/>
        <item x="255"/>
        <item x="100"/>
        <item x="127"/>
        <item x="12"/>
        <item x="66"/>
        <item x="227"/>
        <item x="40"/>
        <item x="251"/>
        <item x="109"/>
        <item x="63"/>
        <item x="11"/>
        <item x="3"/>
        <item x="14"/>
        <item x="17"/>
        <item x="201"/>
        <item x="289"/>
        <item x="106"/>
        <item x="42"/>
        <item x="281"/>
        <item x="62"/>
        <item x="234"/>
        <item x="257"/>
        <item x="93"/>
        <item x="154"/>
        <item x="240"/>
        <item x="191"/>
        <item x="238"/>
        <item x="148"/>
        <item x="241"/>
        <item x="131"/>
        <item x="68"/>
        <item x="253"/>
        <item x="84"/>
        <item x="57"/>
        <item x="88"/>
        <item x="179"/>
        <item x="120"/>
        <item x="250"/>
        <item x="204"/>
        <item x="105"/>
        <item x="260"/>
        <item x="134"/>
        <item x="60"/>
        <item x="245"/>
        <item x="184"/>
        <item x="89"/>
        <item x="247"/>
        <item x="267"/>
        <item x="174"/>
        <item x="229"/>
        <item x="264"/>
        <item x="91"/>
        <item x="172"/>
        <item x="156"/>
        <item x="155"/>
        <item x="101"/>
        <item x="231"/>
        <item x="173"/>
        <item x="164"/>
        <item x="99"/>
        <item x="86"/>
        <item x="37"/>
        <item x="152"/>
        <item x="193"/>
        <item x="72"/>
        <item x="78"/>
        <item x="81"/>
        <item x="283"/>
        <item x="117"/>
        <item x="259"/>
        <item x="273"/>
        <item x="232"/>
        <item x="287"/>
        <item x="132"/>
        <item x="111"/>
        <item x="33"/>
        <item x="16"/>
        <item x="169"/>
        <item x="31"/>
        <item x="113"/>
        <item x="163"/>
        <item x="97"/>
        <item x="69"/>
        <item x="249"/>
        <item x="2"/>
        <item x="196"/>
        <item x="92"/>
        <item x="202"/>
        <item x="279"/>
        <item x="28"/>
        <item x="217"/>
        <item x="82"/>
        <item x="143"/>
        <item x="265"/>
        <item x="136"/>
        <item x="244"/>
        <item x="203"/>
        <item x="49"/>
        <item x="20"/>
        <item x="56"/>
        <item x="266"/>
        <item x="262"/>
        <item t="default"/>
      </items>
    </pivotField>
    <pivotField numFmtId="164"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Count of Patient Name" fld="1" subtotal="count"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209BA5-F730-491F-B587-1F9BDC9805C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1:G60" firstHeaderRow="1" firstDataRow="2" firstDataCol="1"/>
  <pivotFields count="14">
    <pivotField showAll="0"/>
    <pivotField showAll="0" includeNewItemsInFilter="1"/>
    <pivotField showAll="0"/>
    <pivotField showAll="0">
      <items count="6">
        <item x="2"/>
        <item x="3"/>
        <item x="1"/>
        <item x="4"/>
        <item x="0"/>
        <item t="default"/>
      </items>
    </pivotField>
    <pivotField showAll="0"/>
    <pivotField showAll="0">
      <items count="9">
        <item x="1"/>
        <item x="4"/>
        <item x="2"/>
        <item x="0"/>
        <item x="3"/>
        <item x="5"/>
        <item x="6"/>
        <item x="7"/>
        <item t="default"/>
      </items>
    </pivotField>
    <pivotField axis="axisRow" showAll="0">
      <items count="8">
        <item x="6"/>
        <item x="5"/>
        <item x="3"/>
        <item x="2"/>
        <item x="1"/>
        <item x="0"/>
        <item x="4"/>
        <item t="default"/>
      </items>
    </pivotField>
    <pivotField showAll="0">
      <items count="9">
        <item x="0"/>
        <item x="3"/>
        <item x="2"/>
        <item x="6"/>
        <item x="7"/>
        <item x="4"/>
        <item x="1"/>
        <item x="5"/>
        <item t="default"/>
      </items>
    </pivotField>
    <pivotField showAll="0">
      <items count="296">
        <item x="123"/>
        <item x="112"/>
        <item x="124"/>
        <item x="160"/>
        <item x="280"/>
        <item x="50"/>
        <item x="103"/>
        <item x="125"/>
        <item x="87"/>
        <item x="61"/>
        <item x="224"/>
        <item x="122"/>
        <item x="95"/>
        <item x="36"/>
        <item x="128"/>
        <item x="41"/>
        <item x="142"/>
        <item x="107"/>
        <item x="110"/>
        <item x="213"/>
        <item x="51"/>
        <item x="53"/>
        <item x="114"/>
        <item x="144"/>
        <item x="170"/>
        <item x="108"/>
        <item x="5"/>
        <item x="254"/>
        <item x="74"/>
        <item x="175"/>
        <item x="146"/>
        <item x="252"/>
        <item x="135"/>
        <item x="26"/>
        <item x="162"/>
        <item x="220"/>
        <item x="138"/>
        <item x="171"/>
        <item x="23"/>
        <item x="258"/>
        <item x="0"/>
        <item x="226"/>
        <item x="198"/>
        <item x="158"/>
        <item x="30"/>
        <item x="118"/>
        <item x="205"/>
        <item x="54"/>
        <item x="94"/>
        <item x="15"/>
        <item x="98"/>
        <item x="181"/>
        <item x="25"/>
        <item x="13"/>
        <item x="221"/>
        <item x="290"/>
        <item x="147"/>
        <item x="119"/>
        <item x="153"/>
        <item x="233"/>
        <item x="85"/>
        <item x="141"/>
        <item x="285"/>
        <item x="275"/>
        <item x="243"/>
        <item x="235"/>
        <item x="83"/>
        <item x="189"/>
        <item x="200"/>
        <item x="286"/>
        <item x="248"/>
        <item x="96"/>
        <item x="182"/>
        <item x="45"/>
        <item x="157"/>
        <item x="277"/>
        <item x="288"/>
        <item x="271"/>
        <item x="185"/>
        <item x="186"/>
        <item x="34"/>
        <item x="55"/>
        <item x="291"/>
        <item x="130"/>
        <item x="209"/>
        <item x="73"/>
        <item x="44"/>
        <item x="7"/>
        <item x="222"/>
        <item x="168"/>
        <item x="293"/>
        <item x="263"/>
        <item x="180"/>
        <item x="270"/>
        <item x="76"/>
        <item x="242"/>
        <item x="274"/>
        <item x="39"/>
        <item x="294"/>
        <item x="70"/>
        <item x="269"/>
        <item x="165"/>
        <item x="225"/>
        <item x="215"/>
        <item x="218"/>
        <item x="29"/>
        <item x="21"/>
        <item x="239"/>
        <item x="32"/>
        <item x="223"/>
        <item x="278"/>
        <item x="276"/>
        <item x="214"/>
        <item x="207"/>
        <item x="90"/>
        <item x="38"/>
        <item x="102"/>
        <item x="48"/>
        <item x="256"/>
        <item x="161"/>
        <item x="188"/>
        <item x="71"/>
        <item x="80"/>
        <item x="292"/>
        <item x="192"/>
        <item x="150"/>
        <item x="22"/>
        <item x="228"/>
        <item x="211"/>
        <item x="129"/>
        <item x="208"/>
        <item x="199"/>
        <item x="47"/>
        <item x="284"/>
        <item x="139"/>
        <item x="46"/>
        <item x="272"/>
        <item x="206"/>
        <item x="145"/>
        <item x="104"/>
        <item x="133"/>
        <item x="10"/>
        <item x="75"/>
        <item x="190"/>
        <item x="121"/>
        <item x="149"/>
        <item x="9"/>
        <item x="194"/>
        <item x="197"/>
        <item x="282"/>
        <item x="268"/>
        <item x="159"/>
        <item x="19"/>
        <item x="219"/>
        <item x="187"/>
        <item x="77"/>
        <item x="210"/>
        <item x="236"/>
        <item x="246"/>
        <item x="137"/>
        <item x="52"/>
        <item x="116"/>
        <item x="237"/>
        <item x="43"/>
        <item x="27"/>
        <item x="58"/>
        <item x="216"/>
        <item x="126"/>
        <item x="178"/>
        <item x="195"/>
        <item x="183"/>
        <item x="79"/>
        <item x="176"/>
        <item x="212"/>
        <item x="24"/>
        <item x="18"/>
        <item x="59"/>
        <item x="140"/>
        <item x="1"/>
        <item x="65"/>
        <item x="261"/>
        <item x="64"/>
        <item x="35"/>
        <item x="230"/>
        <item x="8"/>
        <item x="67"/>
        <item x="166"/>
        <item x="4"/>
        <item x="115"/>
        <item x="6"/>
        <item x="151"/>
        <item x="177"/>
        <item x="167"/>
        <item x="255"/>
        <item x="100"/>
        <item x="127"/>
        <item x="12"/>
        <item x="66"/>
        <item x="227"/>
        <item x="40"/>
        <item x="251"/>
        <item x="109"/>
        <item x="63"/>
        <item x="11"/>
        <item x="3"/>
        <item x="14"/>
        <item x="17"/>
        <item x="201"/>
        <item x="289"/>
        <item x="106"/>
        <item x="42"/>
        <item x="281"/>
        <item x="62"/>
        <item x="234"/>
        <item x="257"/>
        <item x="93"/>
        <item x="154"/>
        <item x="240"/>
        <item x="191"/>
        <item x="238"/>
        <item x="148"/>
        <item x="241"/>
        <item x="131"/>
        <item x="68"/>
        <item x="253"/>
        <item x="84"/>
        <item x="57"/>
        <item x="88"/>
        <item x="179"/>
        <item x="120"/>
        <item x="250"/>
        <item x="204"/>
        <item x="105"/>
        <item x="260"/>
        <item x="134"/>
        <item x="60"/>
        <item x="245"/>
        <item x="184"/>
        <item x="89"/>
        <item x="247"/>
        <item x="267"/>
        <item x="174"/>
        <item x="229"/>
        <item x="264"/>
        <item x="91"/>
        <item x="172"/>
        <item x="156"/>
        <item x="155"/>
        <item x="101"/>
        <item x="231"/>
        <item x="173"/>
        <item x="164"/>
        <item x="99"/>
        <item x="86"/>
        <item x="37"/>
        <item x="152"/>
        <item x="193"/>
        <item x="72"/>
        <item x="78"/>
        <item x="81"/>
        <item x="283"/>
        <item x="117"/>
        <item x="259"/>
        <item x="273"/>
        <item x="232"/>
        <item x="287"/>
        <item x="132"/>
        <item x="111"/>
        <item x="33"/>
        <item x="16"/>
        <item x="169"/>
        <item x="31"/>
        <item x="113"/>
        <item x="163"/>
        <item x="97"/>
        <item x="69"/>
        <item x="249"/>
        <item x="2"/>
        <item x="196"/>
        <item x="92"/>
        <item x="202"/>
        <item x="279"/>
        <item x="28"/>
        <item x="217"/>
        <item x="82"/>
        <item x="143"/>
        <item x="265"/>
        <item x="136"/>
        <item x="244"/>
        <item x="203"/>
        <item x="49"/>
        <item x="20"/>
        <item x="56"/>
        <item x="266"/>
        <item x="262"/>
        <item t="default"/>
      </items>
    </pivotField>
    <pivotField numFmtId="164" showAll="0"/>
    <pivotField dataField="1" showAll="0"/>
    <pivotField axis="axisCol" showAll="0">
      <items count="6">
        <item x="3"/>
        <item x="0"/>
        <item x="1"/>
        <item x="2"/>
        <item x="4"/>
        <item t="default"/>
      </items>
    </pivotField>
    <pivotField showAll="0"/>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11"/>
  </colFields>
  <colItems count="6">
    <i>
      <x/>
    </i>
    <i>
      <x v="1"/>
    </i>
    <i>
      <x v="2"/>
    </i>
    <i>
      <x v="3"/>
    </i>
    <i>
      <x v="4"/>
    </i>
    <i t="grand">
      <x/>
    </i>
  </colItems>
  <dataFields count="1">
    <dataField name="Sum of Treatment Cost (PKR)" fld="10" baseField="0" baseItem="0" numFmtId="3"/>
  </dataFields>
  <formats count="5">
    <format dxfId="9">
      <pivotArea dataOnly="0" labelOnly="1" fieldPosition="0">
        <references count="1">
          <reference field="11" count="0"/>
        </references>
      </pivotArea>
    </format>
    <format dxfId="8">
      <pivotArea dataOnly="0" labelOnly="1" grandCol="1" outline="0" fieldPosition="0"/>
    </format>
    <format dxfId="7">
      <pivotArea collapsedLevelsAreSubtotals="1" fieldPosition="0">
        <references count="1">
          <reference field="6" count="0"/>
        </references>
      </pivotArea>
    </format>
    <format dxfId="6">
      <pivotArea grandRow="1" outline="0" collapsedLevelsAreSubtotals="1" fieldPosition="0"/>
    </format>
    <format dxfId="5">
      <pivotArea outline="0" collapsedLevelsAreSubtotals="1" fieldPosition="0"/>
    </format>
  </formats>
  <chartFormats count="11">
    <chartFormat chart="7" format="0" series="1">
      <pivotArea type="data" outline="0" fieldPosition="0">
        <references count="2">
          <reference field="4294967294" count="1" selected="0">
            <x v="0"/>
          </reference>
          <reference field="11" count="1" selected="0">
            <x v="0"/>
          </reference>
        </references>
      </pivotArea>
    </chartFormat>
    <chartFormat chart="7" format="1" series="1">
      <pivotArea type="data" outline="0" fieldPosition="0">
        <references count="2">
          <reference field="4294967294" count="1" selected="0">
            <x v="0"/>
          </reference>
          <reference field="11" count="1" selected="0">
            <x v="1"/>
          </reference>
        </references>
      </pivotArea>
    </chartFormat>
    <chartFormat chart="7" format="2" series="1">
      <pivotArea type="data" outline="0" fieldPosition="0">
        <references count="2">
          <reference field="4294967294" count="1" selected="0">
            <x v="0"/>
          </reference>
          <reference field="11" count="1" selected="0">
            <x v="2"/>
          </reference>
        </references>
      </pivotArea>
    </chartFormat>
    <chartFormat chart="7" format="3" series="1">
      <pivotArea type="data" outline="0" fieldPosition="0">
        <references count="2">
          <reference field="4294967294" count="1" selected="0">
            <x v="0"/>
          </reference>
          <reference field="11" count="1" selected="0">
            <x v="3"/>
          </reference>
        </references>
      </pivotArea>
    </chartFormat>
    <chartFormat chart="7" format="4" series="1">
      <pivotArea type="data" outline="0" fieldPosition="0">
        <references count="2">
          <reference field="4294967294" count="1" selected="0">
            <x v="0"/>
          </reference>
          <reference field="11" count="1" selected="0">
            <x v="4"/>
          </reference>
        </references>
      </pivotArea>
    </chartFormat>
    <chartFormat chart="10" format="10" series="1">
      <pivotArea type="data" outline="0" fieldPosition="0">
        <references count="2">
          <reference field="4294967294" count="1" selected="0">
            <x v="0"/>
          </reference>
          <reference field="11" count="1" selected="0">
            <x v="0"/>
          </reference>
        </references>
      </pivotArea>
    </chartFormat>
    <chartFormat chart="10" format="11" series="1">
      <pivotArea type="data" outline="0" fieldPosition="0">
        <references count="2">
          <reference field="4294967294" count="1" selected="0">
            <x v="0"/>
          </reference>
          <reference field="11" count="1" selected="0">
            <x v="1"/>
          </reference>
        </references>
      </pivotArea>
    </chartFormat>
    <chartFormat chart="10" format="12" series="1">
      <pivotArea type="data" outline="0" fieldPosition="0">
        <references count="2">
          <reference field="4294967294" count="1" selected="0">
            <x v="0"/>
          </reference>
          <reference field="11" count="1" selected="0">
            <x v="2"/>
          </reference>
        </references>
      </pivotArea>
    </chartFormat>
    <chartFormat chart="10" format="13" series="1">
      <pivotArea type="data" outline="0" fieldPosition="0">
        <references count="2">
          <reference field="4294967294" count="1" selected="0">
            <x v="0"/>
          </reference>
          <reference field="11" count="1" selected="0">
            <x v="3"/>
          </reference>
        </references>
      </pivotArea>
    </chartFormat>
    <chartFormat chart="10" format="14" series="1">
      <pivotArea type="data" outline="0" fieldPosition="0">
        <references count="2">
          <reference field="4294967294" count="1" selected="0">
            <x v="0"/>
          </reference>
          <reference field="11" count="1" selected="0">
            <x v="4"/>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26B713-095C-4321-95AB-C763037B355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7:B16" firstHeaderRow="1" firstDataRow="1" firstDataCol="1"/>
  <pivotFields count="14">
    <pivotField showAll="0"/>
    <pivotField dataField="1" showAll="0" includeNewItemsInFilter="1"/>
    <pivotField showAll="0"/>
    <pivotField showAll="0">
      <items count="6">
        <item x="2"/>
        <item x="3"/>
        <item x="1"/>
        <item x="4"/>
        <item x="0"/>
        <item t="default"/>
      </items>
    </pivotField>
    <pivotField showAll="0"/>
    <pivotField axis="axisRow" showAll="0" sortType="ascending">
      <items count="9">
        <item x="1"/>
        <item x="4"/>
        <item x="2"/>
        <item x="0"/>
        <item x="3"/>
        <item x="5"/>
        <item x="6"/>
        <item x="7"/>
        <item t="default"/>
      </items>
      <autoSortScope>
        <pivotArea dataOnly="0" outline="0" fieldPosition="0">
          <references count="1">
            <reference field="4294967294" count="1" selected="0">
              <x v="0"/>
            </reference>
          </references>
        </pivotArea>
      </autoSortScope>
    </pivotField>
    <pivotField showAll="0">
      <items count="8">
        <item x="6"/>
        <item x="5"/>
        <item x="3"/>
        <item x="2"/>
        <item x="1"/>
        <item x="0"/>
        <item x="4"/>
        <item t="default"/>
      </items>
    </pivotField>
    <pivotField showAll="0">
      <items count="9">
        <item x="0"/>
        <item x="3"/>
        <item x="2"/>
        <item x="6"/>
        <item x="7"/>
        <item x="4"/>
        <item x="1"/>
        <item x="5"/>
        <item t="default"/>
      </items>
    </pivotField>
    <pivotField showAll="0">
      <items count="296">
        <item x="123"/>
        <item x="112"/>
        <item x="124"/>
        <item x="160"/>
        <item x="280"/>
        <item x="50"/>
        <item x="103"/>
        <item x="125"/>
        <item x="87"/>
        <item x="61"/>
        <item x="224"/>
        <item x="122"/>
        <item x="95"/>
        <item x="36"/>
        <item x="128"/>
        <item x="41"/>
        <item x="142"/>
        <item x="107"/>
        <item x="110"/>
        <item x="213"/>
        <item x="51"/>
        <item x="53"/>
        <item x="114"/>
        <item x="144"/>
        <item x="170"/>
        <item x="108"/>
        <item x="5"/>
        <item x="254"/>
        <item x="74"/>
        <item x="175"/>
        <item x="146"/>
        <item x="252"/>
        <item x="135"/>
        <item x="26"/>
        <item x="162"/>
        <item x="220"/>
        <item x="138"/>
        <item x="171"/>
        <item x="23"/>
        <item x="258"/>
        <item x="0"/>
        <item x="226"/>
        <item x="198"/>
        <item x="158"/>
        <item x="30"/>
        <item x="118"/>
        <item x="205"/>
        <item x="54"/>
        <item x="94"/>
        <item x="15"/>
        <item x="98"/>
        <item x="181"/>
        <item x="25"/>
        <item x="13"/>
        <item x="221"/>
        <item x="290"/>
        <item x="147"/>
        <item x="119"/>
        <item x="153"/>
        <item x="233"/>
        <item x="85"/>
        <item x="141"/>
        <item x="285"/>
        <item x="275"/>
        <item x="243"/>
        <item x="235"/>
        <item x="83"/>
        <item x="189"/>
        <item x="200"/>
        <item x="286"/>
        <item x="248"/>
        <item x="96"/>
        <item x="182"/>
        <item x="45"/>
        <item x="157"/>
        <item x="277"/>
        <item x="288"/>
        <item x="271"/>
        <item x="185"/>
        <item x="186"/>
        <item x="34"/>
        <item x="55"/>
        <item x="291"/>
        <item x="130"/>
        <item x="209"/>
        <item x="73"/>
        <item x="44"/>
        <item x="7"/>
        <item x="222"/>
        <item x="168"/>
        <item x="293"/>
        <item x="263"/>
        <item x="180"/>
        <item x="270"/>
        <item x="76"/>
        <item x="242"/>
        <item x="274"/>
        <item x="39"/>
        <item x="294"/>
        <item x="70"/>
        <item x="269"/>
        <item x="165"/>
        <item x="225"/>
        <item x="215"/>
        <item x="218"/>
        <item x="29"/>
        <item x="21"/>
        <item x="239"/>
        <item x="32"/>
        <item x="223"/>
        <item x="278"/>
        <item x="276"/>
        <item x="214"/>
        <item x="207"/>
        <item x="90"/>
        <item x="38"/>
        <item x="102"/>
        <item x="48"/>
        <item x="256"/>
        <item x="161"/>
        <item x="188"/>
        <item x="71"/>
        <item x="80"/>
        <item x="292"/>
        <item x="192"/>
        <item x="150"/>
        <item x="22"/>
        <item x="228"/>
        <item x="211"/>
        <item x="129"/>
        <item x="208"/>
        <item x="199"/>
        <item x="47"/>
        <item x="284"/>
        <item x="139"/>
        <item x="46"/>
        <item x="272"/>
        <item x="206"/>
        <item x="145"/>
        <item x="104"/>
        <item x="133"/>
        <item x="10"/>
        <item x="75"/>
        <item x="190"/>
        <item x="121"/>
        <item x="149"/>
        <item x="9"/>
        <item x="194"/>
        <item x="197"/>
        <item x="282"/>
        <item x="268"/>
        <item x="159"/>
        <item x="19"/>
        <item x="219"/>
        <item x="187"/>
        <item x="77"/>
        <item x="210"/>
        <item x="236"/>
        <item x="246"/>
        <item x="137"/>
        <item x="52"/>
        <item x="116"/>
        <item x="237"/>
        <item x="43"/>
        <item x="27"/>
        <item x="58"/>
        <item x="216"/>
        <item x="126"/>
        <item x="178"/>
        <item x="195"/>
        <item x="183"/>
        <item x="79"/>
        <item x="176"/>
        <item x="212"/>
        <item x="24"/>
        <item x="18"/>
        <item x="59"/>
        <item x="140"/>
        <item x="1"/>
        <item x="65"/>
        <item x="261"/>
        <item x="64"/>
        <item x="35"/>
        <item x="230"/>
        <item x="8"/>
        <item x="67"/>
        <item x="166"/>
        <item x="4"/>
        <item x="115"/>
        <item x="6"/>
        <item x="151"/>
        <item x="177"/>
        <item x="167"/>
        <item x="255"/>
        <item x="100"/>
        <item x="127"/>
        <item x="12"/>
        <item x="66"/>
        <item x="227"/>
        <item x="40"/>
        <item x="251"/>
        <item x="109"/>
        <item x="63"/>
        <item x="11"/>
        <item x="3"/>
        <item x="14"/>
        <item x="17"/>
        <item x="201"/>
        <item x="289"/>
        <item x="106"/>
        <item x="42"/>
        <item x="281"/>
        <item x="62"/>
        <item x="234"/>
        <item x="257"/>
        <item x="93"/>
        <item x="154"/>
        <item x="240"/>
        <item x="191"/>
        <item x="238"/>
        <item x="148"/>
        <item x="241"/>
        <item x="131"/>
        <item x="68"/>
        <item x="253"/>
        <item x="84"/>
        <item x="57"/>
        <item x="88"/>
        <item x="179"/>
        <item x="120"/>
        <item x="250"/>
        <item x="204"/>
        <item x="105"/>
        <item x="260"/>
        <item x="134"/>
        <item x="60"/>
        <item x="245"/>
        <item x="184"/>
        <item x="89"/>
        <item x="247"/>
        <item x="267"/>
        <item x="174"/>
        <item x="229"/>
        <item x="264"/>
        <item x="91"/>
        <item x="172"/>
        <item x="156"/>
        <item x="155"/>
        <item x="101"/>
        <item x="231"/>
        <item x="173"/>
        <item x="164"/>
        <item x="99"/>
        <item x="86"/>
        <item x="37"/>
        <item x="152"/>
        <item x="193"/>
        <item x="72"/>
        <item x="78"/>
        <item x="81"/>
        <item x="283"/>
        <item x="117"/>
        <item x="259"/>
        <item x="273"/>
        <item x="232"/>
        <item x="287"/>
        <item x="132"/>
        <item x="111"/>
        <item x="33"/>
        <item x="16"/>
        <item x="169"/>
        <item x="31"/>
        <item x="113"/>
        <item x="163"/>
        <item x="97"/>
        <item x="69"/>
        <item x="249"/>
        <item x="2"/>
        <item x="196"/>
        <item x="92"/>
        <item x="202"/>
        <item x="279"/>
        <item x="28"/>
        <item x="217"/>
        <item x="82"/>
        <item x="143"/>
        <item x="265"/>
        <item x="136"/>
        <item x="244"/>
        <item x="203"/>
        <item x="49"/>
        <item x="20"/>
        <item x="56"/>
        <item x="266"/>
        <item x="26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9">
    <i>
      <x v="7"/>
    </i>
    <i>
      <x v="2"/>
    </i>
    <i>
      <x v="6"/>
    </i>
    <i>
      <x v="5"/>
    </i>
    <i>
      <x v="1"/>
    </i>
    <i>
      <x v="3"/>
    </i>
    <i>
      <x/>
    </i>
    <i>
      <x v="4"/>
    </i>
    <i t="grand">
      <x/>
    </i>
  </rowItems>
  <colItems count="1">
    <i/>
  </colItems>
  <dataFields count="1">
    <dataField name="Count of Patient Name" fld="1" subtotal="count" baseField="0" baseItem="0"/>
  </dataFields>
  <chartFormats count="3">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1CCF3E-AADB-4A54-A05B-C14A9FC7049B}"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4:E73" firstHeaderRow="1" firstDataRow="2" firstDataCol="1"/>
  <pivotFields count="14">
    <pivotField showAll="0"/>
    <pivotField showAll="0" includeNewItemsInFilter="1" sumSubtotal="1">
      <items count="489">
        <item x="357"/>
        <item x="95"/>
        <item x="113"/>
        <item x="46"/>
        <item x="12"/>
        <item x="278"/>
        <item x="160"/>
        <item x="21"/>
        <item x="52"/>
        <item x="134"/>
        <item x="370"/>
        <item x="365"/>
        <item x="285"/>
        <item x="146"/>
        <item x="244"/>
        <item x="413"/>
        <item x="91"/>
        <item x="297"/>
        <item x="411"/>
        <item x="145"/>
        <item x="378"/>
        <item x="70"/>
        <item x="395"/>
        <item x="54"/>
        <item x="485"/>
        <item x="353"/>
        <item x="262"/>
        <item x="249"/>
        <item x="306"/>
        <item x="401"/>
        <item x="65"/>
        <item x="142"/>
        <item x="382"/>
        <item x="352"/>
        <item x="66"/>
        <item x="129"/>
        <item x="310"/>
        <item x="332"/>
        <item x="474"/>
        <item x="255"/>
        <item x="258"/>
        <item x="6"/>
        <item x="316"/>
        <item x="238"/>
        <item x="98"/>
        <item x="9"/>
        <item x="387"/>
        <item x="182"/>
        <item x="108"/>
        <item x="320"/>
        <item x="360"/>
        <item x="90"/>
        <item x="377"/>
        <item x="115"/>
        <item x="414"/>
        <item x="71"/>
        <item x="165"/>
        <item x="379"/>
        <item x="188"/>
        <item x="463"/>
        <item x="451"/>
        <item x="454"/>
        <item x="477"/>
        <item x="35"/>
        <item x="430"/>
        <item x="318"/>
        <item x="265"/>
        <item x="41"/>
        <item x="100"/>
        <item x="212"/>
        <item x="340"/>
        <item x="337"/>
        <item x="376"/>
        <item x="112"/>
        <item x="3"/>
        <item x="264"/>
        <item x="176"/>
        <item x="260"/>
        <item x="243"/>
        <item x="287"/>
        <item x="117"/>
        <item x="409"/>
        <item x="422"/>
        <item x="419"/>
        <item x="199"/>
        <item x="138"/>
        <item x="252"/>
        <item x="123"/>
        <item x="418"/>
        <item x="155"/>
        <item x="135"/>
        <item x="407"/>
        <item x="408"/>
        <item x="427"/>
        <item x="303"/>
        <item x="266"/>
        <item x="170"/>
        <item x="127"/>
        <item x="81"/>
        <item x="167"/>
        <item x="109"/>
        <item x="235"/>
        <item x="178"/>
        <item x="333"/>
        <item x="17"/>
        <item x="131"/>
        <item x="330"/>
        <item x="456"/>
        <item x="274"/>
        <item x="446"/>
        <item x="368"/>
        <item x="159"/>
        <item x="218"/>
        <item x="268"/>
        <item x="366"/>
        <item x="49"/>
        <item x="286"/>
        <item x="466"/>
        <item x="27"/>
        <item x="139"/>
        <item x="8"/>
        <item x="284"/>
        <item x="381"/>
        <item x="72"/>
        <item x="434"/>
        <item x="132"/>
        <item x="44"/>
        <item x="150"/>
        <item x="351"/>
        <item x="237"/>
        <item x="472"/>
        <item x="7"/>
        <item x="196"/>
        <item x="471"/>
        <item x="5"/>
        <item x="221"/>
        <item x="426"/>
        <item x="336"/>
        <item x="103"/>
        <item x="149"/>
        <item x="82"/>
        <item x="308"/>
        <item x="180"/>
        <item x="143"/>
        <item x="275"/>
        <item x="158"/>
        <item x="213"/>
        <item x="375"/>
        <item x="183"/>
        <item x="257"/>
        <item x="331"/>
        <item x="410"/>
        <item x="344"/>
        <item x="28"/>
        <item x="424"/>
        <item x="133"/>
        <item x="128"/>
        <item x="106"/>
        <item x="312"/>
        <item x="93"/>
        <item x="194"/>
        <item x="154"/>
        <item x="36"/>
        <item x="292"/>
        <item x="51"/>
        <item x="1"/>
        <item x="404"/>
        <item x="211"/>
        <item x="94"/>
        <item x="467"/>
        <item x="205"/>
        <item x="339"/>
        <item x="270"/>
        <item x="206"/>
        <item x="141"/>
        <item x="29"/>
        <item x="468"/>
        <item x="156"/>
        <item x="453"/>
        <item x="321"/>
        <item x="118"/>
        <item x="234"/>
        <item x="215"/>
        <item x="174"/>
        <item x="57"/>
        <item x="13"/>
        <item x="481"/>
        <item x="371"/>
        <item x="190"/>
        <item x="384"/>
        <item x="220"/>
        <item x="380"/>
        <item x="233"/>
        <item x="168"/>
        <item x="16"/>
        <item x="389"/>
        <item x="121"/>
        <item x="172"/>
        <item x="461"/>
        <item x="261"/>
        <item x="476"/>
        <item x="242"/>
        <item x="177"/>
        <item x="69"/>
        <item x="124"/>
        <item x="209"/>
        <item x="455"/>
        <item x="25"/>
        <item x="372"/>
        <item x="429"/>
        <item x="225"/>
        <item x="486"/>
        <item x="120"/>
        <item x="311"/>
        <item x="122"/>
        <item x="385"/>
        <item x="440"/>
        <item x="208"/>
        <item x="40"/>
        <item x="207"/>
        <item x="334"/>
        <item x="296"/>
        <item x="272"/>
        <item x="50"/>
        <item x="77"/>
        <item x="304"/>
        <item x="350"/>
        <item x="126"/>
        <item x="354"/>
        <item x="400"/>
        <item x="445"/>
        <item x="137"/>
        <item x="465"/>
        <item x="412"/>
        <item x="84"/>
        <item x="293"/>
        <item x="276"/>
        <item x="462"/>
        <item x="290"/>
        <item x="114"/>
        <item x="11"/>
        <item x="343"/>
        <item x="358"/>
        <item x="136"/>
        <item x="341"/>
        <item x="309"/>
        <item x="415"/>
        <item x="327"/>
        <item x="101"/>
        <item x="239"/>
        <item x="162"/>
        <item x="151"/>
        <item x="417"/>
        <item x="447"/>
        <item x="229"/>
        <item x="89"/>
        <item x="56"/>
        <item x="313"/>
        <item x="288"/>
        <item x="130"/>
        <item x="67"/>
        <item x="345"/>
        <item x="222"/>
        <item x="348"/>
        <item x="279"/>
        <item x="428"/>
        <item x="362"/>
        <item x="164"/>
        <item x="181"/>
        <item x="186"/>
        <item x="399"/>
        <item x="2"/>
        <item x="324"/>
        <item x="383"/>
        <item x="201"/>
        <item x="363"/>
        <item x="197"/>
        <item x="60"/>
        <item x="317"/>
        <item x="349"/>
        <item x="232"/>
        <item x="223"/>
        <item x="217"/>
        <item x="61"/>
        <item x="443"/>
        <item x="459"/>
        <item x="39"/>
        <item x="34"/>
        <item x="396"/>
        <item x="402"/>
        <item x="246"/>
        <item x="391"/>
        <item x="319"/>
        <item x="226"/>
        <item x="116"/>
        <item x="184"/>
        <item x="416"/>
        <item x="23"/>
        <item x="326"/>
        <item x="473"/>
        <item x="111"/>
        <item x="398"/>
        <item x="42"/>
        <item x="386"/>
        <item x="421"/>
        <item x="76"/>
        <item x="166"/>
        <item x="240"/>
        <item x="110"/>
        <item x="356"/>
        <item x="68"/>
        <item x="394"/>
        <item x="403"/>
        <item x="347"/>
        <item x="442"/>
        <item x="438"/>
        <item x="74"/>
        <item x="125"/>
        <item x="263"/>
        <item x="484"/>
        <item x="200"/>
        <item x="247"/>
        <item x="355"/>
        <item x="63"/>
        <item x="390"/>
        <item x="37"/>
        <item x="392"/>
        <item x="47"/>
        <item x="15"/>
        <item x="458"/>
        <item x="230"/>
        <item x="216"/>
        <item x="80"/>
        <item x="273"/>
        <item x="359"/>
        <item x="163"/>
        <item x="119"/>
        <item x="175"/>
        <item x="20"/>
        <item x="483"/>
        <item x="364"/>
        <item x="78"/>
        <item x="14"/>
        <item x="373"/>
        <item x="85"/>
        <item x="281"/>
        <item x="227"/>
        <item x="298"/>
        <item x="187"/>
        <item x="253"/>
        <item x="307"/>
        <item x="271"/>
        <item x="219"/>
        <item x="189"/>
        <item x="441"/>
        <item x="18"/>
        <item x="193"/>
        <item x="301"/>
        <item x="295"/>
        <item x="374"/>
        <item x="236"/>
        <item x="475"/>
        <item x="38"/>
        <item x="250"/>
        <item x="4"/>
        <item x="361"/>
        <item x="393"/>
        <item x="256"/>
        <item x="432"/>
        <item x="314"/>
        <item x="431"/>
        <item x="104"/>
        <item x="179"/>
        <item x="420"/>
        <item x="157"/>
        <item x="202"/>
        <item x="346"/>
        <item x="328"/>
        <item x="291"/>
        <item x="283"/>
        <item x="448"/>
        <item x="64"/>
        <item x="33"/>
        <item x="439"/>
        <item x="203"/>
        <item x="105"/>
        <item x="433"/>
        <item x="87"/>
        <item x="173"/>
        <item x="302"/>
        <item x="325"/>
        <item x="435"/>
        <item x="329"/>
        <item x="26"/>
        <item x="102"/>
        <item x="241"/>
        <item x="144"/>
        <item x="452"/>
        <item x="96"/>
        <item x="369"/>
        <item x="464"/>
        <item x="19"/>
        <item x="0"/>
        <item x="423"/>
        <item x="210"/>
        <item x="269"/>
        <item x="478"/>
        <item x="58"/>
        <item x="289"/>
        <item x="152"/>
        <item x="228"/>
        <item x="171"/>
        <item x="99"/>
        <item x="140"/>
        <item x="24"/>
        <item x="107"/>
        <item x="436"/>
        <item x="30"/>
        <item x="425"/>
        <item x="338"/>
        <item x="31"/>
        <item x="469"/>
        <item x="92"/>
        <item x="43"/>
        <item x="169"/>
        <item x="231"/>
        <item x="323"/>
        <item x="148"/>
        <item x="147"/>
        <item x="62"/>
        <item x="79"/>
        <item x="32"/>
        <item x="457"/>
        <item x="198"/>
        <item x="277"/>
        <item x="59"/>
        <item x="322"/>
        <item x="48"/>
        <item x="388"/>
        <item x="444"/>
        <item x="470"/>
        <item x="406"/>
        <item x="45"/>
        <item x="280"/>
        <item x="214"/>
        <item x="299"/>
        <item x="88"/>
        <item x="367"/>
        <item x="55"/>
        <item x="86"/>
        <item x="437"/>
        <item x="161"/>
        <item x="224"/>
        <item x="185"/>
        <item x="259"/>
        <item x="245"/>
        <item x="10"/>
        <item x="191"/>
        <item x="335"/>
        <item x="460"/>
        <item x="97"/>
        <item x="204"/>
        <item x="300"/>
        <item x="450"/>
        <item x="83"/>
        <item x="294"/>
        <item x="251"/>
        <item x="305"/>
        <item x="248"/>
        <item x="479"/>
        <item x="397"/>
        <item x="254"/>
        <item x="192"/>
        <item x="342"/>
        <item x="487"/>
        <item x="482"/>
        <item x="53"/>
        <item x="315"/>
        <item x="153"/>
        <item x="22"/>
        <item x="405"/>
        <item x="195"/>
        <item x="75"/>
        <item x="449"/>
        <item x="73"/>
        <item x="282"/>
        <item x="267"/>
        <item x="480"/>
        <item t="sum"/>
      </items>
    </pivotField>
    <pivotField showAll="0"/>
    <pivotField showAll="0">
      <items count="6">
        <item x="2"/>
        <item x="3"/>
        <item x="1"/>
        <item x="4"/>
        <item x="0"/>
        <item t="default"/>
      </items>
    </pivotField>
    <pivotField axis="axisCol" showAll="0" sortType="descending">
      <items count="4">
        <item x="2"/>
        <item x="0"/>
        <item x="1"/>
        <item t="default"/>
      </items>
    </pivotField>
    <pivotField showAll="0">
      <items count="9">
        <item x="1"/>
        <item x="4"/>
        <item x="2"/>
        <item x="0"/>
        <item x="3"/>
        <item x="5"/>
        <item x="6"/>
        <item x="7"/>
        <item t="default"/>
      </items>
    </pivotField>
    <pivotField axis="axisRow" showAll="0">
      <items count="8">
        <item x="6"/>
        <item x="5"/>
        <item x="3"/>
        <item x="2"/>
        <item x="1"/>
        <item x="0"/>
        <item x="4"/>
        <item t="default"/>
      </items>
    </pivotField>
    <pivotField showAll="0">
      <items count="9">
        <item x="0"/>
        <item x="3"/>
        <item x="2"/>
        <item x="6"/>
        <item x="7"/>
        <item x="4"/>
        <item x="1"/>
        <item x="5"/>
        <item t="default"/>
      </items>
    </pivotField>
    <pivotField showAll="0">
      <items count="296">
        <item x="123"/>
        <item x="112"/>
        <item x="124"/>
        <item x="160"/>
        <item x="280"/>
        <item x="50"/>
        <item x="103"/>
        <item x="125"/>
        <item x="87"/>
        <item x="61"/>
        <item x="224"/>
        <item x="122"/>
        <item x="95"/>
        <item x="36"/>
        <item x="128"/>
        <item x="41"/>
        <item x="142"/>
        <item x="107"/>
        <item x="110"/>
        <item x="213"/>
        <item x="51"/>
        <item x="53"/>
        <item x="114"/>
        <item x="144"/>
        <item x="170"/>
        <item x="108"/>
        <item x="5"/>
        <item x="254"/>
        <item x="74"/>
        <item x="175"/>
        <item x="146"/>
        <item x="252"/>
        <item x="135"/>
        <item x="26"/>
        <item x="162"/>
        <item x="220"/>
        <item x="138"/>
        <item x="171"/>
        <item x="23"/>
        <item x="258"/>
        <item x="0"/>
        <item x="226"/>
        <item x="198"/>
        <item x="158"/>
        <item x="30"/>
        <item x="118"/>
        <item x="205"/>
        <item x="54"/>
        <item x="94"/>
        <item x="15"/>
        <item x="98"/>
        <item x="181"/>
        <item x="25"/>
        <item x="13"/>
        <item x="221"/>
        <item x="290"/>
        <item x="147"/>
        <item x="119"/>
        <item x="153"/>
        <item x="233"/>
        <item x="85"/>
        <item x="141"/>
        <item x="285"/>
        <item x="275"/>
        <item x="243"/>
        <item x="235"/>
        <item x="83"/>
        <item x="189"/>
        <item x="200"/>
        <item x="286"/>
        <item x="248"/>
        <item x="96"/>
        <item x="182"/>
        <item x="45"/>
        <item x="157"/>
        <item x="277"/>
        <item x="288"/>
        <item x="271"/>
        <item x="185"/>
        <item x="186"/>
        <item x="34"/>
        <item x="55"/>
        <item x="291"/>
        <item x="130"/>
        <item x="209"/>
        <item x="73"/>
        <item x="44"/>
        <item x="7"/>
        <item x="222"/>
        <item x="168"/>
        <item x="293"/>
        <item x="263"/>
        <item x="180"/>
        <item x="270"/>
        <item x="76"/>
        <item x="242"/>
        <item x="274"/>
        <item x="39"/>
        <item x="294"/>
        <item x="70"/>
        <item x="269"/>
        <item x="165"/>
        <item x="225"/>
        <item x="215"/>
        <item x="218"/>
        <item x="29"/>
        <item x="21"/>
        <item x="239"/>
        <item x="32"/>
        <item x="223"/>
        <item x="278"/>
        <item x="276"/>
        <item x="214"/>
        <item x="207"/>
        <item x="90"/>
        <item x="38"/>
        <item x="102"/>
        <item x="48"/>
        <item x="256"/>
        <item x="161"/>
        <item x="188"/>
        <item x="71"/>
        <item x="80"/>
        <item x="292"/>
        <item x="192"/>
        <item x="150"/>
        <item x="22"/>
        <item x="228"/>
        <item x="211"/>
        <item x="129"/>
        <item x="208"/>
        <item x="199"/>
        <item x="47"/>
        <item x="284"/>
        <item x="139"/>
        <item x="46"/>
        <item x="272"/>
        <item x="206"/>
        <item x="145"/>
        <item x="104"/>
        <item x="133"/>
        <item x="10"/>
        <item x="75"/>
        <item x="190"/>
        <item x="121"/>
        <item x="149"/>
        <item x="9"/>
        <item x="194"/>
        <item x="197"/>
        <item x="282"/>
        <item x="268"/>
        <item x="159"/>
        <item x="19"/>
        <item x="219"/>
        <item x="187"/>
        <item x="77"/>
        <item x="210"/>
        <item x="236"/>
        <item x="246"/>
        <item x="137"/>
        <item x="52"/>
        <item x="116"/>
        <item x="237"/>
        <item x="43"/>
        <item x="27"/>
        <item x="58"/>
        <item x="216"/>
        <item x="126"/>
        <item x="178"/>
        <item x="195"/>
        <item x="183"/>
        <item x="79"/>
        <item x="176"/>
        <item x="212"/>
        <item x="24"/>
        <item x="18"/>
        <item x="59"/>
        <item x="140"/>
        <item x="1"/>
        <item x="65"/>
        <item x="261"/>
        <item x="64"/>
        <item x="35"/>
        <item x="230"/>
        <item x="8"/>
        <item x="67"/>
        <item x="166"/>
        <item x="4"/>
        <item x="115"/>
        <item x="6"/>
        <item x="151"/>
        <item x="177"/>
        <item x="167"/>
        <item x="255"/>
        <item x="100"/>
        <item x="127"/>
        <item x="12"/>
        <item x="66"/>
        <item x="227"/>
        <item x="40"/>
        <item x="251"/>
        <item x="109"/>
        <item x="63"/>
        <item x="11"/>
        <item x="3"/>
        <item x="14"/>
        <item x="17"/>
        <item x="201"/>
        <item x="289"/>
        <item x="106"/>
        <item x="42"/>
        <item x="281"/>
        <item x="62"/>
        <item x="234"/>
        <item x="257"/>
        <item x="93"/>
        <item x="154"/>
        <item x="240"/>
        <item x="191"/>
        <item x="238"/>
        <item x="148"/>
        <item x="241"/>
        <item x="131"/>
        <item x="68"/>
        <item x="253"/>
        <item x="84"/>
        <item x="57"/>
        <item x="88"/>
        <item x="179"/>
        <item x="120"/>
        <item x="250"/>
        <item x="204"/>
        <item x="105"/>
        <item x="260"/>
        <item x="134"/>
        <item x="60"/>
        <item x="245"/>
        <item x="184"/>
        <item x="89"/>
        <item x="247"/>
        <item x="267"/>
        <item x="174"/>
        <item x="229"/>
        <item x="264"/>
        <item x="91"/>
        <item x="172"/>
        <item x="156"/>
        <item x="155"/>
        <item x="101"/>
        <item x="231"/>
        <item x="173"/>
        <item x="164"/>
        <item x="99"/>
        <item x="86"/>
        <item x="37"/>
        <item x="152"/>
        <item x="193"/>
        <item x="72"/>
        <item x="78"/>
        <item x="81"/>
        <item x="283"/>
        <item x="117"/>
        <item x="259"/>
        <item x="273"/>
        <item x="232"/>
        <item x="287"/>
        <item x="132"/>
        <item x="111"/>
        <item x="33"/>
        <item x="16"/>
        <item x="169"/>
        <item x="31"/>
        <item x="113"/>
        <item x="163"/>
        <item x="97"/>
        <item x="69"/>
        <item x="249"/>
        <item x="2"/>
        <item x="196"/>
        <item x="92"/>
        <item x="202"/>
        <item x="279"/>
        <item x="28"/>
        <item x="217"/>
        <item x="82"/>
        <item x="143"/>
        <item x="265"/>
        <item x="136"/>
        <item x="244"/>
        <item x="203"/>
        <item x="49"/>
        <item x="20"/>
        <item x="56"/>
        <item x="266"/>
        <item x="262"/>
        <item t="default"/>
      </items>
    </pivotField>
    <pivotField numFmtId="164"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4"/>
  </colFields>
  <colItems count="4">
    <i>
      <x/>
    </i>
    <i>
      <x v="1"/>
    </i>
    <i>
      <x v="2"/>
    </i>
    <i t="grand">
      <x/>
    </i>
  </colItems>
  <dataFields count="1">
    <dataField name="Average of Treatment Cost (PKR)" fld="10" subtotal="average" baseField="5" baseItem="0" numFmtId="3"/>
  </dataFields>
  <formats count="5">
    <format dxfId="14">
      <pivotArea outline="0" collapsedLevelsAreSubtotals="1" fieldPosition="0"/>
    </format>
    <format dxfId="13">
      <pivotArea outline="0" collapsedLevelsAreSubtotals="1" fieldPosition="0"/>
    </format>
    <format dxfId="12">
      <pivotArea dataOnly="0" labelOnly="1" fieldPosition="0">
        <references count="1">
          <reference field="4" count="0"/>
        </references>
      </pivotArea>
    </format>
    <format dxfId="11">
      <pivotArea dataOnly="0" labelOnly="1" grandCol="1" outline="0" fieldPosition="0"/>
    </format>
    <format dxfId="10">
      <pivotArea outline="0" collapsedLevelsAreSubtotals="1" fieldPosition="0"/>
    </format>
  </formats>
  <chartFormats count="13">
    <chartFormat chart="0" format="0" series="1">
      <pivotArea type="data" outline="0" fieldPosition="0">
        <references count="2">
          <reference field="4294967294" count="1" selected="0">
            <x v="0"/>
          </reference>
          <reference field="4" count="1" selected="0">
            <x v="2"/>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2"/>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 chart="3" format="18"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4" count="1" selected="0">
            <x v="0"/>
          </reference>
        </references>
      </pivotArea>
    </chartFormat>
    <chartFormat chart="12" format="1" series="1">
      <pivotArea type="data" outline="0" fieldPosition="0">
        <references count="2">
          <reference field="4294967294" count="1" selected="0">
            <x v="0"/>
          </reference>
          <reference field="4" count="1" selected="0">
            <x v="1"/>
          </reference>
        </references>
      </pivotArea>
    </chartFormat>
    <chartFormat chart="12" format="2" series="1">
      <pivotArea type="data" outline="0" fieldPosition="0">
        <references count="2">
          <reference field="4294967294" count="1" selected="0">
            <x v="0"/>
          </reference>
          <reference field="4" count="1" selected="0">
            <x v="2"/>
          </reference>
        </references>
      </pivotArea>
    </chartFormat>
    <chartFormat chart="15" format="26" series="1">
      <pivotArea type="data" outline="0" fieldPosition="0">
        <references count="2">
          <reference field="4294967294" count="1" selected="0">
            <x v="0"/>
          </reference>
          <reference field="4" count="1" selected="0">
            <x v="0"/>
          </reference>
        </references>
      </pivotArea>
    </chartFormat>
    <chartFormat chart="15" format="27" series="1">
      <pivotArea type="data" outline="0" fieldPosition="0">
        <references count="2">
          <reference field="4294967294" count="1" selected="0">
            <x v="0"/>
          </reference>
          <reference field="4" count="1" selected="0">
            <x v="1"/>
          </reference>
        </references>
      </pivotArea>
    </chartFormat>
    <chartFormat chart="15" format="2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9D8C59-3781-4546-866D-FE4F99812EE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0:E29" firstHeaderRow="1" firstDataRow="1" firstDataCol="1"/>
  <pivotFields count="14">
    <pivotField showAll="0"/>
    <pivotField dataField="1" showAll="0" includeNewItemsInFilter="1"/>
    <pivotField showAll="0"/>
    <pivotField showAll="0">
      <items count="6">
        <item x="2"/>
        <item x="3"/>
        <item x="1"/>
        <item x="4"/>
        <item x="0"/>
        <item t="default"/>
      </items>
    </pivotField>
    <pivotField showAll="0"/>
    <pivotField showAll="0">
      <items count="9">
        <item x="1"/>
        <item x="4"/>
        <item x="2"/>
        <item x="0"/>
        <item x="3"/>
        <item x="5"/>
        <item x="6"/>
        <item x="7"/>
        <item t="default"/>
      </items>
    </pivotField>
    <pivotField showAll="0">
      <items count="8">
        <item x="6"/>
        <item x="5"/>
        <item x="3"/>
        <item x="2"/>
        <item x="1"/>
        <item x="0"/>
        <item x="4"/>
        <item t="default"/>
      </items>
    </pivotField>
    <pivotField axis="axisRow" showAll="0" sortType="ascending">
      <items count="9">
        <item x="0"/>
        <item x="3"/>
        <item x="2"/>
        <item x="6"/>
        <item x="7"/>
        <item x="4"/>
        <item x="1"/>
        <item x="5"/>
        <item t="default"/>
      </items>
      <autoSortScope>
        <pivotArea dataOnly="0" outline="0" fieldPosition="0">
          <references count="1">
            <reference field="4294967294" count="1" selected="0">
              <x v="0"/>
            </reference>
          </references>
        </pivotArea>
      </autoSortScope>
    </pivotField>
    <pivotField showAll="0">
      <items count="296">
        <item x="123"/>
        <item x="112"/>
        <item x="124"/>
        <item x="160"/>
        <item x="280"/>
        <item x="50"/>
        <item x="103"/>
        <item x="125"/>
        <item x="87"/>
        <item x="61"/>
        <item x="224"/>
        <item x="122"/>
        <item x="95"/>
        <item x="36"/>
        <item x="128"/>
        <item x="41"/>
        <item x="142"/>
        <item x="107"/>
        <item x="110"/>
        <item x="213"/>
        <item x="51"/>
        <item x="53"/>
        <item x="114"/>
        <item x="144"/>
        <item x="170"/>
        <item x="108"/>
        <item x="5"/>
        <item x="254"/>
        <item x="74"/>
        <item x="175"/>
        <item x="146"/>
        <item x="252"/>
        <item x="135"/>
        <item x="26"/>
        <item x="162"/>
        <item x="220"/>
        <item x="138"/>
        <item x="171"/>
        <item x="23"/>
        <item x="258"/>
        <item x="0"/>
        <item x="226"/>
        <item x="198"/>
        <item x="158"/>
        <item x="30"/>
        <item x="118"/>
        <item x="205"/>
        <item x="54"/>
        <item x="94"/>
        <item x="15"/>
        <item x="98"/>
        <item x="181"/>
        <item x="25"/>
        <item x="13"/>
        <item x="221"/>
        <item x="290"/>
        <item x="147"/>
        <item x="119"/>
        <item x="153"/>
        <item x="233"/>
        <item x="85"/>
        <item x="141"/>
        <item x="285"/>
        <item x="275"/>
        <item x="243"/>
        <item x="235"/>
        <item x="83"/>
        <item x="189"/>
        <item x="200"/>
        <item x="286"/>
        <item x="248"/>
        <item x="96"/>
        <item x="182"/>
        <item x="45"/>
        <item x="157"/>
        <item x="277"/>
        <item x="288"/>
        <item x="271"/>
        <item x="185"/>
        <item x="186"/>
        <item x="34"/>
        <item x="55"/>
        <item x="291"/>
        <item x="130"/>
        <item x="209"/>
        <item x="73"/>
        <item x="44"/>
        <item x="7"/>
        <item x="222"/>
        <item x="168"/>
        <item x="293"/>
        <item x="263"/>
        <item x="180"/>
        <item x="270"/>
        <item x="76"/>
        <item x="242"/>
        <item x="274"/>
        <item x="39"/>
        <item x="294"/>
        <item x="70"/>
        <item x="269"/>
        <item x="165"/>
        <item x="225"/>
        <item x="215"/>
        <item x="218"/>
        <item x="29"/>
        <item x="21"/>
        <item x="239"/>
        <item x="32"/>
        <item x="223"/>
        <item x="278"/>
        <item x="276"/>
        <item x="214"/>
        <item x="207"/>
        <item x="90"/>
        <item x="38"/>
        <item x="102"/>
        <item x="48"/>
        <item x="256"/>
        <item x="161"/>
        <item x="188"/>
        <item x="71"/>
        <item x="80"/>
        <item x="292"/>
        <item x="192"/>
        <item x="150"/>
        <item x="22"/>
        <item x="228"/>
        <item x="211"/>
        <item x="129"/>
        <item x="208"/>
        <item x="199"/>
        <item x="47"/>
        <item x="284"/>
        <item x="139"/>
        <item x="46"/>
        <item x="272"/>
        <item x="206"/>
        <item x="145"/>
        <item x="104"/>
        <item x="133"/>
        <item x="10"/>
        <item x="75"/>
        <item x="190"/>
        <item x="121"/>
        <item x="149"/>
        <item x="9"/>
        <item x="194"/>
        <item x="197"/>
        <item x="282"/>
        <item x="268"/>
        <item x="159"/>
        <item x="19"/>
        <item x="219"/>
        <item x="187"/>
        <item x="77"/>
        <item x="210"/>
        <item x="236"/>
        <item x="246"/>
        <item x="137"/>
        <item x="52"/>
        <item x="116"/>
        <item x="237"/>
        <item x="43"/>
        <item x="27"/>
        <item x="58"/>
        <item x="216"/>
        <item x="126"/>
        <item x="178"/>
        <item x="195"/>
        <item x="183"/>
        <item x="79"/>
        <item x="176"/>
        <item x="212"/>
        <item x="24"/>
        <item x="18"/>
        <item x="59"/>
        <item x="140"/>
        <item x="1"/>
        <item x="65"/>
        <item x="261"/>
        <item x="64"/>
        <item x="35"/>
        <item x="230"/>
        <item x="8"/>
        <item x="67"/>
        <item x="166"/>
        <item x="4"/>
        <item x="115"/>
        <item x="6"/>
        <item x="151"/>
        <item x="177"/>
        <item x="167"/>
        <item x="255"/>
        <item x="100"/>
        <item x="127"/>
        <item x="12"/>
        <item x="66"/>
        <item x="227"/>
        <item x="40"/>
        <item x="251"/>
        <item x="109"/>
        <item x="63"/>
        <item x="11"/>
        <item x="3"/>
        <item x="14"/>
        <item x="17"/>
        <item x="201"/>
        <item x="289"/>
        <item x="106"/>
        <item x="42"/>
        <item x="281"/>
        <item x="62"/>
        <item x="234"/>
        <item x="257"/>
        <item x="93"/>
        <item x="154"/>
        <item x="240"/>
        <item x="191"/>
        <item x="238"/>
        <item x="148"/>
        <item x="241"/>
        <item x="131"/>
        <item x="68"/>
        <item x="253"/>
        <item x="84"/>
        <item x="57"/>
        <item x="88"/>
        <item x="179"/>
        <item x="120"/>
        <item x="250"/>
        <item x="204"/>
        <item x="105"/>
        <item x="260"/>
        <item x="134"/>
        <item x="60"/>
        <item x="245"/>
        <item x="184"/>
        <item x="89"/>
        <item x="247"/>
        <item x="267"/>
        <item x="174"/>
        <item x="229"/>
        <item x="264"/>
        <item x="91"/>
        <item x="172"/>
        <item x="156"/>
        <item x="155"/>
        <item x="101"/>
        <item x="231"/>
        <item x="173"/>
        <item x="164"/>
        <item x="99"/>
        <item x="86"/>
        <item x="37"/>
        <item x="152"/>
        <item x="193"/>
        <item x="72"/>
        <item x="78"/>
        <item x="81"/>
        <item x="283"/>
        <item x="117"/>
        <item x="259"/>
        <item x="273"/>
        <item x="232"/>
        <item x="287"/>
        <item x="132"/>
        <item x="111"/>
        <item x="33"/>
        <item x="16"/>
        <item x="169"/>
        <item x="31"/>
        <item x="113"/>
        <item x="163"/>
        <item x="97"/>
        <item x="69"/>
        <item x="249"/>
        <item x="2"/>
        <item x="196"/>
        <item x="92"/>
        <item x="202"/>
        <item x="279"/>
        <item x="28"/>
        <item x="217"/>
        <item x="82"/>
        <item x="143"/>
        <item x="265"/>
        <item x="136"/>
        <item x="244"/>
        <item x="203"/>
        <item x="49"/>
        <item x="20"/>
        <item x="56"/>
        <item x="266"/>
        <item x="26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9">
    <i>
      <x v="4"/>
    </i>
    <i>
      <x v="6"/>
    </i>
    <i>
      <x v="3"/>
    </i>
    <i>
      <x v="1"/>
    </i>
    <i>
      <x v="5"/>
    </i>
    <i>
      <x v="2"/>
    </i>
    <i>
      <x v="7"/>
    </i>
    <i>
      <x/>
    </i>
    <i t="grand">
      <x/>
    </i>
  </rowItems>
  <colItems count="1">
    <i/>
  </colItems>
  <dataFields count="1">
    <dataField name="Count of Patient Na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16E648-184F-4BC5-8A5E-7787FC5A1EE1}" sourceName="City">
  <pivotTables>
    <pivotTable tabId="4" name="PivotTable1"/>
    <pivotTable tabId="4" name="PivotTable10"/>
    <pivotTable tabId="4" name="PivotTable11"/>
    <pivotTable tabId="4" name="PivotTable3"/>
    <pivotTable tabId="4" name="PivotTable4"/>
    <pivotTable tabId="4" name="PivotTable5"/>
    <pivotTable tabId="4" name="PivotTable8"/>
    <pivotTable tabId="4" name="PivotTable9"/>
  </pivotTables>
  <data>
    <tabular pivotCacheId="493192512">
      <items count="8">
        <i x="1" s="1"/>
        <i x="4" s="1"/>
        <i x="2" s="1"/>
        <i x="0" s="1"/>
        <i x="3"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A6DE29-FAAE-4F45-84CC-99DD97AEB2DC}" sourceName="Department">
  <pivotTables>
    <pivotTable tabId="4" name="PivotTable1"/>
    <pivotTable tabId="4" name="PivotTable10"/>
    <pivotTable tabId="4" name="PivotTable11"/>
    <pivotTable tabId="4" name="PivotTable3"/>
    <pivotTable tabId="4" name="PivotTable4"/>
    <pivotTable tabId="4" name="PivotTable5"/>
    <pivotTable tabId="4" name="PivotTable8"/>
    <pivotTable tabId="4" name="PivotTable9"/>
  </pivotTables>
  <data>
    <tabular pivotCacheId="493192512">
      <items count="7">
        <i x="6" s="1"/>
        <i x="5" s="1"/>
        <i x="3"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9A2F1736-6724-49DB-8568-0DEECAEB6EF8}" sourceName="Doctor">
  <pivotTables>
    <pivotTable tabId="4" name="PivotTable1"/>
    <pivotTable tabId="4" name="PivotTable10"/>
    <pivotTable tabId="4" name="PivotTable11"/>
    <pivotTable tabId="4" name="PivotTable3"/>
    <pivotTable tabId="4" name="PivotTable4"/>
    <pivotTable tabId="4" name="PivotTable5"/>
    <pivotTable tabId="4" name="PivotTable8"/>
    <pivotTable tabId="4" name="PivotTable9"/>
  </pivotTables>
  <data>
    <tabular pivotCacheId="493192512">
      <items count="8">
        <i x="0" s="1"/>
        <i x="3" s="1"/>
        <i x="2" s="1"/>
        <i x="6" s="1"/>
        <i x="7" s="1"/>
        <i x="4"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EB3B339-AA30-4513-BF99-421B8762D9A6}" sourceName="Age Group">
  <pivotTables>
    <pivotTable tabId="4" name="PivotTable9"/>
    <pivotTable tabId="4" name="PivotTable1"/>
    <pivotTable tabId="4" name="PivotTable10"/>
    <pivotTable tabId="4" name="PivotTable11"/>
    <pivotTable tabId="4" name="PivotTable3"/>
    <pivotTable tabId="4" name="PivotTable4"/>
    <pivotTable tabId="4" name="PivotTable5"/>
    <pivotTable tabId="4" name="PivotTable8"/>
  </pivotTables>
  <data>
    <tabular pivotCacheId="493192512">
      <items count="5">
        <i x="2"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3538C91-77B5-43E8-8195-8D3B1B381AD5}" cache="Slicer_City" caption="City" style="SlicerStyleDark1" rowHeight="241300"/>
  <slicer name="Department" xr10:uid="{36FEC140-7418-48F5-BEAE-F69FF9292295}" cache="Slicer_Department" caption="Department" style="SlicerStyleDark1" rowHeight="241300"/>
  <slicer name="Doctor 1" xr10:uid="{6A74D308-F4A8-4284-A8A8-363B4059626F}" cache="Slicer_Doctor" caption="Doctor" style="SlicerStyleDark1" rowHeight="241300"/>
  <slicer name="Age Group" xr10:uid="{19320134-F328-47AA-BB84-82E26589B720}" cache="Slicer_Age_Group" caption="Age Group"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D289-644B-436F-B9DA-7B4DBB659CF5}">
  <dimension ref="A1:D63"/>
  <sheetViews>
    <sheetView tabSelected="1" topLeftCell="A12" workbookViewId="0">
      <selection activeCell="C66" sqref="C66"/>
    </sheetView>
  </sheetViews>
  <sheetFormatPr defaultRowHeight="14.4"/>
  <cols>
    <col min="1" max="1" width="4" customWidth="1"/>
    <col min="2" max="2" width="22" customWidth="1"/>
    <col min="3" max="3" width="77.33203125" customWidth="1"/>
    <col min="4" max="4" width="78.33203125" customWidth="1"/>
    <col min="9" max="9" width="9" customWidth="1"/>
  </cols>
  <sheetData>
    <row r="1" spans="1:4" ht="7.95" customHeight="1"/>
    <row r="2" spans="1:4" ht="40.049999999999997" customHeight="1">
      <c r="A2" s="38" t="s">
        <v>2104</v>
      </c>
      <c r="B2" s="39"/>
      <c r="C2" s="39"/>
      <c r="D2" s="39"/>
    </row>
    <row r="3" spans="1:4" ht="7.95" customHeight="1"/>
    <row r="4" spans="1:4" ht="22.05" customHeight="1">
      <c r="A4" s="40"/>
      <c r="B4" s="39"/>
      <c r="C4" s="39"/>
      <c r="D4" s="39"/>
    </row>
    <row r="5" spans="1:4" ht="19.95" customHeight="1">
      <c r="A5" s="32" t="s">
        <v>2105</v>
      </c>
      <c r="B5" s="31"/>
      <c r="C5" s="31"/>
      <c r="D5" s="31"/>
    </row>
    <row r="6" spans="1:4" ht="19.95" customHeight="1">
      <c r="A6" s="30" t="s">
        <v>2106</v>
      </c>
      <c r="B6" s="31"/>
      <c r="C6" s="31"/>
      <c r="D6" s="31"/>
    </row>
    <row r="7" spans="1:4" ht="19.95" customHeight="1">
      <c r="A7" s="32" t="s">
        <v>2107</v>
      </c>
      <c r="B7" s="31"/>
      <c r="C7" s="31"/>
      <c r="D7" s="31"/>
    </row>
    <row r="8" spans="1:4" ht="19.95" customHeight="1">
      <c r="A8" s="30" t="s">
        <v>2108</v>
      </c>
      <c r="B8" s="31"/>
      <c r="C8" s="31"/>
      <c r="D8" s="31"/>
    </row>
    <row r="9" spans="1:4" ht="12" customHeight="1">
      <c r="A9" s="19"/>
      <c r="B9" s="19"/>
      <c r="C9" s="19"/>
      <c r="D9" s="19"/>
    </row>
    <row r="10" spans="1:4" ht="22.05" customHeight="1">
      <c r="A10" s="34" t="s">
        <v>2109</v>
      </c>
      <c r="B10" s="31"/>
      <c r="C10" s="31"/>
      <c r="D10" s="31"/>
    </row>
    <row r="11" spans="1:4" ht="19.95" customHeight="1">
      <c r="A11" s="37" t="s">
        <v>2110</v>
      </c>
      <c r="B11" s="31"/>
      <c r="C11" s="31"/>
      <c r="D11" s="31"/>
    </row>
    <row r="12" spans="1:4" ht="19.95" customHeight="1">
      <c r="A12" s="35" t="s">
        <v>2111</v>
      </c>
      <c r="B12" s="31"/>
      <c r="C12" s="31"/>
      <c r="D12" s="31"/>
    </row>
    <row r="13" spans="1:4" ht="19.95" customHeight="1">
      <c r="A13" s="36" t="s">
        <v>2112</v>
      </c>
      <c r="B13" s="31"/>
      <c r="C13" s="31"/>
      <c r="D13" s="31"/>
    </row>
    <row r="14" spans="1:4" ht="19.95" customHeight="1">
      <c r="A14" s="35" t="s">
        <v>2113</v>
      </c>
      <c r="B14" s="31"/>
      <c r="C14" s="31"/>
      <c r="D14" s="31"/>
    </row>
    <row r="15" spans="1:4" ht="19.95" customHeight="1">
      <c r="A15" s="36" t="s">
        <v>2114</v>
      </c>
      <c r="B15" s="31"/>
      <c r="C15" s="31"/>
      <c r="D15" s="31"/>
    </row>
    <row r="16" spans="1:4" ht="6" customHeight="1">
      <c r="A16" s="19"/>
      <c r="B16" s="19"/>
      <c r="C16" s="19"/>
      <c r="D16" s="19"/>
    </row>
    <row r="17" spans="1:4" ht="19.95" customHeight="1">
      <c r="A17" s="37" t="s">
        <v>2115</v>
      </c>
      <c r="B17" s="31"/>
      <c r="C17" s="31"/>
      <c r="D17" s="31"/>
    </row>
    <row r="18" spans="1:4" ht="19.95" customHeight="1">
      <c r="A18" s="35" t="s">
        <v>2116</v>
      </c>
      <c r="B18" s="31"/>
      <c r="C18" s="31"/>
      <c r="D18" s="31"/>
    </row>
    <row r="19" spans="1:4" ht="19.95" customHeight="1">
      <c r="A19" s="36" t="s">
        <v>2117</v>
      </c>
      <c r="B19" s="31"/>
      <c r="C19" s="31"/>
      <c r="D19" s="31"/>
    </row>
    <row r="20" spans="1:4" ht="19.95" customHeight="1">
      <c r="A20" s="35" t="s">
        <v>2118</v>
      </c>
      <c r="B20" s="31"/>
      <c r="C20" s="31"/>
      <c r="D20" s="31"/>
    </row>
    <row r="21" spans="1:4" ht="19.95" customHeight="1">
      <c r="A21" s="36" t="s">
        <v>2119</v>
      </c>
      <c r="B21" s="31"/>
      <c r="C21" s="31"/>
      <c r="D21" s="31"/>
    </row>
    <row r="22" spans="1:4" ht="19.95" customHeight="1">
      <c r="A22" s="35" t="s">
        <v>2120</v>
      </c>
      <c r="B22" s="31"/>
      <c r="C22" s="31"/>
      <c r="D22" s="31"/>
    </row>
    <row r="23" spans="1:4" ht="6" customHeight="1">
      <c r="A23" s="19"/>
      <c r="B23" s="19"/>
      <c r="C23" s="19"/>
      <c r="D23" s="19"/>
    </row>
    <row r="24" spans="1:4" ht="19.95" customHeight="1">
      <c r="A24" s="37" t="s">
        <v>2121</v>
      </c>
      <c r="B24" s="31"/>
      <c r="C24" s="31"/>
      <c r="D24" s="31"/>
    </row>
    <row r="25" spans="1:4" ht="19.95" customHeight="1">
      <c r="A25" s="35" t="s">
        <v>2122</v>
      </c>
      <c r="B25" s="31"/>
      <c r="C25" s="31"/>
      <c r="D25" s="31"/>
    </row>
    <row r="26" spans="1:4" ht="19.95" customHeight="1">
      <c r="A26" s="36" t="s">
        <v>2123</v>
      </c>
      <c r="B26" s="31"/>
      <c r="C26" s="31"/>
      <c r="D26" s="31"/>
    </row>
    <row r="27" spans="1:4" ht="19.95" customHeight="1">
      <c r="A27" s="35" t="s">
        <v>2124</v>
      </c>
      <c r="B27" s="31"/>
      <c r="C27" s="31"/>
      <c r="D27" s="31"/>
    </row>
    <row r="28" spans="1:4" ht="19.95" customHeight="1">
      <c r="A28" s="36" t="s">
        <v>2125</v>
      </c>
      <c r="B28" s="31"/>
      <c r="C28" s="31"/>
      <c r="D28" s="31"/>
    </row>
    <row r="29" spans="1:4" ht="19.95" customHeight="1">
      <c r="A29" s="35" t="s">
        <v>2126</v>
      </c>
      <c r="B29" s="31"/>
      <c r="C29" s="31"/>
      <c r="D29" s="31"/>
    </row>
    <row r="30" spans="1:4" ht="19.95" customHeight="1">
      <c r="A30" s="36" t="s">
        <v>2127</v>
      </c>
      <c r="B30" s="31"/>
      <c r="C30" s="31"/>
      <c r="D30" s="31"/>
    </row>
    <row r="31" spans="1:4" ht="6" customHeight="1">
      <c r="A31" s="19"/>
      <c r="B31" s="19"/>
      <c r="C31" s="19"/>
      <c r="D31" s="19"/>
    </row>
    <row r="32" spans="1:4" ht="19.95" customHeight="1">
      <c r="A32" s="37" t="s">
        <v>2128</v>
      </c>
      <c r="B32" s="31"/>
      <c r="C32" s="31"/>
      <c r="D32" s="31"/>
    </row>
    <row r="33" spans="1:4" ht="19.95" customHeight="1">
      <c r="A33" s="35" t="s">
        <v>2129</v>
      </c>
      <c r="B33" s="31"/>
      <c r="C33" s="31"/>
      <c r="D33" s="31"/>
    </row>
    <row r="34" spans="1:4" ht="19.95" customHeight="1">
      <c r="A34" s="36" t="s">
        <v>2130</v>
      </c>
      <c r="B34" s="31"/>
      <c r="C34" s="31"/>
      <c r="D34" s="31"/>
    </row>
    <row r="35" spans="1:4" ht="19.95" customHeight="1">
      <c r="A35" s="35" t="s">
        <v>2131</v>
      </c>
      <c r="B35" s="31"/>
      <c r="C35" s="31"/>
      <c r="D35" s="31"/>
    </row>
    <row r="36" spans="1:4" ht="19.95" customHeight="1">
      <c r="A36" s="36" t="s">
        <v>2132</v>
      </c>
      <c r="B36" s="31"/>
      <c r="C36" s="31"/>
      <c r="D36" s="31"/>
    </row>
    <row r="37" spans="1:4" ht="19.95" customHeight="1">
      <c r="A37" s="35" t="s">
        <v>2133</v>
      </c>
      <c r="B37" s="31"/>
      <c r="C37" s="31"/>
      <c r="D37" s="31"/>
    </row>
    <row r="38" spans="1:4" ht="19.95" customHeight="1">
      <c r="A38" s="36" t="s">
        <v>2134</v>
      </c>
      <c r="B38" s="31"/>
      <c r="C38" s="31"/>
      <c r="D38" s="31"/>
    </row>
    <row r="39" spans="1:4" ht="19.95" customHeight="1">
      <c r="A39" s="35" t="s">
        <v>2135</v>
      </c>
      <c r="B39" s="31"/>
      <c r="C39" s="31"/>
      <c r="D39" s="31"/>
    </row>
    <row r="40" spans="1:4" ht="6" customHeight="1">
      <c r="A40" s="19"/>
      <c r="B40" s="19"/>
      <c r="C40" s="19"/>
      <c r="D40" s="19"/>
    </row>
    <row r="41" spans="1:4" ht="19.95" customHeight="1">
      <c r="A41" s="37" t="s">
        <v>2136</v>
      </c>
      <c r="B41" s="31"/>
      <c r="C41" s="31"/>
      <c r="D41" s="31"/>
    </row>
    <row r="42" spans="1:4" ht="19.95" customHeight="1">
      <c r="A42" s="35" t="s">
        <v>2137</v>
      </c>
      <c r="B42" s="31"/>
      <c r="C42" s="31"/>
      <c r="D42" s="31"/>
    </row>
    <row r="43" spans="1:4" ht="19.95" customHeight="1">
      <c r="A43" s="36" t="s">
        <v>2156</v>
      </c>
      <c r="B43" s="31"/>
      <c r="C43" s="31"/>
      <c r="D43" s="31"/>
    </row>
    <row r="44" spans="1:4" ht="19.95" customHeight="1">
      <c r="A44" s="35" t="s">
        <v>2138</v>
      </c>
      <c r="B44" s="31"/>
      <c r="C44" s="31"/>
      <c r="D44" s="31"/>
    </row>
    <row r="45" spans="1:4" ht="19.95" customHeight="1">
      <c r="A45" s="36" t="s">
        <v>2139</v>
      </c>
      <c r="B45" s="31"/>
      <c r="C45" s="31"/>
      <c r="D45" s="31"/>
    </row>
    <row r="46" spans="1:4" ht="6" customHeight="1">
      <c r="A46" s="19"/>
      <c r="B46" s="19"/>
      <c r="C46" s="19"/>
      <c r="D46" s="19"/>
    </row>
    <row r="47" spans="1:4" ht="22.05" customHeight="1">
      <c r="A47" s="34" t="s">
        <v>2140</v>
      </c>
      <c r="B47" s="31"/>
      <c r="C47" s="31"/>
      <c r="D47" s="31"/>
    </row>
    <row r="48" spans="1:4" ht="19.95" customHeight="1">
      <c r="A48" s="32" t="s">
        <v>2141</v>
      </c>
      <c r="B48" s="31"/>
      <c r="C48" s="31"/>
      <c r="D48" s="31"/>
    </row>
    <row r="49" spans="1:4" ht="19.95" customHeight="1">
      <c r="A49" s="30" t="s">
        <v>2142</v>
      </c>
      <c r="B49" s="31"/>
      <c r="C49" s="31"/>
      <c r="D49" s="31"/>
    </row>
    <row r="50" spans="1:4" ht="19.95" customHeight="1">
      <c r="A50" s="32" t="s">
        <v>2143</v>
      </c>
      <c r="B50" s="31"/>
      <c r="C50" s="31"/>
      <c r="D50" s="31"/>
    </row>
    <row r="51" spans="1:4" ht="19.95" customHeight="1">
      <c r="A51" s="32" t="s">
        <v>2144</v>
      </c>
      <c r="B51" s="31"/>
      <c r="C51" s="31"/>
      <c r="D51" s="31"/>
    </row>
    <row r="52" spans="1:4" ht="19.95" customHeight="1">
      <c r="A52" s="30" t="s">
        <v>2145</v>
      </c>
      <c r="B52" s="31"/>
      <c r="C52" s="31"/>
      <c r="D52" s="31"/>
    </row>
    <row r="53" spans="1:4" ht="19.95" customHeight="1">
      <c r="A53" s="32" t="s">
        <v>2146</v>
      </c>
      <c r="B53" s="31"/>
      <c r="C53" s="31"/>
      <c r="D53" s="31"/>
    </row>
    <row r="54" spans="1:4" ht="19.95" customHeight="1">
      <c r="A54" s="33"/>
      <c r="B54" s="31"/>
      <c r="C54" s="31"/>
      <c r="D54" s="31"/>
    </row>
    <row r="55" spans="1:4" ht="19.8">
      <c r="A55" s="34" t="s">
        <v>2147</v>
      </c>
      <c r="B55" s="31"/>
      <c r="C55" s="31"/>
      <c r="D55" s="31"/>
    </row>
    <row r="56" spans="1:4" ht="19.8">
      <c r="A56" s="32" t="s">
        <v>2148</v>
      </c>
      <c r="B56" s="31"/>
      <c r="C56" s="31"/>
      <c r="D56" s="31"/>
    </row>
    <row r="57" spans="1:4" ht="19.8">
      <c r="A57" s="30" t="s">
        <v>2149</v>
      </c>
      <c r="B57" s="31"/>
      <c r="C57" s="31"/>
      <c r="D57" s="31"/>
    </row>
    <row r="58" spans="1:4" ht="19.8">
      <c r="A58" s="32" t="s">
        <v>2150</v>
      </c>
      <c r="B58" s="31"/>
      <c r="C58" s="31"/>
      <c r="D58" s="31"/>
    </row>
    <row r="59" spans="1:4" ht="19.8">
      <c r="A59" s="32" t="s">
        <v>2151</v>
      </c>
      <c r="B59" s="31"/>
      <c r="C59" s="31"/>
      <c r="D59" s="31"/>
    </row>
    <row r="60" spans="1:4" ht="19.8">
      <c r="A60" s="30" t="s">
        <v>2152</v>
      </c>
      <c r="B60" s="31"/>
      <c r="C60" s="31"/>
      <c r="D60" s="31"/>
    </row>
    <row r="61" spans="1:4" ht="19.8">
      <c r="A61" s="32" t="s">
        <v>2153</v>
      </c>
      <c r="B61" s="31"/>
      <c r="C61" s="31"/>
      <c r="D61" s="31"/>
    </row>
    <row r="62" spans="1:4" ht="14.4" customHeight="1">
      <c r="A62" s="32" t="s">
        <v>2154</v>
      </c>
      <c r="B62" s="31"/>
      <c r="C62" s="31"/>
      <c r="D62" s="31"/>
    </row>
    <row r="63" spans="1:4" ht="19.8">
      <c r="A63" s="30" t="s">
        <v>2155</v>
      </c>
      <c r="B63" s="31"/>
      <c r="C63" s="31"/>
      <c r="D63" s="31"/>
    </row>
  </sheetData>
  <mergeCells count="55">
    <mergeCell ref="A15:D15"/>
    <mergeCell ref="A2:D2"/>
    <mergeCell ref="A4:D4"/>
    <mergeCell ref="A5:D5"/>
    <mergeCell ref="A6:D6"/>
    <mergeCell ref="A7:D7"/>
    <mergeCell ref="A8:D8"/>
    <mergeCell ref="A10:D10"/>
    <mergeCell ref="A11:D11"/>
    <mergeCell ref="A12:D12"/>
    <mergeCell ref="A13:D13"/>
    <mergeCell ref="A14:D14"/>
    <mergeCell ref="A29:D29"/>
    <mergeCell ref="A17:D17"/>
    <mergeCell ref="A18:D18"/>
    <mergeCell ref="A19:D19"/>
    <mergeCell ref="A20:D20"/>
    <mergeCell ref="A21:D21"/>
    <mergeCell ref="A22:D22"/>
    <mergeCell ref="A24:D24"/>
    <mergeCell ref="A25:D25"/>
    <mergeCell ref="A26:D26"/>
    <mergeCell ref="A27:D27"/>
    <mergeCell ref="A28:D28"/>
    <mergeCell ref="A43:D43"/>
    <mergeCell ref="A30:D30"/>
    <mergeCell ref="A32:D32"/>
    <mergeCell ref="A33:D33"/>
    <mergeCell ref="A34:D34"/>
    <mergeCell ref="A35:D35"/>
    <mergeCell ref="A36:D36"/>
    <mergeCell ref="A37:D37"/>
    <mergeCell ref="A38:D38"/>
    <mergeCell ref="A39:D39"/>
    <mergeCell ref="A41:D41"/>
    <mergeCell ref="A42:D42"/>
    <mergeCell ref="A56:D56"/>
    <mergeCell ref="A44:D44"/>
    <mergeCell ref="A45:D45"/>
    <mergeCell ref="A47:D47"/>
    <mergeCell ref="A48:D48"/>
    <mergeCell ref="A49:D49"/>
    <mergeCell ref="A50:D50"/>
    <mergeCell ref="A51:D51"/>
    <mergeCell ref="A52:D52"/>
    <mergeCell ref="A53:D53"/>
    <mergeCell ref="A54:D54"/>
    <mergeCell ref="A55:D55"/>
    <mergeCell ref="A63:D63"/>
    <mergeCell ref="A57:D57"/>
    <mergeCell ref="A58:D58"/>
    <mergeCell ref="A59:D59"/>
    <mergeCell ref="A60:D60"/>
    <mergeCell ref="A61:D61"/>
    <mergeCell ref="A62:D6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3"/>
  <sheetViews>
    <sheetView workbookViewId="0">
      <selection activeCell="M7" sqref="M7"/>
    </sheetView>
  </sheetViews>
  <sheetFormatPr defaultRowHeight="14.4"/>
  <cols>
    <col min="1" max="1" width="12" customWidth="1"/>
    <col min="2" max="2" width="22" customWidth="1"/>
    <col min="3" max="3" width="6" customWidth="1"/>
    <col min="4" max="4" width="10" customWidth="1"/>
    <col min="5" max="6" width="14" customWidth="1"/>
    <col min="7" max="7" width="16" customWidth="1"/>
    <col min="8" max="9" width="14" customWidth="1"/>
    <col min="10" max="10" width="20" customWidth="1"/>
    <col min="11" max="12" width="16" customWidth="1"/>
  </cols>
  <sheetData>
    <row r="1" spans="1:12" ht="31.95" customHeight="1">
      <c r="A1" s="42" t="s">
        <v>2103</v>
      </c>
      <c r="B1" s="43"/>
      <c r="C1" s="43"/>
      <c r="D1" s="43"/>
      <c r="E1" s="43"/>
      <c r="F1" s="43"/>
      <c r="G1" s="43"/>
      <c r="H1" s="43"/>
      <c r="I1" s="43"/>
      <c r="J1" s="43"/>
      <c r="K1" s="43"/>
      <c r="L1" s="43"/>
    </row>
    <row r="2" spans="1:12" ht="28.2" customHeight="1">
      <c r="A2" s="41" t="s">
        <v>2102</v>
      </c>
      <c r="B2" s="41"/>
      <c r="C2" s="41"/>
      <c r="D2" s="41"/>
      <c r="E2" s="41"/>
      <c r="F2" s="41"/>
      <c r="G2" s="41"/>
      <c r="H2" s="41"/>
      <c r="I2" s="41"/>
      <c r="J2" s="41"/>
      <c r="K2" s="41"/>
      <c r="L2" s="41"/>
    </row>
    <row r="3" spans="1:12" ht="30" customHeight="1">
      <c r="A3" s="1" t="s">
        <v>0</v>
      </c>
      <c r="B3" s="1" t="s">
        <v>1</v>
      </c>
      <c r="C3" s="1" t="s">
        <v>2</v>
      </c>
      <c r="D3" s="1" t="s">
        <v>3</v>
      </c>
      <c r="E3" s="1" t="s">
        <v>4</v>
      </c>
      <c r="F3" s="1" t="s">
        <v>5</v>
      </c>
      <c r="G3" s="1" t="s">
        <v>6</v>
      </c>
      <c r="H3" s="1" t="s">
        <v>7</v>
      </c>
      <c r="I3" s="1" t="s">
        <v>8</v>
      </c>
      <c r="J3" s="1" t="s">
        <v>9</v>
      </c>
      <c r="K3" s="1" t="s">
        <v>10</v>
      </c>
      <c r="L3" s="1" t="s">
        <v>11</v>
      </c>
    </row>
    <row r="4" spans="1:12" ht="16.2" customHeight="1">
      <c r="A4" s="2" t="s">
        <v>12</v>
      </c>
      <c r="B4" s="2" t="s">
        <v>13</v>
      </c>
      <c r="C4" s="2">
        <v>26</v>
      </c>
      <c r="D4" s="2" t="s">
        <v>14</v>
      </c>
      <c r="E4" s="2" t="s">
        <v>15</v>
      </c>
      <c r="F4" s="2" t="s">
        <v>16</v>
      </c>
      <c r="G4" s="2" t="s">
        <v>17</v>
      </c>
      <c r="H4" s="2" t="s">
        <v>18</v>
      </c>
      <c r="I4" s="2" t="s">
        <v>19</v>
      </c>
      <c r="J4" s="2">
        <v>35000</v>
      </c>
      <c r="K4" s="2" t="s">
        <v>20</v>
      </c>
      <c r="L4" s="2" t="s">
        <v>21</v>
      </c>
    </row>
    <row r="5" spans="1:12" ht="16.2" customHeight="1">
      <c r="A5" s="3" t="s">
        <v>22</v>
      </c>
      <c r="B5" s="3" t="s">
        <v>23</v>
      </c>
      <c r="C5" s="3">
        <v>79</v>
      </c>
      <c r="D5" s="3" t="s">
        <v>14</v>
      </c>
      <c r="E5" s="3" t="s">
        <v>24</v>
      </c>
      <c r="F5" s="3" t="s">
        <v>25</v>
      </c>
      <c r="G5" s="3" t="s">
        <v>26</v>
      </c>
      <c r="H5" s="3" t="s">
        <v>27</v>
      </c>
      <c r="I5" s="3" t="s">
        <v>28</v>
      </c>
      <c r="J5" s="3">
        <v>15000</v>
      </c>
      <c r="K5" s="3" t="s">
        <v>29</v>
      </c>
      <c r="L5" s="3" t="s">
        <v>21</v>
      </c>
    </row>
    <row r="6" spans="1:12" ht="16.2" customHeight="1">
      <c r="A6" s="2" t="s">
        <v>30</v>
      </c>
      <c r="B6" s="2" t="s">
        <v>31</v>
      </c>
      <c r="C6" s="2">
        <v>73</v>
      </c>
      <c r="D6" s="2" t="s">
        <v>32</v>
      </c>
      <c r="E6" s="2" t="s">
        <v>33</v>
      </c>
      <c r="F6" s="2" t="s">
        <v>34</v>
      </c>
      <c r="G6" s="2" t="s">
        <v>35</v>
      </c>
      <c r="H6" s="2" t="s">
        <v>18</v>
      </c>
      <c r="I6" s="2" t="s">
        <v>36</v>
      </c>
      <c r="J6" s="2">
        <v>25000</v>
      </c>
      <c r="K6" s="2" t="s">
        <v>37</v>
      </c>
      <c r="L6" s="2" t="s">
        <v>38</v>
      </c>
    </row>
    <row r="7" spans="1:12" ht="16.2" customHeight="1">
      <c r="A7" s="3" t="s">
        <v>39</v>
      </c>
      <c r="B7" s="3" t="s">
        <v>40</v>
      </c>
      <c r="C7" s="3">
        <v>1</v>
      </c>
      <c r="D7" s="3" t="s">
        <v>41</v>
      </c>
      <c r="E7" s="3" t="s">
        <v>15</v>
      </c>
      <c r="F7" s="3" t="s">
        <v>42</v>
      </c>
      <c r="G7" s="3" t="s">
        <v>35</v>
      </c>
      <c r="H7" s="3" t="s">
        <v>43</v>
      </c>
      <c r="I7" s="3" t="s">
        <v>44</v>
      </c>
      <c r="J7" s="3">
        <v>75000</v>
      </c>
      <c r="K7" s="3" t="s">
        <v>29</v>
      </c>
      <c r="L7" s="3" t="s">
        <v>21</v>
      </c>
    </row>
    <row r="8" spans="1:12" ht="16.2" customHeight="1">
      <c r="A8" s="2" t="s">
        <v>45</v>
      </c>
      <c r="B8" s="2" t="s">
        <v>46</v>
      </c>
      <c r="C8" s="2">
        <v>17</v>
      </c>
      <c r="D8" s="2" t="s">
        <v>14</v>
      </c>
      <c r="E8" s="2" t="s">
        <v>47</v>
      </c>
      <c r="F8" s="2" t="s">
        <v>16</v>
      </c>
      <c r="G8" s="2" t="s">
        <v>48</v>
      </c>
      <c r="H8" s="2" t="s">
        <v>28</v>
      </c>
      <c r="I8" s="2" t="s">
        <v>49</v>
      </c>
      <c r="J8" s="2">
        <v>12000</v>
      </c>
      <c r="K8" s="2" t="s">
        <v>29</v>
      </c>
      <c r="L8" s="2" t="s">
        <v>38</v>
      </c>
    </row>
    <row r="9" spans="1:12" ht="16.2" customHeight="1">
      <c r="A9" s="3" t="s">
        <v>50</v>
      </c>
      <c r="B9" s="3" t="s">
        <v>51</v>
      </c>
      <c r="C9" s="3">
        <v>22</v>
      </c>
      <c r="D9" s="3" t="s">
        <v>32</v>
      </c>
      <c r="E9" s="3" t="s">
        <v>52</v>
      </c>
      <c r="F9" s="3" t="s">
        <v>25</v>
      </c>
      <c r="G9" s="3" t="s">
        <v>53</v>
      </c>
      <c r="H9" s="3" t="s">
        <v>43</v>
      </c>
      <c r="I9" s="3" t="s">
        <v>54</v>
      </c>
      <c r="J9" s="3"/>
      <c r="K9" s="3" t="s">
        <v>20</v>
      </c>
      <c r="L9" s="3" t="s">
        <v>55</v>
      </c>
    </row>
    <row r="10" spans="1:12" ht="16.2" customHeight="1">
      <c r="A10" s="2" t="s">
        <v>56</v>
      </c>
      <c r="B10" s="2" t="s">
        <v>57</v>
      </c>
      <c r="C10" s="2">
        <v>1</v>
      </c>
      <c r="D10" s="2" t="s">
        <v>32</v>
      </c>
      <c r="E10" s="2" t="s">
        <v>58</v>
      </c>
      <c r="F10" s="2" t="s">
        <v>16</v>
      </c>
      <c r="G10" s="2" t="s">
        <v>35</v>
      </c>
      <c r="H10" s="2" t="s">
        <v>59</v>
      </c>
      <c r="I10" s="2" t="s">
        <v>60</v>
      </c>
      <c r="J10" s="2">
        <v>5000</v>
      </c>
      <c r="K10" s="2" t="s">
        <v>29</v>
      </c>
      <c r="L10" s="2" t="s">
        <v>21</v>
      </c>
    </row>
    <row r="11" spans="1:12" ht="16.2" customHeight="1">
      <c r="A11" s="3" t="s">
        <v>61</v>
      </c>
      <c r="B11" s="3" t="s">
        <v>40</v>
      </c>
      <c r="C11" s="3">
        <v>52</v>
      </c>
      <c r="D11" s="3" t="s">
        <v>14</v>
      </c>
      <c r="E11" s="3" t="s">
        <v>58</v>
      </c>
      <c r="F11" s="3" t="s">
        <v>34</v>
      </c>
      <c r="G11" s="3" t="s">
        <v>53</v>
      </c>
      <c r="H11" s="3" t="s">
        <v>62</v>
      </c>
      <c r="I11" s="3" t="s">
        <v>63</v>
      </c>
      <c r="J11" s="3">
        <v>-5000</v>
      </c>
      <c r="K11" s="3" t="s">
        <v>29</v>
      </c>
      <c r="L11" s="3" t="s">
        <v>21</v>
      </c>
    </row>
    <row r="12" spans="1:12" ht="16.2" customHeight="1">
      <c r="A12" s="2" t="s">
        <v>64</v>
      </c>
      <c r="B12" s="2" t="s">
        <v>65</v>
      </c>
      <c r="C12" s="2" t="s">
        <v>2033</v>
      </c>
      <c r="D12" s="2" t="s">
        <v>14</v>
      </c>
      <c r="E12" s="2" t="s">
        <v>58</v>
      </c>
      <c r="F12" s="2" t="s">
        <v>16</v>
      </c>
      <c r="G12" s="2" t="s">
        <v>17</v>
      </c>
      <c r="H12" s="2" t="s">
        <v>66</v>
      </c>
      <c r="I12" s="2" t="s">
        <v>60</v>
      </c>
      <c r="J12" s="2">
        <v>15000</v>
      </c>
      <c r="K12" s="2" t="s">
        <v>67</v>
      </c>
      <c r="L12" s="2" t="s">
        <v>21</v>
      </c>
    </row>
    <row r="13" spans="1:12" ht="16.2" customHeight="1">
      <c r="A13" s="3" t="s">
        <v>68</v>
      </c>
      <c r="B13" s="3" t="s">
        <v>69</v>
      </c>
      <c r="C13" s="3">
        <v>33</v>
      </c>
      <c r="D13" s="3" t="s">
        <v>14</v>
      </c>
      <c r="E13" s="3" t="s">
        <v>70</v>
      </c>
      <c r="F13" s="3" t="s">
        <v>25</v>
      </c>
      <c r="G13" s="3" t="s">
        <v>26</v>
      </c>
      <c r="H13" s="3" t="s">
        <v>71</v>
      </c>
      <c r="I13" s="3" t="s">
        <v>72</v>
      </c>
      <c r="J13" s="3">
        <v>8000</v>
      </c>
      <c r="K13" s="3" t="s">
        <v>67</v>
      </c>
      <c r="L13" s="3" t="s">
        <v>38</v>
      </c>
    </row>
    <row r="14" spans="1:12" ht="16.2" customHeight="1">
      <c r="A14" s="2" t="s">
        <v>73</v>
      </c>
      <c r="B14" s="2" t="s">
        <v>74</v>
      </c>
      <c r="C14" s="2">
        <v>44</v>
      </c>
      <c r="D14" s="2" t="s">
        <v>14</v>
      </c>
      <c r="E14" s="2" t="s">
        <v>75</v>
      </c>
      <c r="F14" s="2" t="s">
        <v>76</v>
      </c>
      <c r="G14" s="2" t="s">
        <v>26</v>
      </c>
      <c r="H14" s="2" t="s">
        <v>77</v>
      </c>
      <c r="I14" s="2" t="s">
        <v>78</v>
      </c>
      <c r="J14" s="2">
        <v>35000</v>
      </c>
      <c r="K14" s="2" t="s">
        <v>67</v>
      </c>
      <c r="L14" s="2" t="s">
        <v>38</v>
      </c>
    </row>
    <row r="15" spans="1:12" ht="16.2" customHeight="1">
      <c r="A15" s="3" t="s">
        <v>79</v>
      </c>
      <c r="B15" s="3" t="s">
        <v>80</v>
      </c>
      <c r="C15" s="3">
        <v>48</v>
      </c>
      <c r="D15" s="3" t="s">
        <v>32</v>
      </c>
      <c r="E15" s="3" t="s">
        <v>70</v>
      </c>
      <c r="F15" s="3" t="s">
        <v>76</v>
      </c>
      <c r="G15" s="3" t="s">
        <v>17</v>
      </c>
      <c r="H15" s="3" t="s">
        <v>81</v>
      </c>
      <c r="I15" s="3" t="s">
        <v>82</v>
      </c>
      <c r="J15" s="3">
        <v>15000</v>
      </c>
      <c r="K15" s="3" t="s">
        <v>67</v>
      </c>
      <c r="L15" s="3"/>
    </row>
    <row r="16" spans="1:12" ht="16.2" customHeight="1">
      <c r="A16" s="2" t="s">
        <v>83</v>
      </c>
      <c r="B16" s="2" t="s">
        <v>84</v>
      </c>
      <c r="C16" s="2">
        <v>28</v>
      </c>
      <c r="D16" s="2" t="s">
        <v>14</v>
      </c>
      <c r="E16" s="2" t="s">
        <v>85</v>
      </c>
      <c r="F16" s="2" t="s">
        <v>42</v>
      </c>
      <c r="G16" s="2" t="s">
        <v>53</v>
      </c>
      <c r="H16" s="2" t="s">
        <v>43</v>
      </c>
      <c r="I16" s="2" t="s">
        <v>86</v>
      </c>
      <c r="J16" s="2">
        <v>50000</v>
      </c>
      <c r="K16" s="2" t="s">
        <v>37</v>
      </c>
      <c r="L16" s="2" t="s">
        <v>87</v>
      </c>
    </row>
    <row r="17" spans="1:12" ht="16.2" customHeight="1">
      <c r="A17" s="3" t="s">
        <v>88</v>
      </c>
      <c r="B17" s="3" t="s">
        <v>89</v>
      </c>
      <c r="C17" s="3">
        <v>38</v>
      </c>
      <c r="D17" s="3" t="s">
        <v>32</v>
      </c>
      <c r="E17" s="3" t="s">
        <v>70</v>
      </c>
      <c r="F17" s="3" t="s">
        <v>76</v>
      </c>
      <c r="G17" s="3" t="s">
        <v>35</v>
      </c>
      <c r="H17" s="3" t="s">
        <v>90</v>
      </c>
      <c r="I17" s="3" t="s">
        <v>91</v>
      </c>
      <c r="J17" s="3">
        <v>20000</v>
      </c>
      <c r="K17" s="3" t="s">
        <v>37</v>
      </c>
      <c r="L17" s="3" t="s">
        <v>87</v>
      </c>
    </row>
    <row r="18" spans="1:12" ht="16.2" customHeight="1">
      <c r="A18" s="2" t="s">
        <v>92</v>
      </c>
      <c r="B18" s="2" t="s">
        <v>93</v>
      </c>
      <c r="C18" s="2">
        <v>21</v>
      </c>
      <c r="D18" s="2" t="s">
        <v>32</v>
      </c>
      <c r="E18" s="2" t="s">
        <v>85</v>
      </c>
      <c r="F18" s="2" t="s">
        <v>34</v>
      </c>
      <c r="G18" s="2" t="s">
        <v>48</v>
      </c>
      <c r="H18" s="2" t="s">
        <v>94</v>
      </c>
      <c r="I18" s="2" t="s">
        <v>95</v>
      </c>
      <c r="J18" s="2">
        <v>35000</v>
      </c>
      <c r="K18" s="2" t="s">
        <v>96</v>
      </c>
      <c r="L18" s="2" t="s">
        <v>55</v>
      </c>
    </row>
    <row r="19" spans="1:12" ht="16.2" customHeight="1">
      <c r="A19" s="3" t="s">
        <v>97</v>
      </c>
      <c r="B19" s="3" t="s">
        <v>98</v>
      </c>
      <c r="C19" s="3">
        <v>86</v>
      </c>
      <c r="D19" s="3" t="s">
        <v>32</v>
      </c>
      <c r="E19" s="3" t="s">
        <v>52</v>
      </c>
      <c r="F19" s="3" t="s">
        <v>42</v>
      </c>
      <c r="G19" s="3" t="s">
        <v>99</v>
      </c>
      <c r="H19" s="3" t="s">
        <v>100</v>
      </c>
      <c r="I19" s="3" t="s">
        <v>101</v>
      </c>
      <c r="J19" s="3">
        <v>12000</v>
      </c>
      <c r="K19" s="3" t="s">
        <v>67</v>
      </c>
      <c r="L19" s="3" t="s">
        <v>21</v>
      </c>
    </row>
    <row r="20" spans="1:12" ht="16.2" customHeight="1">
      <c r="A20" s="2" t="s">
        <v>102</v>
      </c>
      <c r="B20" s="2" t="s">
        <v>103</v>
      </c>
      <c r="C20" s="2">
        <v>53</v>
      </c>
      <c r="D20" s="2" t="s">
        <v>32</v>
      </c>
      <c r="E20" s="2" t="s">
        <v>52</v>
      </c>
      <c r="F20" s="2" t="s">
        <v>76</v>
      </c>
      <c r="G20" s="2" t="s">
        <v>104</v>
      </c>
      <c r="H20" s="2" t="s">
        <v>105</v>
      </c>
      <c r="I20" s="2" t="s">
        <v>106</v>
      </c>
      <c r="J20" s="2">
        <v>75000</v>
      </c>
      <c r="K20" s="2" t="s">
        <v>29</v>
      </c>
      <c r="L20" s="2" t="s">
        <v>38</v>
      </c>
    </row>
    <row r="21" spans="1:12" ht="16.2" customHeight="1">
      <c r="A21" s="3" t="s">
        <v>107</v>
      </c>
      <c r="B21" s="3" t="s">
        <v>108</v>
      </c>
      <c r="C21" s="3">
        <v>87</v>
      </c>
      <c r="D21" s="3" t="s">
        <v>14</v>
      </c>
      <c r="E21" s="3" t="s">
        <v>109</v>
      </c>
      <c r="F21" s="3" t="s">
        <v>25</v>
      </c>
      <c r="G21" s="3" t="s">
        <v>99</v>
      </c>
      <c r="H21" s="3" t="s">
        <v>110</v>
      </c>
      <c r="I21" s="3" t="s">
        <v>111</v>
      </c>
      <c r="J21" s="3">
        <v>15000</v>
      </c>
      <c r="K21" s="3" t="s">
        <v>67</v>
      </c>
      <c r="L21" s="3" t="s">
        <v>21</v>
      </c>
    </row>
    <row r="22" spans="1:12" ht="16.2" customHeight="1">
      <c r="A22" s="2" t="s">
        <v>112</v>
      </c>
      <c r="B22" s="2" t="s">
        <v>113</v>
      </c>
      <c r="C22" s="2">
        <v>68</v>
      </c>
      <c r="D22" s="2" t="s">
        <v>32</v>
      </c>
      <c r="E22" s="2" t="s">
        <v>15</v>
      </c>
      <c r="F22" s="2" t="s">
        <v>34</v>
      </c>
      <c r="G22" s="2" t="s">
        <v>104</v>
      </c>
      <c r="H22" s="2" t="s">
        <v>19</v>
      </c>
      <c r="I22" s="2" t="s">
        <v>114</v>
      </c>
      <c r="J22" s="2">
        <v>20000</v>
      </c>
      <c r="K22" s="2" t="s">
        <v>20</v>
      </c>
      <c r="L22" s="2" t="s">
        <v>38</v>
      </c>
    </row>
    <row r="23" spans="1:12" ht="16.2" customHeight="1">
      <c r="A23" s="3" t="s">
        <v>115</v>
      </c>
      <c r="B23" s="3" t="s">
        <v>116</v>
      </c>
      <c r="C23" s="3">
        <v>39</v>
      </c>
      <c r="D23" s="3" t="s">
        <v>32</v>
      </c>
      <c r="E23" s="3" t="s">
        <v>117</v>
      </c>
      <c r="F23" s="3" t="s">
        <v>34</v>
      </c>
      <c r="G23" s="3" t="s">
        <v>48</v>
      </c>
      <c r="H23" s="3" t="s">
        <v>118</v>
      </c>
      <c r="I23" s="3" t="s">
        <v>119</v>
      </c>
      <c r="J23" s="3">
        <v>-5000</v>
      </c>
      <c r="K23" s="3" t="s">
        <v>20</v>
      </c>
      <c r="L23" s="3" t="s">
        <v>21</v>
      </c>
    </row>
    <row r="24" spans="1:12" ht="16.2" customHeight="1">
      <c r="A24" s="2" t="s">
        <v>120</v>
      </c>
      <c r="B24" s="2" t="s">
        <v>121</v>
      </c>
      <c r="C24" s="2">
        <v>34</v>
      </c>
      <c r="D24" s="2" t="s">
        <v>32</v>
      </c>
      <c r="E24" s="2" t="s">
        <v>122</v>
      </c>
      <c r="F24" s="2" t="s">
        <v>16</v>
      </c>
      <c r="G24" s="2" t="s">
        <v>17</v>
      </c>
      <c r="H24" s="2" t="s">
        <v>123</v>
      </c>
      <c r="I24" s="2" t="s">
        <v>124</v>
      </c>
      <c r="J24" s="2">
        <v>35000</v>
      </c>
      <c r="K24" s="2" t="s">
        <v>37</v>
      </c>
      <c r="L24" s="2" t="s">
        <v>55</v>
      </c>
    </row>
    <row r="25" spans="1:12" ht="16.2" customHeight="1">
      <c r="A25" s="3" t="s">
        <v>125</v>
      </c>
      <c r="B25" s="3" t="s">
        <v>126</v>
      </c>
      <c r="C25" s="3">
        <v>27</v>
      </c>
      <c r="D25" s="3" t="s">
        <v>32</v>
      </c>
      <c r="E25" s="3" t="s">
        <v>85</v>
      </c>
      <c r="F25" s="3" t="s">
        <v>127</v>
      </c>
      <c r="G25" s="3" t="s">
        <v>99</v>
      </c>
      <c r="H25" s="3" t="s">
        <v>128</v>
      </c>
      <c r="I25" s="3" t="s">
        <v>129</v>
      </c>
      <c r="J25" s="3">
        <v>50000</v>
      </c>
      <c r="K25" s="3" t="s">
        <v>37</v>
      </c>
      <c r="L25" s="3" t="s">
        <v>55</v>
      </c>
    </row>
    <row r="26" spans="1:12" ht="16.2" customHeight="1">
      <c r="A26" s="2" t="s">
        <v>130</v>
      </c>
      <c r="B26" s="2" t="s">
        <v>131</v>
      </c>
      <c r="C26" s="2">
        <v>31</v>
      </c>
      <c r="D26" s="2" t="s">
        <v>41</v>
      </c>
      <c r="E26" s="2" t="s">
        <v>117</v>
      </c>
      <c r="F26" s="2" t="s">
        <v>132</v>
      </c>
      <c r="G26" s="2" t="s">
        <v>104</v>
      </c>
      <c r="H26" s="2" t="s">
        <v>133</v>
      </c>
      <c r="I26" s="2" t="s">
        <v>134</v>
      </c>
      <c r="J26" s="2">
        <v>50000</v>
      </c>
      <c r="K26" s="2" t="s">
        <v>20</v>
      </c>
      <c r="L26" s="2" t="s">
        <v>87</v>
      </c>
    </row>
    <row r="27" spans="1:12" ht="16.2" customHeight="1">
      <c r="A27" s="3" t="s">
        <v>135</v>
      </c>
      <c r="B27" s="3" t="s">
        <v>136</v>
      </c>
      <c r="C27" s="3">
        <v>73</v>
      </c>
      <c r="D27" s="3" t="s">
        <v>32</v>
      </c>
      <c r="E27" s="3" t="s">
        <v>52</v>
      </c>
      <c r="F27" s="3" t="s">
        <v>132</v>
      </c>
      <c r="G27" s="3" t="s">
        <v>35</v>
      </c>
      <c r="H27" s="3" t="s">
        <v>137</v>
      </c>
      <c r="I27" s="3" t="s">
        <v>138</v>
      </c>
      <c r="J27" s="3">
        <v>20000</v>
      </c>
      <c r="K27" s="3" t="s">
        <v>29</v>
      </c>
      <c r="L27" s="3" t="s">
        <v>55</v>
      </c>
    </row>
    <row r="28" spans="1:12" ht="16.2" customHeight="1">
      <c r="A28" s="2" t="s">
        <v>139</v>
      </c>
      <c r="B28" s="2" t="s">
        <v>74</v>
      </c>
      <c r="C28" s="2">
        <v>51</v>
      </c>
      <c r="D28" s="2" t="s">
        <v>14</v>
      </c>
      <c r="E28" s="2" t="s">
        <v>140</v>
      </c>
      <c r="F28" s="2" t="s">
        <v>141</v>
      </c>
      <c r="G28" s="2" t="s">
        <v>35</v>
      </c>
      <c r="H28" s="2" t="s">
        <v>72</v>
      </c>
      <c r="I28" s="2" t="s">
        <v>142</v>
      </c>
      <c r="J28" s="2">
        <v>20000</v>
      </c>
      <c r="K28" s="2" t="s">
        <v>29</v>
      </c>
      <c r="L28" s="2" t="s">
        <v>21</v>
      </c>
    </row>
    <row r="29" spans="1:12" ht="16.2" customHeight="1">
      <c r="A29" s="3" t="s">
        <v>143</v>
      </c>
      <c r="B29" s="3" t="s">
        <v>116</v>
      </c>
      <c r="C29" s="3">
        <v>30</v>
      </c>
      <c r="D29" s="3" t="s">
        <v>14</v>
      </c>
      <c r="E29" s="3" t="s">
        <v>33</v>
      </c>
      <c r="F29" s="3" t="s">
        <v>76</v>
      </c>
      <c r="G29" s="3" t="s">
        <v>17</v>
      </c>
      <c r="H29" s="3" t="s">
        <v>144</v>
      </c>
      <c r="I29" s="3" t="s">
        <v>145</v>
      </c>
      <c r="J29" s="3">
        <v>25000</v>
      </c>
      <c r="K29" s="3" t="s">
        <v>20</v>
      </c>
      <c r="L29" s="3" t="s">
        <v>55</v>
      </c>
    </row>
    <row r="30" spans="1:12" ht="16.2" customHeight="1">
      <c r="A30" s="2" t="s">
        <v>146</v>
      </c>
      <c r="B30" s="2" t="s">
        <v>147</v>
      </c>
      <c r="C30" s="2">
        <v>23</v>
      </c>
      <c r="D30" s="2" t="s">
        <v>32</v>
      </c>
      <c r="E30" s="2" t="s">
        <v>52</v>
      </c>
      <c r="F30" s="2" t="s">
        <v>25</v>
      </c>
      <c r="G30" s="2" t="s">
        <v>35</v>
      </c>
      <c r="H30" s="2" t="s">
        <v>148</v>
      </c>
      <c r="I30" s="2" t="s">
        <v>90</v>
      </c>
      <c r="J30" s="2">
        <v>8000</v>
      </c>
      <c r="K30" s="2" t="s">
        <v>29</v>
      </c>
      <c r="L30" s="2" t="s">
        <v>55</v>
      </c>
    </row>
    <row r="31" spans="1:12" ht="16.2" customHeight="1">
      <c r="A31" s="3" t="s">
        <v>149</v>
      </c>
      <c r="B31" s="3" t="s">
        <v>150</v>
      </c>
      <c r="C31" s="3">
        <v>12</v>
      </c>
      <c r="D31" s="3"/>
      <c r="E31" s="3" t="s">
        <v>70</v>
      </c>
      <c r="F31" s="3" t="s">
        <v>127</v>
      </c>
      <c r="G31" s="3" t="s">
        <v>48</v>
      </c>
      <c r="H31" s="3" t="s">
        <v>134</v>
      </c>
      <c r="I31" s="3" t="s">
        <v>151</v>
      </c>
      <c r="J31" s="3">
        <v>25000</v>
      </c>
      <c r="K31" s="3" t="s">
        <v>29</v>
      </c>
      <c r="L31" s="3" t="s">
        <v>55</v>
      </c>
    </row>
    <row r="32" spans="1:12" ht="16.2" customHeight="1">
      <c r="A32" s="2" t="s">
        <v>152</v>
      </c>
      <c r="B32" s="2" t="s">
        <v>153</v>
      </c>
      <c r="C32" s="2">
        <v>44</v>
      </c>
      <c r="D32" s="2" t="s">
        <v>41</v>
      </c>
      <c r="E32" s="2" t="s">
        <v>15</v>
      </c>
      <c r="F32" s="2" t="s">
        <v>42</v>
      </c>
      <c r="G32" s="2" t="s">
        <v>17</v>
      </c>
      <c r="H32" s="2" t="s">
        <v>44</v>
      </c>
      <c r="I32" s="2" t="s">
        <v>154</v>
      </c>
      <c r="J32" s="2">
        <v>50000</v>
      </c>
      <c r="K32" s="2" t="s">
        <v>20</v>
      </c>
      <c r="L32" s="2" t="s">
        <v>55</v>
      </c>
    </row>
    <row r="33" spans="1:12" ht="16.2" customHeight="1">
      <c r="A33" s="3" t="s">
        <v>155</v>
      </c>
      <c r="B33" s="3" t="s">
        <v>156</v>
      </c>
      <c r="C33" s="3">
        <v>31</v>
      </c>
      <c r="D33" s="3" t="s">
        <v>32</v>
      </c>
      <c r="E33" s="3" t="s">
        <v>52</v>
      </c>
      <c r="F33" s="3" t="s">
        <v>25</v>
      </c>
      <c r="G33" s="3" t="s">
        <v>35</v>
      </c>
      <c r="H33" s="3" t="s">
        <v>43</v>
      </c>
      <c r="I33" s="3" t="s">
        <v>86</v>
      </c>
      <c r="J33" s="3">
        <v>12000</v>
      </c>
      <c r="K33" s="3" t="s">
        <v>29</v>
      </c>
      <c r="L33" s="3" t="s">
        <v>21</v>
      </c>
    </row>
    <row r="34" spans="1:12" ht="16.2" customHeight="1">
      <c r="A34" s="2" t="s">
        <v>157</v>
      </c>
      <c r="B34" s="2" t="s">
        <v>126</v>
      </c>
      <c r="C34" s="2">
        <v>41</v>
      </c>
      <c r="D34" s="2" t="s">
        <v>14</v>
      </c>
      <c r="E34" s="2" t="s">
        <v>109</v>
      </c>
      <c r="F34" s="2" t="s">
        <v>76</v>
      </c>
      <c r="G34" s="2" t="s">
        <v>104</v>
      </c>
      <c r="H34" s="2" t="s">
        <v>158</v>
      </c>
      <c r="I34" s="2" t="s">
        <v>159</v>
      </c>
      <c r="J34" s="2">
        <v>12000</v>
      </c>
      <c r="K34" s="2" t="s">
        <v>160</v>
      </c>
      <c r="L34" s="2" t="s">
        <v>87</v>
      </c>
    </row>
    <row r="35" spans="1:12" ht="16.2" customHeight="1">
      <c r="A35" s="3" t="s">
        <v>161</v>
      </c>
      <c r="B35" s="3" t="s">
        <v>162</v>
      </c>
      <c r="C35" s="3">
        <v>38</v>
      </c>
      <c r="D35" s="3" t="s">
        <v>32</v>
      </c>
      <c r="E35" s="3" t="s">
        <v>33</v>
      </c>
      <c r="F35" s="3" t="s">
        <v>76</v>
      </c>
      <c r="G35" s="3" t="s">
        <v>53</v>
      </c>
      <c r="H35" s="3" t="s">
        <v>163</v>
      </c>
      <c r="I35" s="3" t="s">
        <v>164</v>
      </c>
      <c r="J35" s="3">
        <v>25000</v>
      </c>
      <c r="K35" s="3" t="s">
        <v>29</v>
      </c>
      <c r="L35" s="3" t="s">
        <v>87</v>
      </c>
    </row>
    <row r="36" spans="1:12" ht="16.2" customHeight="1">
      <c r="A36" s="2" t="s">
        <v>165</v>
      </c>
      <c r="B36" s="2" t="s">
        <v>84</v>
      </c>
      <c r="C36" s="2">
        <v>85</v>
      </c>
      <c r="D36" s="2" t="s">
        <v>32</v>
      </c>
      <c r="E36" s="2" t="s">
        <v>70</v>
      </c>
      <c r="F36" s="2" t="s">
        <v>25</v>
      </c>
      <c r="G36" s="2" t="s">
        <v>104</v>
      </c>
      <c r="H36" s="2" t="s">
        <v>166</v>
      </c>
      <c r="I36" s="2" t="s">
        <v>167</v>
      </c>
      <c r="J36" s="2">
        <v>20000</v>
      </c>
      <c r="K36" s="2" t="s">
        <v>168</v>
      </c>
      <c r="L36" s="2" t="s">
        <v>55</v>
      </c>
    </row>
    <row r="37" spans="1:12" ht="16.2" customHeight="1">
      <c r="A37" s="3" t="s">
        <v>169</v>
      </c>
      <c r="B37" s="3" t="s">
        <v>170</v>
      </c>
      <c r="C37" s="3">
        <v>37</v>
      </c>
      <c r="D37" s="3" t="s">
        <v>32</v>
      </c>
      <c r="E37" s="3" t="s">
        <v>85</v>
      </c>
      <c r="F37" s="3" t="s">
        <v>127</v>
      </c>
      <c r="G37" s="3" t="s">
        <v>48</v>
      </c>
      <c r="H37" s="3" t="s">
        <v>171</v>
      </c>
      <c r="I37" s="3" t="s">
        <v>172</v>
      </c>
      <c r="J37" s="3">
        <v>75000</v>
      </c>
      <c r="K37" s="3" t="s">
        <v>37</v>
      </c>
      <c r="L37" s="3" t="s">
        <v>38</v>
      </c>
    </row>
    <row r="38" spans="1:12" ht="16.2" customHeight="1">
      <c r="A38" s="2" t="s">
        <v>173</v>
      </c>
      <c r="B38" s="2" t="s">
        <v>174</v>
      </c>
      <c r="C38" s="2">
        <v>83</v>
      </c>
      <c r="D38" s="2" t="s">
        <v>32</v>
      </c>
      <c r="E38" s="2" t="s">
        <v>15</v>
      </c>
      <c r="F38" s="2" t="s">
        <v>25</v>
      </c>
      <c r="G38" s="2" t="s">
        <v>35</v>
      </c>
      <c r="H38" s="2" t="s">
        <v>175</v>
      </c>
      <c r="I38" s="2" t="s">
        <v>176</v>
      </c>
      <c r="J38" s="2">
        <v>5000</v>
      </c>
      <c r="K38" s="2" t="s">
        <v>20</v>
      </c>
      <c r="L38" s="2" t="s">
        <v>55</v>
      </c>
    </row>
    <row r="39" spans="1:12" ht="16.2" customHeight="1">
      <c r="A39" s="3" t="s">
        <v>177</v>
      </c>
      <c r="B39" s="3" t="s">
        <v>178</v>
      </c>
      <c r="C39" s="3">
        <v>81</v>
      </c>
      <c r="D39" s="3" t="s">
        <v>32</v>
      </c>
      <c r="E39" s="3" t="s">
        <v>33</v>
      </c>
      <c r="F39" s="3" t="s">
        <v>42</v>
      </c>
      <c r="G39" s="3" t="s">
        <v>17</v>
      </c>
      <c r="H39" s="3" t="s">
        <v>179</v>
      </c>
      <c r="I39" s="3" t="s">
        <v>180</v>
      </c>
      <c r="J39" s="3">
        <v>35000</v>
      </c>
      <c r="K39" s="3" t="s">
        <v>29</v>
      </c>
      <c r="L39" s="3" t="s">
        <v>38</v>
      </c>
    </row>
    <row r="40" spans="1:12" ht="16.2" customHeight="1">
      <c r="A40" s="2" t="s">
        <v>181</v>
      </c>
      <c r="B40" s="2" t="s">
        <v>182</v>
      </c>
      <c r="C40" s="2">
        <v>65</v>
      </c>
      <c r="D40" s="2" t="s">
        <v>32</v>
      </c>
      <c r="E40" s="2" t="s">
        <v>85</v>
      </c>
      <c r="F40" s="2" t="s">
        <v>183</v>
      </c>
      <c r="G40" s="2" t="s">
        <v>17</v>
      </c>
      <c r="H40" s="2" t="s">
        <v>184</v>
      </c>
      <c r="I40" s="2" t="s">
        <v>185</v>
      </c>
      <c r="J40" s="2">
        <v>35000</v>
      </c>
      <c r="K40" s="2" t="s">
        <v>168</v>
      </c>
      <c r="L40" s="2" t="s">
        <v>21</v>
      </c>
    </row>
    <row r="41" spans="1:12" ht="16.2" customHeight="1">
      <c r="A41" s="3" t="s">
        <v>186</v>
      </c>
      <c r="B41" s="3" t="s">
        <v>187</v>
      </c>
      <c r="C41" s="3">
        <v>12</v>
      </c>
      <c r="D41" s="3" t="s">
        <v>32</v>
      </c>
      <c r="E41" s="3" t="s">
        <v>117</v>
      </c>
      <c r="F41" s="3" t="s">
        <v>188</v>
      </c>
      <c r="G41" s="3" t="s">
        <v>17</v>
      </c>
      <c r="H41" s="3" t="s">
        <v>189</v>
      </c>
      <c r="I41" s="3" t="s">
        <v>190</v>
      </c>
      <c r="J41" s="3">
        <v>15000</v>
      </c>
      <c r="K41" s="3" t="s">
        <v>191</v>
      </c>
      <c r="L41" s="3" t="s">
        <v>21</v>
      </c>
    </row>
    <row r="42" spans="1:12" ht="16.2" customHeight="1">
      <c r="A42" s="2" t="s">
        <v>192</v>
      </c>
      <c r="B42" s="2" t="s">
        <v>193</v>
      </c>
      <c r="C42" s="2">
        <v>23</v>
      </c>
      <c r="D42" s="2"/>
      <c r="E42" s="2" t="s">
        <v>85</v>
      </c>
      <c r="F42" s="2" t="s">
        <v>34</v>
      </c>
      <c r="G42" s="2" t="s">
        <v>17</v>
      </c>
      <c r="H42" s="2" t="s">
        <v>194</v>
      </c>
      <c r="I42" s="2" t="s">
        <v>195</v>
      </c>
      <c r="J42" s="2">
        <v>20000</v>
      </c>
      <c r="K42" s="2" t="s">
        <v>29</v>
      </c>
      <c r="L42" s="2" t="s">
        <v>38</v>
      </c>
    </row>
    <row r="43" spans="1:12" ht="16.2" customHeight="1">
      <c r="A43" s="3" t="s">
        <v>196</v>
      </c>
      <c r="B43" s="3" t="s">
        <v>197</v>
      </c>
      <c r="C43" s="3">
        <v>68</v>
      </c>
      <c r="D43" s="3" t="s">
        <v>14</v>
      </c>
      <c r="E43" s="3" t="s">
        <v>52</v>
      </c>
      <c r="F43" s="3" t="s">
        <v>34</v>
      </c>
      <c r="G43" s="3" t="s">
        <v>53</v>
      </c>
      <c r="H43" s="3" t="s">
        <v>198</v>
      </c>
      <c r="I43" s="3" t="s">
        <v>167</v>
      </c>
      <c r="J43" s="3">
        <v>75000</v>
      </c>
      <c r="K43" s="3" t="s">
        <v>20</v>
      </c>
      <c r="L43" s="3" t="s">
        <v>55</v>
      </c>
    </row>
    <row r="44" spans="1:12" ht="16.2" customHeight="1">
      <c r="A44" s="2" t="s">
        <v>199</v>
      </c>
      <c r="B44" s="2" t="s">
        <v>200</v>
      </c>
      <c r="C44" s="2">
        <v>73</v>
      </c>
      <c r="D44" s="2" t="s">
        <v>32</v>
      </c>
      <c r="E44" s="2" t="s">
        <v>85</v>
      </c>
      <c r="F44" s="2" t="s">
        <v>201</v>
      </c>
      <c r="G44" s="2" t="s">
        <v>104</v>
      </c>
      <c r="H44" s="2" t="s">
        <v>202</v>
      </c>
      <c r="I44" s="2" t="s">
        <v>203</v>
      </c>
      <c r="J44" s="2">
        <v>35000</v>
      </c>
      <c r="K44" s="2" t="s">
        <v>20</v>
      </c>
      <c r="L44" s="2" t="s">
        <v>87</v>
      </c>
    </row>
    <row r="45" spans="1:12" ht="16.2" customHeight="1">
      <c r="A45" s="3" t="s">
        <v>204</v>
      </c>
      <c r="B45" s="3" t="s">
        <v>205</v>
      </c>
      <c r="C45" s="3">
        <v>85</v>
      </c>
      <c r="D45" s="3" t="s">
        <v>32</v>
      </c>
      <c r="E45" s="3" t="s">
        <v>15</v>
      </c>
      <c r="F45" s="3" t="s">
        <v>42</v>
      </c>
      <c r="G45" s="3" t="s">
        <v>48</v>
      </c>
      <c r="H45" s="3" t="s">
        <v>185</v>
      </c>
      <c r="I45" s="3" t="s">
        <v>206</v>
      </c>
      <c r="J45" s="3">
        <v>100000</v>
      </c>
      <c r="K45" s="3" t="s">
        <v>67</v>
      </c>
      <c r="L45" s="3" t="s">
        <v>55</v>
      </c>
    </row>
    <row r="46" spans="1:12" ht="16.2" customHeight="1">
      <c r="A46" s="2" t="s">
        <v>207</v>
      </c>
      <c r="B46" s="2" t="s">
        <v>208</v>
      </c>
      <c r="C46" s="2">
        <v>15</v>
      </c>
      <c r="D46" s="2" t="s">
        <v>14</v>
      </c>
      <c r="E46" s="2" t="s">
        <v>58</v>
      </c>
      <c r="F46" s="2" t="s">
        <v>76</v>
      </c>
      <c r="G46" s="2" t="s">
        <v>17</v>
      </c>
      <c r="H46" s="2" t="s">
        <v>209</v>
      </c>
      <c r="I46" s="2" t="s">
        <v>210</v>
      </c>
      <c r="J46" s="2">
        <v>20000</v>
      </c>
      <c r="K46" s="2" t="s">
        <v>29</v>
      </c>
      <c r="L46" s="2" t="s">
        <v>21</v>
      </c>
    </row>
    <row r="47" spans="1:12" ht="16.2" customHeight="1">
      <c r="A47" s="3" t="s">
        <v>211</v>
      </c>
      <c r="B47" s="3" t="s">
        <v>212</v>
      </c>
      <c r="C47" s="3">
        <v>46</v>
      </c>
      <c r="D47" s="3" t="s">
        <v>14</v>
      </c>
      <c r="E47" s="3" t="s">
        <v>15</v>
      </c>
      <c r="F47" s="3" t="s">
        <v>127</v>
      </c>
      <c r="G47" s="3" t="s">
        <v>104</v>
      </c>
      <c r="H47" s="3" t="s">
        <v>134</v>
      </c>
      <c r="I47" s="3" t="s">
        <v>128</v>
      </c>
      <c r="J47" s="3">
        <v>25000</v>
      </c>
      <c r="K47" s="3" t="s">
        <v>67</v>
      </c>
      <c r="L47" s="3" t="s">
        <v>21</v>
      </c>
    </row>
    <row r="48" spans="1:12" ht="16.2" customHeight="1">
      <c r="A48" s="2" t="s">
        <v>213</v>
      </c>
      <c r="B48" s="2" t="s">
        <v>214</v>
      </c>
      <c r="C48" s="2">
        <v>20</v>
      </c>
      <c r="D48" s="2" t="s">
        <v>14</v>
      </c>
      <c r="E48" s="2" t="s">
        <v>33</v>
      </c>
      <c r="F48" s="2" t="s">
        <v>132</v>
      </c>
      <c r="G48" s="2" t="s">
        <v>17</v>
      </c>
      <c r="H48" s="2" t="s">
        <v>215</v>
      </c>
      <c r="I48" s="2" t="s">
        <v>171</v>
      </c>
      <c r="J48" s="2">
        <v>25000</v>
      </c>
      <c r="K48" s="2" t="s">
        <v>67</v>
      </c>
      <c r="L48" s="2" t="s">
        <v>38</v>
      </c>
    </row>
    <row r="49" spans="1:12" ht="16.2" customHeight="1">
      <c r="A49" s="3" t="s">
        <v>216</v>
      </c>
      <c r="B49" s="3" t="s">
        <v>217</v>
      </c>
      <c r="C49" s="3">
        <v>56</v>
      </c>
      <c r="D49" s="3" t="s">
        <v>14</v>
      </c>
      <c r="E49" s="3" t="s">
        <v>52</v>
      </c>
      <c r="F49" s="3" t="s">
        <v>76</v>
      </c>
      <c r="G49" s="3" t="s">
        <v>104</v>
      </c>
      <c r="H49" s="3" t="s">
        <v>218</v>
      </c>
      <c r="I49" s="3" t="s">
        <v>219</v>
      </c>
      <c r="J49" s="3">
        <v>35000</v>
      </c>
      <c r="K49" s="3" t="s">
        <v>37</v>
      </c>
      <c r="L49" s="3" t="s">
        <v>87</v>
      </c>
    </row>
    <row r="50" spans="1:12" ht="16.2" customHeight="1">
      <c r="A50" s="2" t="s">
        <v>220</v>
      </c>
      <c r="B50" s="2" t="s">
        <v>221</v>
      </c>
      <c r="C50" s="2">
        <v>15</v>
      </c>
      <c r="D50" s="2" t="s">
        <v>32</v>
      </c>
      <c r="E50" s="2" t="s">
        <v>109</v>
      </c>
      <c r="F50" s="2" t="s">
        <v>222</v>
      </c>
      <c r="G50" s="2" t="s">
        <v>104</v>
      </c>
      <c r="H50" s="2" t="s">
        <v>203</v>
      </c>
      <c r="I50" s="2" t="s">
        <v>223</v>
      </c>
      <c r="J50" s="2">
        <v>20000</v>
      </c>
      <c r="K50" s="2" t="s">
        <v>67</v>
      </c>
      <c r="L50" s="2" t="s">
        <v>38</v>
      </c>
    </row>
    <row r="51" spans="1:12" ht="16.2" customHeight="1">
      <c r="A51" s="3" t="s">
        <v>224</v>
      </c>
      <c r="B51" s="3" t="s">
        <v>225</v>
      </c>
      <c r="C51" s="3">
        <v>80</v>
      </c>
      <c r="D51" s="3" t="s">
        <v>14</v>
      </c>
      <c r="E51" s="3" t="s">
        <v>15</v>
      </c>
      <c r="F51" s="3" t="s">
        <v>76</v>
      </c>
      <c r="G51" s="3" t="s">
        <v>48</v>
      </c>
      <c r="H51" s="3" t="s">
        <v>110</v>
      </c>
      <c r="I51" s="3" t="s">
        <v>226</v>
      </c>
      <c r="J51" s="3">
        <v>5000</v>
      </c>
      <c r="K51" s="3" t="s">
        <v>227</v>
      </c>
      <c r="L51" s="3" t="s">
        <v>38</v>
      </c>
    </row>
    <row r="52" spans="1:12" ht="16.2" customHeight="1">
      <c r="A52" s="2" t="s">
        <v>228</v>
      </c>
      <c r="B52" s="2" t="s">
        <v>229</v>
      </c>
      <c r="C52" s="2">
        <v>16</v>
      </c>
      <c r="D52" s="2" t="s">
        <v>14</v>
      </c>
      <c r="E52" s="2" t="s">
        <v>230</v>
      </c>
      <c r="F52" s="2" t="s">
        <v>76</v>
      </c>
      <c r="G52" s="2" t="s">
        <v>99</v>
      </c>
      <c r="H52" s="2" t="s">
        <v>231</v>
      </c>
      <c r="I52" s="2" t="s">
        <v>232</v>
      </c>
      <c r="J52" s="2">
        <v>25000</v>
      </c>
      <c r="K52" s="2" t="s">
        <v>29</v>
      </c>
      <c r="L52" s="2" t="s">
        <v>38</v>
      </c>
    </row>
    <row r="53" spans="1:12" ht="16.2" customHeight="1">
      <c r="A53" s="3" t="s">
        <v>233</v>
      </c>
      <c r="B53" s="3" t="s">
        <v>234</v>
      </c>
      <c r="C53" s="3">
        <v>51</v>
      </c>
      <c r="D53" s="3" t="s">
        <v>14</v>
      </c>
      <c r="E53" s="3" t="s">
        <v>33</v>
      </c>
      <c r="F53" s="3" t="s">
        <v>127</v>
      </c>
      <c r="G53" s="3" t="s">
        <v>26</v>
      </c>
      <c r="H53" s="3" t="s">
        <v>95</v>
      </c>
      <c r="I53" s="3" t="s">
        <v>124</v>
      </c>
      <c r="J53" s="3">
        <v>50000</v>
      </c>
      <c r="K53" s="3" t="s">
        <v>67</v>
      </c>
      <c r="L53" s="3" t="s">
        <v>38</v>
      </c>
    </row>
    <row r="54" spans="1:12" ht="16.2" customHeight="1">
      <c r="A54" s="2" t="s">
        <v>235</v>
      </c>
      <c r="B54" s="2" t="s">
        <v>170</v>
      </c>
      <c r="C54" s="2">
        <v>7</v>
      </c>
      <c r="D54" s="2" t="s">
        <v>14</v>
      </c>
      <c r="E54" s="2" t="s">
        <v>52</v>
      </c>
      <c r="F54" s="2" t="s">
        <v>16</v>
      </c>
      <c r="G54" s="2" t="s">
        <v>99</v>
      </c>
      <c r="H54" s="2" t="s">
        <v>236</v>
      </c>
      <c r="I54" s="2" t="s">
        <v>237</v>
      </c>
      <c r="J54" s="2">
        <v>35000</v>
      </c>
      <c r="K54" s="2" t="s">
        <v>238</v>
      </c>
      <c r="L54" s="2" t="s">
        <v>38</v>
      </c>
    </row>
    <row r="55" spans="1:12" ht="16.2" customHeight="1">
      <c r="A55" s="3" t="s">
        <v>239</v>
      </c>
      <c r="B55" s="3" t="s">
        <v>240</v>
      </c>
      <c r="C55" s="3">
        <v>28</v>
      </c>
      <c r="D55" s="3" t="s">
        <v>14</v>
      </c>
      <c r="E55" s="3" t="s">
        <v>52</v>
      </c>
      <c r="F55" s="3" t="s">
        <v>34</v>
      </c>
      <c r="G55" s="3" t="s">
        <v>104</v>
      </c>
      <c r="H55" s="3" t="s">
        <v>241</v>
      </c>
      <c r="I55" s="3" t="s">
        <v>242</v>
      </c>
      <c r="J55" s="3">
        <v>20000</v>
      </c>
      <c r="K55" s="3" t="s">
        <v>29</v>
      </c>
      <c r="L55" s="3" t="s">
        <v>55</v>
      </c>
    </row>
    <row r="56" spans="1:12" ht="16.2" customHeight="1">
      <c r="A56" s="2" t="s">
        <v>243</v>
      </c>
      <c r="B56" s="2" t="s">
        <v>244</v>
      </c>
      <c r="C56" s="2">
        <v>23</v>
      </c>
      <c r="D56" s="2" t="s">
        <v>32</v>
      </c>
      <c r="E56" s="2" t="s">
        <v>33</v>
      </c>
      <c r="F56" s="2" t="s">
        <v>42</v>
      </c>
      <c r="G56" s="2" t="s">
        <v>99</v>
      </c>
      <c r="H56" s="2" t="s">
        <v>245</v>
      </c>
      <c r="I56" s="2" t="s">
        <v>184</v>
      </c>
      <c r="J56" s="2">
        <v>35000</v>
      </c>
      <c r="K56" s="2" t="s">
        <v>37</v>
      </c>
      <c r="L56" s="2" t="s">
        <v>38</v>
      </c>
    </row>
    <row r="57" spans="1:12" ht="16.2" customHeight="1">
      <c r="A57" s="3" t="s">
        <v>246</v>
      </c>
      <c r="B57" s="3" t="s">
        <v>247</v>
      </c>
      <c r="C57" s="3">
        <v>68</v>
      </c>
      <c r="D57" s="3" t="s">
        <v>32</v>
      </c>
      <c r="E57" s="3" t="s">
        <v>122</v>
      </c>
      <c r="F57" s="3" t="s">
        <v>25</v>
      </c>
      <c r="G57" s="3" t="s">
        <v>48</v>
      </c>
      <c r="H57" s="3" t="s">
        <v>248</v>
      </c>
      <c r="I57" s="3" t="s">
        <v>249</v>
      </c>
      <c r="J57" s="3">
        <v>20000</v>
      </c>
      <c r="K57" s="3" t="s">
        <v>20</v>
      </c>
      <c r="L57" s="3" t="s">
        <v>38</v>
      </c>
    </row>
    <row r="58" spans="1:12" ht="16.2" customHeight="1">
      <c r="A58" s="2" t="s">
        <v>250</v>
      </c>
      <c r="B58" s="2" t="s">
        <v>251</v>
      </c>
      <c r="C58" s="2">
        <v>9</v>
      </c>
      <c r="D58" s="2" t="s">
        <v>32</v>
      </c>
      <c r="E58" s="2" t="s">
        <v>85</v>
      </c>
      <c r="F58" s="2" t="s">
        <v>76</v>
      </c>
      <c r="G58" s="2" t="s">
        <v>17</v>
      </c>
      <c r="H58" s="2" t="s">
        <v>145</v>
      </c>
      <c r="I58" s="2" t="s">
        <v>133</v>
      </c>
      <c r="J58" s="2">
        <v>50000</v>
      </c>
      <c r="K58" s="2" t="s">
        <v>29</v>
      </c>
      <c r="L58" s="2" t="s">
        <v>87</v>
      </c>
    </row>
    <row r="59" spans="1:12" ht="16.2" customHeight="1">
      <c r="A59" s="3" t="s">
        <v>252</v>
      </c>
      <c r="B59" s="3" t="s">
        <v>253</v>
      </c>
      <c r="C59" s="3">
        <v>33</v>
      </c>
      <c r="D59" s="3" t="s">
        <v>32</v>
      </c>
      <c r="E59" s="3" t="s">
        <v>254</v>
      </c>
      <c r="F59" s="3" t="s">
        <v>16</v>
      </c>
      <c r="G59" s="3" t="s">
        <v>53</v>
      </c>
      <c r="H59" s="3" t="s">
        <v>255</v>
      </c>
      <c r="I59" s="3" t="s">
        <v>256</v>
      </c>
      <c r="J59" s="3">
        <v>999999999</v>
      </c>
      <c r="K59" s="3" t="s">
        <v>67</v>
      </c>
      <c r="L59" s="3" t="s">
        <v>55</v>
      </c>
    </row>
    <row r="60" spans="1:12" ht="16.2" customHeight="1">
      <c r="A60" s="2" t="s">
        <v>257</v>
      </c>
      <c r="B60" s="2" t="s">
        <v>258</v>
      </c>
      <c r="C60" s="2">
        <v>30</v>
      </c>
      <c r="D60" s="2" t="s">
        <v>32</v>
      </c>
      <c r="E60" s="2" t="s">
        <v>109</v>
      </c>
      <c r="F60" s="2" t="s">
        <v>127</v>
      </c>
      <c r="G60" s="2" t="s">
        <v>104</v>
      </c>
      <c r="H60" s="2" t="s">
        <v>171</v>
      </c>
      <c r="I60" s="2" t="s">
        <v>259</v>
      </c>
      <c r="J60" s="2">
        <v>35000</v>
      </c>
      <c r="K60" s="2" t="s">
        <v>29</v>
      </c>
      <c r="L60" s="2" t="s">
        <v>38</v>
      </c>
    </row>
    <row r="61" spans="1:12" ht="16.2" customHeight="1">
      <c r="A61" s="3" t="s">
        <v>260</v>
      </c>
      <c r="B61" s="3" t="s">
        <v>261</v>
      </c>
      <c r="C61" s="3">
        <v>75</v>
      </c>
      <c r="D61" s="3" t="s">
        <v>14</v>
      </c>
      <c r="E61" s="3" t="s">
        <v>33</v>
      </c>
      <c r="F61" s="3" t="s">
        <v>76</v>
      </c>
      <c r="G61" s="3" t="s">
        <v>104</v>
      </c>
      <c r="H61" s="3" t="s">
        <v>78</v>
      </c>
      <c r="I61" s="3" t="s">
        <v>95</v>
      </c>
      <c r="J61" s="3">
        <v>8000</v>
      </c>
      <c r="K61" s="3" t="s">
        <v>20</v>
      </c>
      <c r="L61" s="3" t="s">
        <v>38</v>
      </c>
    </row>
    <row r="62" spans="1:12" ht="16.2" customHeight="1">
      <c r="A62" s="2" t="s">
        <v>262</v>
      </c>
      <c r="B62" s="2" t="s">
        <v>263</v>
      </c>
      <c r="C62" s="2">
        <v>31</v>
      </c>
      <c r="D62" s="2" t="s">
        <v>32</v>
      </c>
      <c r="E62" s="2" t="s">
        <v>15</v>
      </c>
      <c r="F62" s="2" t="s">
        <v>264</v>
      </c>
      <c r="G62" s="2" t="s">
        <v>17</v>
      </c>
      <c r="H62" s="2" t="s">
        <v>265</v>
      </c>
      <c r="I62" s="2" t="s">
        <v>266</v>
      </c>
      <c r="J62" s="2">
        <v>20000</v>
      </c>
      <c r="K62" s="2" t="s">
        <v>29</v>
      </c>
      <c r="L62" s="2" t="s">
        <v>55</v>
      </c>
    </row>
    <row r="63" spans="1:12" ht="16.2" customHeight="1">
      <c r="A63" s="3" t="s">
        <v>267</v>
      </c>
      <c r="B63" s="3" t="s">
        <v>268</v>
      </c>
      <c r="C63" s="3">
        <v>15</v>
      </c>
      <c r="D63" s="3" t="s">
        <v>32</v>
      </c>
      <c r="E63" s="3" t="s">
        <v>33</v>
      </c>
      <c r="F63" s="3" t="s">
        <v>25</v>
      </c>
      <c r="G63" s="3" t="s">
        <v>17</v>
      </c>
      <c r="H63" s="3" t="s">
        <v>269</v>
      </c>
      <c r="I63" s="3" t="s">
        <v>270</v>
      </c>
      <c r="J63" s="3">
        <v>25000</v>
      </c>
      <c r="K63" s="3" t="s">
        <v>20</v>
      </c>
      <c r="L63" s="3" t="s">
        <v>21</v>
      </c>
    </row>
    <row r="64" spans="1:12" ht="16.2" customHeight="1">
      <c r="A64" s="2" t="s">
        <v>271</v>
      </c>
      <c r="B64" s="2" t="s">
        <v>272</v>
      </c>
      <c r="C64" s="2">
        <v>62</v>
      </c>
      <c r="D64" s="2" t="s">
        <v>32</v>
      </c>
      <c r="E64" s="2" t="s">
        <v>15</v>
      </c>
      <c r="F64" s="2" t="s">
        <v>42</v>
      </c>
      <c r="G64" s="2" t="s">
        <v>17</v>
      </c>
      <c r="H64" s="2" t="s">
        <v>273</v>
      </c>
      <c r="I64" s="2" t="s">
        <v>274</v>
      </c>
      <c r="J64" s="2">
        <v>25000</v>
      </c>
      <c r="K64" s="2" t="s">
        <v>29</v>
      </c>
      <c r="L64" s="2" t="s">
        <v>55</v>
      </c>
    </row>
    <row r="65" spans="1:12" ht="16.2" customHeight="1">
      <c r="A65" s="3" t="s">
        <v>275</v>
      </c>
      <c r="B65" s="3" t="s">
        <v>258</v>
      </c>
      <c r="C65" s="3">
        <v>78</v>
      </c>
      <c r="D65" s="3" t="s">
        <v>32</v>
      </c>
      <c r="E65" s="3" t="s">
        <v>52</v>
      </c>
      <c r="F65" s="3" t="s">
        <v>76</v>
      </c>
      <c r="G65" s="3" t="s">
        <v>17</v>
      </c>
      <c r="H65" s="3" t="s">
        <v>276</v>
      </c>
      <c r="I65" s="3" t="s">
        <v>128</v>
      </c>
      <c r="J65" s="3">
        <v>12000</v>
      </c>
      <c r="K65" s="3" t="s">
        <v>67</v>
      </c>
      <c r="L65" s="3" t="s">
        <v>38</v>
      </c>
    </row>
    <row r="66" spans="1:12" ht="16.2" customHeight="1">
      <c r="A66" s="2" t="s">
        <v>277</v>
      </c>
      <c r="B66" s="2" t="s">
        <v>278</v>
      </c>
      <c r="C66" s="2">
        <v>76</v>
      </c>
      <c r="D66" s="2" t="s">
        <v>32</v>
      </c>
      <c r="E66" s="2" t="s">
        <v>15</v>
      </c>
      <c r="F66" s="2" t="s">
        <v>16</v>
      </c>
      <c r="G66" s="2" t="s">
        <v>53</v>
      </c>
      <c r="H66" s="2" t="s">
        <v>279</v>
      </c>
      <c r="I66" s="2" t="s">
        <v>280</v>
      </c>
      <c r="J66" s="2">
        <v>75000</v>
      </c>
      <c r="K66" s="2" t="s">
        <v>67</v>
      </c>
      <c r="L66" s="2" t="s">
        <v>87</v>
      </c>
    </row>
    <row r="67" spans="1:12" ht="16.2" customHeight="1">
      <c r="A67" s="3" t="s">
        <v>281</v>
      </c>
      <c r="B67" s="3" t="s">
        <v>282</v>
      </c>
      <c r="C67" s="3">
        <v>23</v>
      </c>
      <c r="D67" s="3" t="s">
        <v>32</v>
      </c>
      <c r="E67" s="3" t="s">
        <v>52</v>
      </c>
      <c r="F67" s="3" t="s">
        <v>25</v>
      </c>
      <c r="G67" s="3" t="s">
        <v>48</v>
      </c>
      <c r="H67" s="3" t="s">
        <v>283</v>
      </c>
      <c r="I67" s="3" t="s">
        <v>284</v>
      </c>
      <c r="J67" s="3">
        <v>75000</v>
      </c>
      <c r="K67" s="3" t="s">
        <v>67</v>
      </c>
      <c r="L67" s="3" t="s">
        <v>38</v>
      </c>
    </row>
    <row r="68" spans="1:12" ht="16.2" customHeight="1">
      <c r="A68" s="2" t="s">
        <v>281</v>
      </c>
      <c r="B68" s="2" t="s">
        <v>282</v>
      </c>
      <c r="C68" s="2">
        <v>23</v>
      </c>
      <c r="D68" s="2" t="s">
        <v>32</v>
      </c>
      <c r="E68" s="2" t="s">
        <v>52</v>
      </c>
      <c r="F68" s="2" t="s">
        <v>25</v>
      </c>
      <c r="G68" s="2" t="s">
        <v>48</v>
      </c>
      <c r="H68" s="2" t="s">
        <v>283</v>
      </c>
      <c r="I68" s="2" t="s">
        <v>284</v>
      </c>
      <c r="J68" s="2">
        <v>75000</v>
      </c>
      <c r="K68" s="2" t="s">
        <v>67</v>
      </c>
      <c r="L68" s="2" t="s">
        <v>38</v>
      </c>
    </row>
    <row r="69" spans="1:12" ht="16.2" customHeight="1">
      <c r="A69" s="3" t="s">
        <v>285</v>
      </c>
      <c r="B69" s="3" t="s">
        <v>286</v>
      </c>
      <c r="C69" s="3">
        <v>55</v>
      </c>
      <c r="D69" s="3" t="s">
        <v>287</v>
      </c>
      <c r="E69" s="3" t="s">
        <v>52</v>
      </c>
      <c r="F69" s="3" t="s">
        <v>16</v>
      </c>
      <c r="G69" s="3" t="s">
        <v>104</v>
      </c>
      <c r="H69" s="3" t="s">
        <v>288</v>
      </c>
      <c r="I69" s="3" t="s">
        <v>289</v>
      </c>
      <c r="J69" s="3">
        <v>8000</v>
      </c>
      <c r="K69" s="3" t="s">
        <v>37</v>
      </c>
      <c r="L69" s="3" t="s">
        <v>21</v>
      </c>
    </row>
    <row r="70" spans="1:12" ht="16.2" customHeight="1">
      <c r="A70" s="2" t="s">
        <v>290</v>
      </c>
      <c r="B70" s="2" t="s">
        <v>291</v>
      </c>
      <c r="C70" s="2">
        <v>70</v>
      </c>
      <c r="D70" s="2" t="s">
        <v>32</v>
      </c>
      <c r="E70" s="2" t="s">
        <v>58</v>
      </c>
      <c r="F70" s="2" t="s">
        <v>127</v>
      </c>
      <c r="G70" s="2" t="s">
        <v>48</v>
      </c>
      <c r="H70" s="2" t="s">
        <v>292</v>
      </c>
      <c r="I70" s="2" t="s">
        <v>198</v>
      </c>
      <c r="J70" s="2">
        <v>8000</v>
      </c>
      <c r="K70" s="2" t="s">
        <v>29</v>
      </c>
      <c r="L70" s="2" t="s">
        <v>87</v>
      </c>
    </row>
    <row r="71" spans="1:12" ht="16.2" customHeight="1">
      <c r="A71" s="3" t="s">
        <v>293</v>
      </c>
      <c r="B71" s="3" t="s">
        <v>294</v>
      </c>
      <c r="C71" s="3">
        <v>34</v>
      </c>
      <c r="D71" s="3" t="s">
        <v>14</v>
      </c>
      <c r="E71" s="3" t="s">
        <v>33</v>
      </c>
      <c r="F71" s="3" t="s">
        <v>42</v>
      </c>
      <c r="G71" s="3" t="s">
        <v>53</v>
      </c>
      <c r="H71" s="3" t="s">
        <v>295</v>
      </c>
      <c r="I71" s="3" t="s">
        <v>296</v>
      </c>
      <c r="J71" s="3">
        <v>15000</v>
      </c>
      <c r="K71" s="3" t="s">
        <v>20</v>
      </c>
      <c r="L71" s="3" t="s">
        <v>87</v>
      </c>
    </row>
    <row r="72" spans="1:12" ht="16.2" customHeight="1">
      <c r="A72" s="2" t="s">
        <v>297</v>
      </c>
      <c r="B72" s="2" t="s">
        <v>298</v>
      </c>
      <c r="C72" s="2">
        <v>53</v>
      </c>
      <c r="D72" s="2" t="s">
        <v>299</v>
      </c>
      <c r="E72" s="2" t="s">
        <v>300</v>
      </c>
      <c r="F72" s="2" t="s">
        <v>34</v>
      </c>
      <c r="G72" s="2" t="s">
        <v>99</v>
      </c>
      <c r="H72" s="2" t="s">
        <v>301</v>
      </c>
      <c r="I72" s="2" t="s">
        <v>302</v>
      </c>
      <c r="J72" s="2">
        <v>5000</v>
      </c>
      <c r="K72" s="2" t="s">
        <v>67</v>
      </c>
      <c r="L72" s="2" t="s">
        <v>55</v>
      </c>
    </row>
    <row r="73" spans="1:12" ht="16.2" customHeight="1">
      <c r="A73" s="3" t="s">
        <v>303</v>
      </c>
      <c r="B73" s="3" t="s">
        <v>304</v>
      </c>
      <c r="C73" s="3">
        <v>68</v>
      </c>
      <c r="D73" s="3" t="s">
        <v>14</v>
      </c>
      <c r="E73" s="3" t="s">
        <v>58</v>
      </c>
      <c r="F73" s="3" t="s">
        <v>42</v>
      </c>
      <c r="G73" s="3" t="s">
        <v>53</v>
      </c>
      <c r="H73" s="3" t="s">
        <v>305</v>
      </c>
      <c r="I73" s="3" t="s">
        <v>306</v>
      </c>
      <c r="J73" s="3">
        <v>25000</v>
      </c>
      <c r="K73" s="3" t="s">
        <v>20</v>
      </c>
      <c r="L73" s="3" t="s">
        <v>21</v>
      </c>
    </row>
    <row r="74" spans="1:12" ht="16.2" customHeight="1">
      <c r="A74" s="2" t="s">
        <v>307</v>
      </c>
      <c r="B74" s="2" t="s">
        <v>308</v>
      </c>
      <c r="C74" s="2">
        <v>84</v>
      </c>
      <c r="D74" s="2" t="s">
        <v>14</v>
      </c>
      <c r="E74" s="2" t="s">
        <v>85</v>
      </c>
      <c r="F74" s="2" t="s">
        <v>42</v>
      </c>
      <c r="G74" s="2" t="s">
        <v>17</v>
      </c>
      <c r="H74" s="2" t="s">
        <v>309</v>
      </c>
      <c r="I74" s="2" t="s">
        <v>310</v>
      </c>
      <c r="J74" s="2">
        <v>12000</v>
      </c>
      <c r="K74" s="2" t="s">
        <v>37</v>
      </c>
      <c r="L74" s="2" t="s">
        <v>38</v>
      </c>
    </row>
    <row r="75" spans="1:12" ht="16.2" customHeight="1">
      <c r="A75" s="3" t="s">
        <v>311</v>
      </c>
      <c r="B75" s="3" t="s">
        <v>312</v>
      </c>
      <c r="C75" s="3">
        <v>72</v>
      </c>
      <c r="D75" s="3" t="s">
        <v>14</v>
      </c>
      <c r="E75" s="3" t="s">
        <v>52</v>
      </c>
      <c r="F75" s="3" t="s">
        <v>42</v>
      </c>
      <c r="G75" s="3" t="s">
        <v>99</v>
      </c>
      <c r="H75" s="3" t="s">
        <v>313</v>
      </c>
      <c r="I75" s="3" t="s">
        <v>314</v>
      </c>
      <c r="J75" s="3">
        <v>8000</v>
      </c>
      <c r="K75" s="3" t="s">
        <v>20</v>
      </c>
      <c r="L75" s="3" t="s">
        <v>55</v>
      </c>
    </row>
    <row r="76" spans="1:12" ht="16.2" customHeight="1">
      <c r="A76" s="2" t="s">
        <v>315</v>
      </c>
      <c r="B76" s="2" t="s">
        <v>316</v>
      </c>
      <c r="C76" s="2">
        <v>58</v>
      </c>
      <c r="D76" s="2" t="s">
        <v>14</v>
      </c>
      <c r="E76" s="2" t="s">
        <v>52</v>
      </c>
      <c r="F76" s="2" t="s">
        <v>127</v>
      </c>
      <c r="G76" s="2" t="s">
        <v>99</v>
      </c>
      <c r="H76" s="2" t="s">
        <v>317</v>
      </c>
      <c r="I76" s="2" t="s">
        <v>318</v>
      </c>
      <c r="J76" s="2">
        <v>5000</v>
      </c>
      <c r="K76" s="2" t="s">
        <v>29</v>
      </c>
      <c r="L76" s="2" t="s">
        <v>38</v>
      </c>
    </row>
    <row r="77" spans="1:12" ht="16.2" customHeight="1">
      <c r="A77" s="3" t="s">
        <v>319</v>
      </c>
      <c r="B77" s="3" t="s">
        <v>320</v>
      </c>
      <c r="C77" s="3">
        <v>20</v>
      </c>
      <c r="D77" s="3" t="s">
        <v>321</v>
      </c>
      <c r="E77" s="3" t="s">
        <v>15</v>
      </c>
      <c r="F77" s="3" t="s">
        <v>16</v>
      </c>
      <c r="G77" s="3" t="s">
        <v>99</v>
      </c>
      <c r="H77" s="3" t="s">
        <v>322</v>
      </c>
      <c r="I77" s="3" t="s">
        <v>179</v>
      </c>
      <c r="J77" s="3">
        <v>20000</v>
      </c>
      <c r="K77" s="3" t="s">
        <v>20</v>
      </c>
      <c r="L77" s="3" t="s">
        <v>38</v>
      </c>
    </row>
    <row r="78" spans="1:12" ht="16.2" customHeight="1">
      <c r="A78" s="2" t="s">
        <v>323</v>
      </c>
      <c r="B78" s="2" t="s">
        <v>324</v>
      </c>
      <c r="C78" s="2">
        <v>81</v>
      </c>
      <c r="D78" s="2" t="s">
        <v>14</v>
      </c>
      <c r="E78" s="2" t="s">
        <v>52</v>
      </c>
      <c r="F78" s="2" t="s">
        <v>16</v>
      </c>
      <c r="G78" s="2" t="s">
        <v>35</v>
      </c>
      <c r="H78" s="2" t="s">
        <v>129</v>
      </c>
      <c r="I78" s="2" t="s">
        <v>325</v>
      </c>
      <c r="J78" s="2">
        <v>25000</v>
      </c>
      <c r="K78" s="2" t="s">
        <v>37</v>
      </c>
      <c r="L78" s="2" t="s">
        <v>55</v>
      </c>
    </row>
    <row r="79" spans="1:12" ht="16.2" customHeight="1">
      <c r="A79" s="3" t="s">
        <v>326</v>
      </c>
      <c r="B79" s="3" t="s">
        <v>327</v>
      </c>
      <c r="C79" s="3">
        <v>45</v>
      </c>
      <c r="D79" s="3" t="s">
        <v>14</v>
      </c>
      <c r="E79" s="3" t="s">
        <v>52</v>
      </c>
      <c r="F79" s="3" t="s">
        <v>132</v>
      </c>
      <c r="G79" s="3" t="s">
        <v>99</v>
      </c>
      <c r="H79" s="3" t="s">
        <v>133</v>
      </c>
      <c r="I79" s="3" t="s">
        <v>82</v>
      </c>
      <c r="J79" s="3">
        <v>25000</v>
      </c>
      <c r="K79" s="3" t="s">
        <v>29</v>
      </c>
      <c r="L79" s="3" t="s">
        <v>21</v>
      </c>
    </row>
    <row r="80" spans="1:12" ht="16.2" customHeight="1">
      <c r="A80" s="2" t="s">
        <v>328</v>
      </c>
      <c r="B80" s="2" t="s">
        <v>329</v>
      </c>
      <c r="C80" s="2">
        <v>23</v>
      </c>
      <c r="D80" s="2" t="s">
        <v>32</v>
      </c>
      <c r="E80" s="2" t="s">
        <v>85</v>
      </c>
      <c r="F80" s="2" t="s">
        <v>25</v>
      </c>
      <c r="G80" s="2" t="s">
        <v>104</v>
      </c>
      <c r="H80" s="2" t="s">
        <v>306</v>
      </c>
      <c r="I80" s="2" t="s">
        <v>330</v>
      </c>
      <c r="J80" s="2">
        <v>35000</v>
      </c>
      <c r="K80" s="2" t="s">
        <v>331</v>
      </c>
      <c r="L80" s="2" t="s">
        <v>87</v>
      </c>
    </row>
    <row r="81" spans="1:12" ht="16.2" customHeight="1">
      <c r="A81" s="3" t="s">
        <v>332</v>
      </c>
      <c r="B81" s="3" t="s">
        <v>333</v>
      </c>
      <c r="C81" s="3">
        <v>72</v>
      </c>
      <c r="D81" s="3" t="s">
        <v>14</v>
      </c>
      <c r="E81" s="3" t="s">
        <v>70</v>
      </c>
      <c r="F81" s="3" t="s">
        <v>132</v>
      </c>
      <c r="G81" s="3" t="s">
        <v>48</v>
      </c>
      <c r="H81" s="3" t="s">
        <v>334</v>
      </c>
      <c r="I81" s="3" t="s">
        <v>335</v>
      </c>
      <c r="J81" s="3">
        <v>12000</v>
      </c>
      <c r="K81" s="3" t="s">
        <v>20</v>
      </c>
      <c r="L81" s="3" t="s">
        <v>55</v>
      </c>
    </row>
    <row r="82" spans="1:12" ht="16.2" customHeight="1">
      <c r="A82" s="2" t="s">
        <v>336</v>
      </c>
      <c r="B82" s="2" t="s">
        <v>337</v>
      </c>
      <c r="C82" s="2">
        <v>39</v>
      </c>
      <c r="D82" s="2" t="s">
        <v>338</v>
      </c>
      <c r="E82" s="2" t="s">
        <v>58</v>
      </c>
      <c r="F82" s="2" t="s">
        <v>76</v>
      </c>
      <c r="G82" s="2" t="s">
        <v>26</v>
      </c>
      <c r="H82" s="2" t="s">
        <v>219</v>
      </c>
      <c r="I82" s="2" t="s">
        <v>339</v>
      </c>
      <c r="J82" s="2">
        <v>20000</v>
      </c>
      <c r="K82" s="2" t="s">
        <v>67</v>
      </c>
      <c r="L82" s="2" t="s">
        <v>55</v>
      </c>
    </row>
    <row r="83" spans="1:12" ht="16.2" customHeight="1">
      <c r="A83" s="3" t="s">
        <v>340</v>
      </c>
      <c r="B83" s="3" t="s">
        <v>341</v>
      </c>
      <c r="C83" s="3">
        <v>71</v>
      </c>
      <c r="D83" s="3" t="s">
        <v>32</v>
      </c>
      <c r="E83" s="3" t="s">
        <v>85</v>
      </c>
      <c r="F83" s="3" t="s">
        <v>342</v>
      </c>
      <c r="G83" s="3" t="s">
        <v>48</v>
      </c>
      <c r="H83" s="3" t="s">
        <v>343</v>
      </c>
      <c r="I83" s="3" t="s">
        <v>344</v>
      </c>
      <c r="J83" s="3">
        <v>25000</v>
      </c>
      <c r="K83" s="3" t="s">
        <v>29</v>
      </c>
      <c r="L83" s="3" t="s">
        <v>87</v>
      </c>
    </row>
    <row r="84" spans="1:12" ht="16.2" customHeight="1">
      <c r="A84" s="2" t="s">
        <v>345</v>
      </c>
      <c r="B84" s="2" t="s">
        <v>346</v>
      </c>
      <c r="C84" s="2">
        <v>89</v>
      </c>
      <c r="D84" s="2" t="s">
        <v>14</v>
      </c>
      <c r="E84" s="2" t="s">
        <v>109</v>
      </c>
      <c r="F84" s="2" t="s">
        <v>76</v>
      </c>
      <c r="G84" s="2" t="s">
        <v>35</v>
      </c>
      <c r="H84" s="2" t="s">
        <v>347</v>
      </c>
      <c r="I84" s="2" t="s">
        <v>348</v>
      </c>
      <c r="J84" s="2">
        <v>50000</v>
      </c>
      <c r="K84" s="2" t="s">
        <v>349</v>
      </c>
      <c r="L84" s="2" t="s">
        <v>38</v>
      </c>
    </row>
    <row r="85" spans="1:12" ht="16.2" customHeight="1">
      <c r="A85" s="3" t="s">
        <v>345</v>
      </c>
      <c r="B85" s="3" t="s">
        <v>346</v>
      </c>
      <c r="C85" s="3">
        <v>89</v>
      </c>
      <c r="D85" s="3" t="s">
        <v>14</v>
      </c>
      <c r="E85" s="3" t="s">
        <v>109</v>
      </c>
      <c r="F85" s="3" t="s">
        <v>76</v>
      </c>
      <c r="G85" s="3" t="s">
        <v>35</v>
      </c>
      <c r="H85" s="3" t="s">
        <v>347</v>
      </c>
      <c r="I85" s="3" t="s">
        <v>348</v>
      </c>
      <c r="J85" s="3">
        <v>50000</v>
      </c>
      <c r="K85" s="3" t="s">
        <v>350</v>
      </c>
      <c r="L85" s="3" t="s">
        <v>38</v>
      </c>
    </row>
    <row r="86" spans="1:12" ht="16.2" customHeight="1">
      <c r="A86" s="2" t="s">
        <v>351</v>
      </c>
      <c r="B86" s="2" t="s">
        <v>352</v>
      </c>
      <c r="C86" s="2">
        <v>43</v>
      </c>
      <c r="D86" s="2" t="s">
        <v>32</v>
      </c>
      <c r="E86" s="2" t="s">
        <v>109</v>
      </c>
      <c r="F86" s="2" t="s">
        <v>42</v>
      </c>
      <c r="G86" s="2" t="s">
        <v>26</v>
      </c>
      <c r="H86" s="2" t="s">
        <v>289</v>
      </c>
      <c r="I86" s="2" t="s">
        <v>353</v>
      </c>
      <c r="J86" s="2">
        <v>8000</v>
      </c>
      <c r="K86" s="2" t="s">
        <v>20</v>
      </c>
      <c r="L86" s="2" t="s">
        <v>55</v>
      </c>
    </row>
    <row r="87" spans="1:12" ht="16.2" customHeight="1">
      <c r="A87" s="3" t="s">
        <v>354</v>
      </c>
      <c r="B87" s="3" t="s">
        <v>355</v>
      </c>
      <c r="C87" s="3">
        <v>50</v>
      </c>
      <c r="D87" s="3" t="s">
        <v>14</v>
      </c>
      <c r="E87" s="3" t="s">
        <v>15</v>
      </c>
      <c r="F87" s="3" t="s">
        <v>34</v>
      </c>
      <c r="G87" s="3" t="s">
        <v>53</v>
      </c>
      <c r="H87" s="3" t="s">
        <v>356</v>
      </c>
      <c r="I87" s="3" t="s">
        <v>334</v>
      </c>
      <c r="J87" s="3">
        <v>8000</v>
      </c>
      <c r="K87" s="3" t="s">
        <v>29</v>
      </c>
      <c r="L87" s="3" t="s">
        <v>38</v>
      </c>
    </row>
    <row r="88" spans="1:12" ht="16.2" customHeight="1">
      <c r="A88" s="2" t="s">
        <v>357</v>
      </c>
      <c r="B88" s="2" t="s">
        <v>358</v>
      </c>
      <c r="C88" s="2">
        <v>12</v>
      </c>
      <c r="D88" s="2" t="s">
        <v>32</v>
      </c>
      <c r="E88" s="2" t="s">
        <v>359</v>
      </c>
      <c r="F88" s="2" t="s">
        <v>16</v>
      </c>
      <c r="G88" s="2" t="s">
        <v>48</v>
      </c>
      <c r="H88" s="2" t="s">
        <v>259</v>
      </c>
      <c r="I88" s="2" t="s">
        <v>360</v>
      </c>
      <c r="J88" s="2">
        <v>25000</v>
      </c>
      <c r="K88" s="2" t="s">
        <v>20</v>
      </c>
      <c r="L88" s="2" t="s">
        <v>55</v>
      </c>
    </row>
    <row r="89" spans="1:12" ht="16.2" customHeight="1">
      <c r="A89" s="3" t="s">
        <v>361</v>
      </c>
      <c r="B89" s="3" t="s">
        <v>362</v>
      </c>
      <c r="C89" s="3">
        <v>82</v>
      </c>
      <c r="D89" s="3" t="s">
        <v>32</v>
      </c>
      <c r="E89" s="3" t="s">
        <v>109</v>
      </c>
      <c r="F89" s="3" t="s">
        <v>25</v>
      </c>
      <c r="G89" s="3" t="s">
        <v>48</v>
      </c>
      <c r="H89" s="3" t="s">
        <v>330</v>
      </c>
      <c r="I89" s="3" t="s">
        <v>363</v>
      </c>
      <c r="J89" s="3">
        <v>20000</v>
      </c>
      <c r="K89" s="3" t="s">
        <v>29</v>
      </c>
      <c r="L89" s="3" t="s">
        <v>55</v>
      </c>
    </row>
    <row r="90" spans="1:12" ht="16.2" customHeight="1">
      <c r="A90" s="2" t="s">
        <v>364</v>
      </c>
      <c r="B90" s="2" t="s">
        <v>365</v>
      </c>
      <c r="C90" s="2">
        <v>48</v>
      </c>
      <c r="D90" s="2" t="s">
        <v>14</v>
      </c>
      <c r="E90" s="2" t="s">
        <v>85</v>
      </c>
      <c r="F90" s="2" t="s">
        <v>76</v>
      </c>
      <c r="G90" s="2" t="s">
        <v>53</v>
      </c>
      <c r="H90" s="2" t="s">
        <v>366</v>
      </c>
      <c r="I90" s="2" t="s">
        <v>367</v>
      </c>
      <c r="J90" s="2">
        <v>75000</v>
      </c>
      <c r="K90" s="2" t="s">
        <v>37</v>
      </c>
      <c r="L90" s="2" t="s">
        <v>87</v>
      </c>
    </row>
    <row r="91" spans="1:12" ht="16.2" customHeight="1">
      <c r="A91" s="3" t="s">
        <v>368</v>
      </c>
      <c r="B91" s="3" t="s">
        <v>369</v>
      </c>
      <c r="C91" s="3">
        <v>79</v>
      </c>
      <c r="D91" s="3" t="s">
        <v>32</v>
      </c>
      <c r="E91" s="3" t="s">
        <v>70</v>
      </c>
      <c r="F91" s="3" t="s">
        <v>132</v>
      </c>
      <c r="G91" s="3" t="s">
        <v>53</v>
      </c>
      <c r="H91" s="3" t="s">
        <v>203</v>
      </c>
      <c r="I91" s="3" t="s">
        <v>370</v>
      </c>
      <c r="J91" s="3">
        <v>50000</v>
      </c>
      <c r="K91" s="3" t="s">
        <v>168</v>
      </c>
      <c r="L91" s="3" t="s">
        <v>38</v>
      </c>
    </row>
    <row r="92" spans="1:12" ht="16.2" customHeight="1">
      <c r="A92" s="2" t="s">
        <v>371</v>
      </c>
      <c r="B92" s="2" t="s">
        <v>372</v>
      </c>
      <c r="C92" s="2">
        <v>2</v>
      </c>
      <c r="D92" s="2" t="s">
        <v>32</v>
      </c>
      <c r="E92" s="2" t="s">
        <v>85</v>
      </c>
      <c r="F92" s="2" t="s">
        <v>42</v>
      </c>
      <c r="G92" s="2" t="s">
        <v>99</v>
      </c>
      <c r="H92" s="2" t="s">
        <v>373</v>
      </c>
      <c r="I92" s="2" t="s">
        <v>374</v>
      </c>
      <c r="J92" s="2">
        <v>15000</v>
      </c>
      <c r="K92" s="2" t="s">
        <v>350</v>
      </c>
      <c r="L92" s="2" t="s">
        <v>38</v>
      </c>
    </row>
    <row r="93" spans="1:12" ht="16.2" customHeight="1">
      <c r="A93" s="3" t="s">
        <v>375</v>
      </c>
      <c r="B93" s="3" t="s">
        <v>376</v>
      </c>
      <c r="C93" s="3">
        <v>55</v>
      </c>
      <c r="D93" s="3" t="s">
        <v>14</v>
      </c>
      <c r="E93" s="3" t="s">
        <v>33</v>
      </c>
      <c r="F93" s="3" t="s">
        <v>222</v>
      </c>
      <c r="G93" s="3" t="s">
        <v>35</v>
      </c>
      <c r="H93" s="3" t="s">
        <v>377</v>
      </c>
      <c r="I93" s="3" t="s">
        <v>378</v>
      </c>
      <c r="J93" s="3">
        <v>15000</v>
      </c>
      <c r="K93" s="3" t="s">
        <v>67</v>
      </c>
      <c r="L93" s="3" t="s">
        <v>38</v>
      </c>
    </row>
    <row r="94" spans="1:12" ht="16.2" customHeight="1">
      <c r="A94" s="2" t="s">
        <v>379</v>
      </c>
      <c r="B94" s="2" t="s">
        <v>380</v>
      </c>
      <c r="C94" s="2">
        <v>6</v>
      </c>
      <c r="D94" s="2" t="s">
        <v>14</v>
      </c>
      <c r="E94" s="2" t="s">
        <v>381</v>
      </c>
      <c r="F94" s="2" t="s">
        <v>16</v>
      </c>
      <c r="G94" s="2" t="s">
        <v>17</v>
      </c>
      <c r="H94" s="2" t="s">
        <v>382</v>
      </c>
      <c r="I94" s="2" t="s">
        <v>383</v>
      </c>
      <c r="J94" s="2">
        <v>75000</v>
      </c>
      <c r="K94" s="2" t="s">
        <v>20</v>
      </c>
      <c r="L94" s="2" t="s">
        <v>55</v>
      </c>
    </row>
    <row r="95" spans="1:12" ht="16.2" customHeight="1">
      <c r="A95" s="3" t="s">
        <v>384</v>
      </c>
      <c r="B95" s="3" t="s">
        <v>385</v>
      </c>
      <c r="C95" s="3">
        <v>61</v>
      </c>
      <c r="D95" s="3" t="s">
        <v>32</v>
      </c>
      <c r="E95" s="3" t="s">
        <v>70</v>
      </c>
      <c r="F95" s="3" t="s">
        <v>42</v>
      </c>
      <c r="G95" s="3" t="s">
        <v>26</v>
      </c>
      <c r="H95" s="3" t="s">
        <v>386</v>
      </c>
      <c r="I95" s="3" t="s">
        <v>387</v>
      </c>
      <c r="J95" s="3">
        <v>20000</v>
      </c>
      <c r="K95" s="3" t="s">
        <v>20</v>
      </c>
      <c r="L95" s="3" t="s">
        <v>21</v>
      </c>
    </row>
    <row r="96" spans="1:12" ht="16.2" customHeight="1">
      <c r="A96" s="2" t="s">
        <v>388</v>
      </c>
      <c r="B96" s="2" t="s">
        <v>389</v>
      </c>
      <c r="C96" s="2">
        <v>75</v>
      </c>
      <c r="D96" s="2" t="s">
        <v>14</v>
      </c>
      <c r="E96" s="2" t="s">
        <v>70</v>
      </c>
      <c r="F96" s="2" t="s">
        <v>25</v>
      </c>
      <c r="G96" s="2" t="s">
        <v>17</v>
      </c>
      <c r="H96" s="2" t="s">
        <v>390</v>
      </c>
      <c r="I96" s="2" t="s">
        <v>317</v>
      </c>
      <c r="J96" s="2">
        <v>20000</v>
      </c>
      <c r="K96" s="2" t="s">
        <v>67</v>
      </c>
      <c r="L96" s="2" t="s">
        <v>87</v>
      </c>
    </row>
    <row r="97" spans="1:12" ht="16.2" customHeight="1">
      <c r="A97" s="3" t="s">
        <v>391</v>
      </c>
      <c r="B97" s="3" t="s">
        <v>392</v>
      </c>
      <c r="C97" s="3">
        <v>43</v>
      </c>
      <c r="D97" s="3" t="s">
        <v>32</v>
      </c>
      <c r="E97" s="3" t="s">
        <v>70</v>
      </c>
      <c r="F97" s="3" t="s">
        <v>34</v>
      </c>
      <c r="G97" s="3" t="s">
        <v>53</v>
      </c>
      <c r="H97" s="3" t="s">
        <v>393</v>
      </c>
      <c r="I97" s="3" t="s">
        <v>394</v>
      </c>
      <c r="J97" s="3">
        <v>50000</v>
      </c>
      <c r="K97" s="3" t="s">
        <v>20</v>
      </c>
      <c r="L97" s="3" t="s">
        <v>87</v>
      </c>
    </row>
    <row r="98" spans="1:12" ht="16.2" customHeight="1">
      <c r="A98" s="2" t="s">
        <v>395</v>
      </c>
      <c r="B98" s="2" t="s">
        <v>396</v>
      </c>
      <c r="C98" s="2">
        <v>12</v>
      </c>
      <c r="D98" s="2" t="s">
        <v>32</v>
      </c>
      <c r="E98" s="2" t="s">
        <v>33</v>
      </c>
      <c r="F98" s="2" t="s">
        <v>132</v>
      </c>
      <c r="G98" s="2" t="s">
        <v>53</v>
      </c>
      <c r="H98" s="2" t="s">
        <v>397</v>
      </c>
      <c r="I98" s="2" t="s">
        <v>60</v>
      </c>
      <c r="J98" s="2">
        <v>5000</v>
      </c>
      <c r="K98" s="2" t="s">
        <v>29</v>
      </c>
      <c r="L98" s="2" t="s">
        <v>87</v>
      </c>
    </row>
    <row r="99" spans="1:12" ht="16.2" customHeight="1">
      <c r="A99" s="3" t="s">
        <v>398</v>
      </c>
      <c r="B99" s="3" t="s">
        <v>399</v>
      </c>
      <c r="C99" s="3">
        <v>76</v>
      </c>
      <c r="D99" s="3" t="s">
        <v>32</v>
      </c>
      <c r="E99" s="3" t="s">
        <v>52</v>
      </c>
      <c r="F99" s="3" t="s">
        <v>42</v>
      </c>
      <c r="G99" s="3" t="s">
        <v>26</v>
      </c>
      <c r="H99" s="3" t="s">
        <v>142</v>
      </c>
      <c r="I99" s="3" t="s">
        <v>145</v>
      </c>
      <c r="J99" s="3">
        <v>12000</v>
      </c>
      <c r="K99" s="3" t="s">
        <v>29</v>
      </c>
      <c r="L99" s="3" t="s">
        <v>87</v>
      </c>
    </row>
    <row r="100" spans="1:12" ht="16.2" customHeight="1">
      <c r="A100" s="2" t="s">
        <v>400</v>
      </c>
      <c r="B100" s="2" t="s">
        <v>401</v>
      </c>
      <c r="C100" s="2">
        <v>11</v>
      </c>
      <c r="D100" s="2" t="s">
        <v>14</v>
      </c>
      <c r="E100" s="2" t="s">
        <v>52</v>
      </c>
      <c r="F100" s="2" t="s">
        <v>76</v>
      </c>
      <c r="G100" s="2" t="s">
        <v>104</v>
      </c>
      <c r="H100" s="2" t="s">
        <v>148</v>
      </c>
      <c r="I100" s="2" t="s">
        <v>402</v>
      </c>
      <c r="J100" s="2">
        <v>15000</v>
      </c>
      <c r="K100" s="2" t="s">
        <v>20</v>
      </c>
      <c r="L100" s="2" t="s">
        <v>87</v>
      </c>
    </row>
    <row r="101" spans="1:12" ht="16.2" customHeight="1">
      <c r="A101" s="3" t="s">
        <v>403</v>
      </c>
      <c r="B101" s="3" t="s">
        <v>404</v>
      </c>
      <c r="C101" s="3">
        <v>29</v>
      </c>
      <c r="D101" s="3" t="s">
        <v>14</v>
      </c>
      <c r="E101" s="3" t="s">
        <v>33</v>
      </c>
      <c r="F101" s="3" t="s">
        <v>25</v>
      </c>
      <c r="G101" s="3" t="s">
        <v>17</v>
      </c>
      <c r="H101" s="3" t="s">
        <v>405</v>
      </c>
      <c r="I101" s="3" t="s">
        <v>406</v>
      </c>
      <c r="J101" s="3">
        <v>75000</v>
      </c>
      <c r="K101" s="3" t="s">
        <v>37</v>
      </c>
      <c r="L101" s="3" t="s">
        <v>55</v>
      </c>
    </row>
    <row r="102" spans="1:12" ht="16.2" customHeight="1">
      <c r="A102" s="2" t="s">
        <v>407</v>
      </c>
      <c r="B102" s="2" t="s">
        <v>408</v>
      </c>
      <c r="C102" s="2">
        <v>44</v>
      </c>
      <c r="D102" s="2" t="s">
        <v>32</v>
      </c>
      <c r="E102" s="2" t="s">
        <v>300</v>
      </c>
      <c r="F102" s="2" t="s">
        <v>409</v>
      </c>
      <c r="G102" s="2" t="s">
        <v>26</v>
      </c>
      <c r="H102" s="2" t="s">
        <v>394</v>
      </c>
      <c r="I102" s="2" t="s">
        <v>410</v>
      </c>
      <c r="J102" s="2">
        <v>12000</v>
      </c>
      <c r="K102" s="2" t="s">
        <v>29</v>
      </c>
      <c r="L102" s="2" t="s">
        <v>38</v>
      </c>
    </row>
    <row r="103" spans="1:12" ht="16.2" customHeight="1">
      <c r="A103" s="3" t="s">
        <v>411</v>
      </c>
      <c r="B103" s="3" t="s">
        <v>412</v>
      </c>
      <c r="C103" s="3">
        <v>20</v>
      </c>
      <c r="D103" s="3" t="s">
        <v>14</v>
      </c>
      <c r="E103" s="3" t="s">
        <v>58</v>
      </c>
      <c r="F103" s="3" t="s">
        <v>42</v>
      </c>
      <c r="G103" s="3" t="s">
        <v>53</v>
      </c>
      <c r="H103" s="3" t="s">
        <v>106</v>
      </c>
      <c r="I103" s="3" t="s">
        <v>302</v>
      </c>
      <c r="J103" s="3">
        <v>12000</v>
      </c>
      <c r="K103" s="3" t="s">
        <v>67</v>
      </c>
      <c r="L103" s="3" t="s">
        <v>87</v>
      </c>
    </row>
    <row r="104" spans="1:12" ht="16.2" customHeight="1">
      <c r="A104" s="2" t="s">
        <v>413</v>
      </c>
      <c r="B104" s="2" t="s">
        <v>414</v>
      </c>
      <c r="C104" s="2">
        <v>32</v>
      </c>
      <c r="D104" s="2" t="s">
        <v>32</v>
      </c>
      <c r="E104" s="2" t="s">
        <v>15</v>
      </c>
      <c r="F104" s="2" t="s">
        <v>132</v>
      </c>
      <c r="G104" s="2" t="s">
        <v>17</v>
      </c>
      <c r="H104" s="2" t="s">
        <v>415</v>
      </c>
      <c r="I104" s="2" t="s">
        <v>416</v>
      </c>
      <c r="J104" s="2">
        <v>8000</v>
      </c>
      <c r="K104" s="2" t="s">
        <v>20</v>
      </c>
      <c r="L104" s="2" t="s">
        <v>55</v>
      </c>
    </row>
    <row r="105" spans="1:12" ht="16.2" customHeight="1">
      <c r="A105" s="3" t="s">
        <v>417</v>
      </c>
      <c r="B105" s="3" t="s">
        <v>418</v>
      </c>
      <c r="C105" s="3">
        <v>88</v>
      </c>
      <c r="D105" s="3" t="s">
        <v>14</v>
      </c>
      <c r="E105" s="3" t="s">
        <v>58</v>
      </c>
      <c r="F105" s="3" t="s">
        <v>76</v>
      </c>
      <c r="G105" s="3" t="s">
        <v>53</v>
      </c>
      <c r="H105" s="3" t="s">
        <v>419</v>
      </c>
      <c r="I105" s="3" t="s">
        <v>218</v>
      </c>
      <c r="J105" s="3">
        <v>100000</v>
      </c>
      <c r="K105" s="3" t="s">
        <v>29</v>
      </c>
      <c r="L105" s="3" t="s">
        <v>55</v>
      </c>
    </row>
    <row r="106" spans="1:12" ht="16.2" customHeight="1">
      <c r="A106" s="2" t="s">
        <v>420</v>
      </c>
      <c r="B106" s="2" t="s">
        <v>421</v>
      </c>
      <c r="C106" s="2">
        <v>66</v>
      </c>
      <c r="D106" s="2" t="s">
        <v>321</v>
      </c>
      <c r="E106" s="2" t="s">
        <v>58</v>
      </c>
      <c r="F106" s="2" t="s">
        <v>422</v>
      </c>
      <c r="G106" s="2" t="s">
        <v>99</v>
      </c>
      <c r="H106" s="2" t="s">
        <v>423</v>
      </c>
      <c r="I106" s="2" t="s">
        <v>195</v>
      </c>
      <c r="J106" s="2">
        <v>15000</v>
      </c>
      <c r="K106" s="2" t="s">
        <v>67</v>
      </c>
      <c r="L106" s="2" t="s">
        <v>38</v>
      </c>
    </row>
    <row r="107" spans="1:12" ht="16.2" customHeight="1">
      <c r="A107" s="3" t="s">
        <v>424</v>
      </c>
      <c r="B107" s="3" t="s">
        <v>425</v>
      </c>
      <c r="C107" s="3">
        <v>44</v>
      </c>
      <c r="D107" s="3" t="s">
        <v>32</v>
      </c>
      <c r="E107" s="3"/>
      <c r="F107" s="3" t="s">
        <v>34</v>
      </c>
      <c r="G107" s="3" t="s">
        <v>17</v>
      </c>
      <c r="H107" s="3" t="s">
        <v>283</v>
      </c>
      <c r="I107" s="3" t="s">
        <v>426</v>
      </c>
      <c r="J107" s="3">
        <v>5000</v>
      </c>
      <c r="K107" s="3" t="s">
        <v>29</v>
      </c>
      <c r="L107" s="3" t="s">
        <v>38</v>
      </c>
    </row>
    <row r="108" spans="1:12" ht="16.2" customHeight="1">
      <c r="A108" s="2" t="s">
        <v>427</v>
      </c>
      <c r="B108" s="2" t="s">
        <v>428</v>
      </c>
      <c r="C108" s="2">
        <v>56</v>
      </c>
      <c r="D108" s="2" t="s">
        <v>14</v>
      </c>
      <c r="E108" s="2" t="s">
        <v>33</v>
      </c>
      <c r="F108" s="2" t="s">
        <v>132</v>
      </c>
      <c r="G108" s="2" t="s">
        <v>17</v>
      </c>
      <c r="H108" s="2" t="s">
        <v>429</v>
      </c>
      <c r="I108" s="2" t="s">
        <v>430</v>
      </c>
      <c r="J108" s="2">
        <v>8000</v>
      </c>
      <c r="K108" s="2" t="s">
        <v>20</v>
      </c>
      <c r="L108" s="2" t="s">
        <v>38</v>
      </c>
    </row>
    <row r="109" spans="1:12" ht="16.2" customHeight="1">
      <c r="A109" s="3" t="s">
        <v>431</v>
      </c>
      <c r="B109" s="3" t="s">
        <v>432</v>
      </c>
      <c r="C109" s="3">
        <v>3</v>
      </c>
      <c r="D109" s="3" t="s">
        <v>32</v>
      </c>
      <c r="E109" s="3" t="s">
        <v>24</v>
      </c>
      <c r="F109" s="3" t="s">
        <v>25</v>
      </c>
      <c r="G109" s="3" t="s">
        <v>99</v>
      </c>
      <c r="H109" s="3" t="s">
        <v>433</v>
      </c>
      <c r="I109" s="3" t="s">
        <v>434</v>
      </c>
      <c r="J109" s="3">
        <v>25000</v>
      </c>
      <c r="K109" s="3" t="s">
        <v>350</v>
      </c>
      <c r="L109" s="3" t="s">
        <v>21</v>
      </c>
    </row>
    <row r="110" spans="1:12" ht="16.2" customHeight="1">
      <c r="A110" s="2" t="s">
        <v>435</v>
      </c>
      <c r="B110" s="2" t="s">
        <v>436</v>
      </c>
      <c r="C110" s="2">
        <v>7</v>
      </c>
      <c r="D110" s="2" t="s">
        <v>32</v>
      </c>
      <c r="E110" s="2" t="s">
        <v>15</v>
      </c>
      <c r="F110" s="2" t="s">
        <v>76</v>
      </c>
      <c r="G110" s="2" t="s">
        <v>17</v>
      </c>
      <c r="H110" s="2" t="s">
        <v>437</v>
      </c>
      <c r="I110" s="2" t="s">
        <v>438</v>
      </c>
      <c r="J110" s="2">
        <v>25000</v>
      </c>
      <c r="K110" s="2" t="s">
        <v>20</v>
      </c>
      <c r="L110" s="2" t="s">
        <v>87</v>
      </c>
    </row>
    <row r="111" spans="1:12" ht="16.2" customHeight="1">
      <c r="A111" s="3" t="s">
        <v>439</v>
      </c>
      <c r="B111" s="3" t="s">
        <v>440</v>
      </c>
      <c r="C111" s="3">
        <v>85</v>
      </c>
      <c r="D111" s="3" t="s">
        <v>32</v>
      </c>
      <c r="E111" s="3" t="s">
        <v>441</v>
      </c>
      <c r="F111" s="3" t="s">
        <v>132</v>
      </c>
      <c r="G111" s="3" t="s">
        <v>48</v>
      </c>
      <c r="H111" s="3" t="s">
        <v>289</v>
      </c>
      <c r="I111" s="3" t="s">
        <v>265</v>
      </c>
      <c r="J111" s="3">
        <v>15000</v>
      </c>
      <c r="K111" s="3"/>
      <c r="L111" s="3" t="s">
        <v>87</v>
      </c>
    </row>
    <row r="112" spans="1:12" ht="16.2" customHeight="1">
      <c r="A112" s="2" t="s">
        <v>442</v>
      </c>
      <c r="B112" s="2" t="s">
        <v>103</v>
      </c>
      <c r="C112" s="2">
        <v>79</v>
      </c>
      <c r="D112" s="2" t="s">
        <v>32</v>
      </c>
      <c r="E112" s="2" t="s">
        <v>443</v>
      </c>
      <c r="F112" s="2" t="s">
        <v>42</v>
      </c>
      <c r="G112" s="2" t="s">
        <v>99</v>
      </c>
      <c r="H112" s="2" t="s">
        <v>444</v>
      </c>
      <c r="I112" s="2" t="s">
        <v>445</v>
      </c>
      <c r="J112" s="2">
        <v>15000</v>
      </c>
      <c r="K112" s="2" t="s">
        <v>20</v>
      </c>
      <c r="L112" s="2" t="s">
        <v>38</v>
      </c>
    </row>
    <row r="113" spans="1:12" ht="16.2" customHeight="1">
      <c r="A113" s="3" t="s">
        <v>446</v>
      </c>
      <c r="B113" s="3" t="s">
        <v>392</v>
      </c>
      <c r="C113" s="3">
        <v>16</v>
      </c>
      <c r="D113" s="3" t="s">
        <v>14</v>
      </c>
      <c r="E113" s="3" t="s">
        <v>15</v>
      </c>
      <c r="F113" s="3" t="s">
        <v>16</v>
      </c>
      <c r="G113" s="3" t="s">
        <v>17</v>
      </c>
      <c r="H113" s="3" t="s">
        <v>447</v>
      </c>
      <c r="I113" s="3" t="s">
        <v>448</v>
      </c>
      <c r="J113" s="3">
        <v>8000</v>
      </c>
      <c r="K113" s="3" t="s">
        <v>67</v>
      </c>
      <c r="L113" s="3" t="s">
        <v>38</v>
      </c>
    </row>
    <row r="114" spans="1:12" ht="16.2" customHeight="1">
      <c r="A114" s="2" t="s">
        <v>449</v>
      </c>
      <c r="B114" s="2" t="s">
        <v>69</v>
      </c>
      <c r="C114" s="2">
        <v>27</v>
      </c>
      <c r="D114" s="2" t="s">
        <v>14</v>
      </c>
      <c r="E114" s="2" t="s">
        <v>52</v>
      </c>
      <c r="F114" s="2" t="s">
        <v>450</v>
      </c>
      <c r="G114" s="2" t="s">
        <v>53</v>
      </c>
      <c r="H114" s="2" t="s">
        <v>95</v>
      </c>
      <c r="I114" s="2" t="s">
        <v>451</v>
      </c>
      <c r="J114" s="2">
        <v>20000</v>
      </c>
      <c r="K114" s="2" t="s">
        <v>67</v>
      </c>
      <c r="L114" s="2" t="s">
        <v>21</v>
      </c>
    </row>
    <row r="115" spans="1:12" ht="16.2" customHeight="1">
      <c r="A115" s="3" t="s">
        <v>452</v>
      </c>
      <c r="B115" s="3" t="s">
        <v>150</v>
      </c>
      <c r="C115" s="3">
        <v>60</v>
      </c>
      <c r="D115" s="3" t="s">
        <v>32</v>
      </c>
      <c r="E115" s="3" t="s">
        <v>70</v>
      </c>
      <c r="F115" s="3" t="s">
        <v>76</v>
      </c>
      <c r="G115" s="3" t="s">
        <v>99</v>
      </c>
      <c r="H115" s="3" t="s">
        <v>453</v>
      </c>
      <c r="I115" s="3" t="s">
        <v>454</v>
      </c>
      <c r="J115" s="3">
        <v>75000</v>
      </c>
      <c r="K115" s="3" t="s">
        <v>20</v>
      </c>
      <c r="L115" s="3" t="s">
        <v>55</v>
      </c>
    </row>
    <row r="116" spans="1:12" ht="16.2" customHeight="1">
      <c r="A116" s="2" t="s">
        <v>455</v>
      </c>
      <c r="B116" s="2" t="s">
        <v>432</v>
      </c>
      <c r="C116" s="2">
        <v>22</v>
      </c>
      <c r="D116" s="2" t="s">
        <v>14</v>
      </c>
      <c r="E116" s="2" t="s">
        <v>70</v>
      </c>
      <c r="F116" s="2" t="s">
        <v>127</v>
      </c>
      <c r="G116" s="2" t="s">
        <v>17</v>
      </c>
      <c r="H116" s="2" t="s">
        <v>456</v>
      </c>
      <c r="I116" s="2" t="s">
        <v>457</v>
      </c>
      <c r="J116" s="2">
        <v>35000</v>
      </c>
      <c r="K116" s="2" t="s">
        <v>67</v>
      </c>
      <c r="L116" s="2" t="s">
        <v>38</v>
      </c>
    </row>
    <row r="117" spans="1:12" ht="16.2" customHeight="1">
      <c r="A117" s="3" t="s">
        <v>458</v>
      </c>
      <c r="B117" s="3" t="s">
        <v>459</v>
      </c>
      <c r="C117" s="3">
        <v>24</v>
      </c>
      <c r="D117" s="3" t="s">
        <v>338</v>
      </c>
      <c r="E117" s="3" t="s">
        <v>109</v>
      </c>
      <c r="F117" s="3" t="s">
        <v>132</v>
      </c>
      <c r="G117" s="3" t="s">
        <v>104</v>
      </c>
      <c r="H117" s="3" t="s">
        <v>378</v>
      </c>
      <c r="I117" s="3" t="s">
        <v>460</v>
      </c>
      <c r="J117" s="3">
        <v>75000</v>
      </c>
      <c r="K117" s="3" t="s">
        <v>67</v>
      </c>
      <c r="L117" s="3" t="s">
        <v>87</v>
      </c>
    </row>
    <row r="118" spans="1:12" ht="16.2" customHeight="1">
      <c r="A118" s="2" t="s">
        <v>461</v>
      </c>
      <c r="B118" s="2" t="s">
        <v>462</v>
      </c>
      <c r="C118" s="2">
        <v>81</v>
      </c>
      <c r="D118" s="2" t="s">
        <v>32</v>
      </c>
      <c r="E118" s="2" t="s">
        <v>58</v>
      </c>
      <c r="F118" s="2" t="s">
        <v>127</v>
      </c>
      <c r="G118" s="2" t="s">
        <v>99</v>
      </c>
      <c r="H118" s="2" t="s">
        <v>463</v>
      </c>
      <c r="I118" s="2" t="s">
        <v>464</v>
      </c>
      <c r="J118" s="2">
        <v>25000</v>
      </c>
      <c r="K118" s="2" t="s">
        <v>67</v>
      </c>
      <c r="L118" s="2" t="s">
        <v>55</v>
      </c>
    </row>
    <row r="119" spans="1:12" ht="16.2" customHeight="1">
      <c r="A119" s="3" t="s">
        <v>465</v>
      </c>
      <c r="B119" s="3" t="s">
        <v>428</v>
      </c>
      <c r="C119" s="3">
        <v>36</v>
      </c>
      <c r="D119" s="3" t="s">
        <v>14</v>
      </c>
      <c r="E119" s="3" t="s">
        <v>466</v>
      </c>
      <c r="F119" s="3" t="s">
        <v>127</v>
      </c>
      <c r="G119" s="3" t="s">
        <v>35</v>
      </c>
      <c r="H119" s="3" t="s">
        <v>467</v>
      </c>
      <c r="I119" s="3" t="s">
        <v>302</v>
      </c>
      <c r="J119" s="3">
        <v>50000</v>
      </c>
      <c r="K119" s="3" t="s">
        <v>29</v>
      </c>
      <c r="L119" s="3" t="s">
        <v>21</v>
      </c>
    </row>
    <row r="120" spans="1:12" ht="16.2" customHeight="1">
      <c r="A120" s="2" t="s">
        <v>465</v>
      </c>
      <c r="B120" s="2" t="s">
        <v>428</v>
      </c>
      <c r="C120" s="2">
        <v>36</v>
      </c>
      <c r="D120" s="2" t="s">
        <v>14</v>
      </c>
      <c r="E120" s="2" t="s">
        <v>109</v>
      </c>
      <c r="F120" s="2" t="s">
        <v>127</v>
      </c>
      <c r="G120" s="2" t="s">
        <v>35</v>
      </c>
      <c r="H120" s="2" t="s">
        <v>467</v>
      </c>
      <c r="I120" s="2" t="s">
        <v>302</v>
      </c>
      <c r="J120" s="2">
        <v>50000</v>
      </c>
      <c r="K120" s="2" t="s">
        <v>29</v>
      </c>
      <c r="L120" s="2" t="s">
        <v>21</v>
      </c>
    </row>
    <row r="121" spans="1:12" ht="16.2" customHeight="1">
      <c r="A121" s="3" t="s">
        <v>468</v>
      </c>
      <c r="B121" s="3" t="s">
        <v>469</v>
      </c>
      <c r="C121" s="3">
        <v>59</v>
      </c>
      <c r="D121" s="3" t="s">
        <v>14</v>
      </c>
      <c r="E121" s="3" t="s">
        <v>15</v>
      </c>
      <c r="F121" s="3" t="s">
        <v>127</v>
      </c>
      <c r="G121" s="3" t="s">
        <v>26</v>
      </c>
      <c r="H121" s="3" t="s">
        <v>470</v>
      </c>
      <c r="I121" s="3" t="s">
        <v>471</v>
      </c>
      <c r="J121" s="3">
        <v>-5000</v>
      </c>
      <c r="K121" s="3" t="s">
        <v>67</v>
      </c>
      <c r="L121" s="3" t="s">
        <v>38</v>
      </c>
    </row>
    <row r="122" spans="1:12" ht="16.2" customHeight="1">
      <c r="A122" s="2" t="s">
        <v>472</v>
      </c>
      <c r="B122" s="2" t="s">
        <v>473</v>
      </c>
      <c r="C122" s="2">
        <v>2</v>
      </c>
      <c r="D122" s="2"/>
      <c r="E122" s="2" t="s">
        <v>70</v>
      </c>
      <c r="F122" s="2" t="s">
        <v>188</v>
      </c>
      <c r="G122" s="2" t="s">
        <v>35</v>
      </c>
      <c r="H122" s="2" t="s">
        <v>313</v>
      </c>
      <c r="I122" s="2" t="s">
        <v>405</v>
      </c>
      <c r="J122" s="2">
        <v>75000</v>
      </c>
      <c r="K122" s="2" t="s">
        <v>191</v>
      </c>
      <c r="L122" s="2" t="s">
        <v>55</v>
      </c>
    </row>
    <row r="123" spans="1:12" ht="16.2" customHeight="1">
      <c r="A123" s="3" t="s">
        <v>474</v>
      </c>
      <c r="B123" s="3" t="s">
        <v>475</v>
      </c>
      <c r="C123" s="3">
        <v>74</v>
      </c>
      <c r="D123" s="3" t="s">
        <v>14</v>
      </c>
      <c r="E123" s="3" t="s">
        <v>117</v>
      </c>
      <c r="F123" s="3" t="s">
        <v>42</v>
      </c>
      <c r="G123" s="3" t="s">
        <v>17</v>
      </c>
      <c r="H123" s="3" t="s">
        <v>114</v>
      </c>
      <c r="I123" s="3" t="s">
        <v>249</v>
      </c>
      <c r="J123" s="3">
        <v>5000</v>
      </c>
      <c r="K123" s="3" t="s">
        <v>191</v>
      </c>
      <c r="L123" s="3" t="s">
        <v>21</v>
      </c>
    </row>
    <row r="124" spans="1:12" ht="16.2" customHeight="1">
      <c r="A124" s="2" t="s">
        <v>476</v>
      </c>
      <c r="B124" s="2" t="s">
        <v>477</v>
      </c>
      <c r="C124" s="2"/>
      <c r="D124" s="2" t="s">
        <v>32</v>
      </c>
      <c r="E124" s="2" t="s">
        <v>52</v>
      </c>
      <c r="F124" s="2" t="s">
        <v>127</v>
      </c>
      <c r="G124" s="2" t="s">
        <v>53</v>
      </c>
      <c r="H124" s="2" t="s">
        <v>478</v>
      </c>
      <c r="I124" s="2" t="s">
        <v>479</v>
      </c>
      <c r="J124" s="2">
        <v>75000</v>
      </c>
      <c r="K124" s="2" t="s">
        <v>37</v>
      </c>
      <c r="L124" s="2" t="s">
        <v>38</v>
      </c>
    </row>
    <row r="125" spans="1:12" ht="16.2" customHeight="1">
      <c r="A125" s="3" t="s">
        <v>480</v>
      </c>
      <c r="B125" s="3" t="s">
        <v>481</v>
      </c>
      <c r="C125" s="3">
        <v>59</v>
      </c>
      <c r="D125" s="3" t="s">
        <v>32</v>
      </c>
      <c r="E125" s="3" t="s">
        <v>15</v>
      </c>
      <c r="F125" s="3" t="s">
        <v>42</v>
      </c>
      <c r="G125" s="3" t="s">
        <v>26</v>
      </c>
      <c r="H125" s="3" t="s">
        <v>467</v>
      </c>
      <c r="I125" s="3" t="s">
        <v>284</v>
      </c>
      <c r="J125" s="3">
        <v>5000</v>
      </c>
      <c r="K125" s="3" t="s">
        <v>20</v>
      </c>
      <c r="L125" s="3" t="s">
        <v>55</v>
      </c>
    </row>
    <row r="126" spans="1:12" ht="16.2" customHeight="1">
      <c r="A126" s="2" t="s">
        <v>482</v>
      </c>
      <c r="B126" s="2" t="s">
        <v>103</v>
      </c>
      <c r="C126" s="2">
        <v>37</v>
      </c>
      <c r="D126" s="2" t="s">
        <v>14</v>
      </c>
      <c r="E126" s="2" t="s">
        <v>70</v>
      </c>
      <c r="F126" s="2" t="s">
        <v>16</v>
      </c>
      <c r="G126" s="2" t="s">
        <v>35</v>
      </c>
      <c r="H126" s="2" t="s">
        <v>226</v>
      </c>
      <c r="I126" s="2" t="s">
        <v>483</v>
      </c>
      <c r="J126" s="2">
        <v>5000</v>
      </c>
      <c r="K126" s="2" t="s">
        <v>67</v>
      </c>
      <c r="L126" s="2" t="s">
        <v>55</v>
      </c>
    </row>
    <row r="127" spans="1:12" ht="16.2" customHeight="1">
      <c r="A127" s="3" t="s">
        <v>482</v>
      </c>
      <c r="B127" s="3" t="s">
        <v>103</v>
      </c>
      <c r="C127" s="3">
        <v>37</v>
      </c>
      <c r="D127" s="3" t="s">
        <v>14</v>
      </c>
      <c r="E127" s="3" t="s">
        <v>70</v>
      </c>
      <c r="F127" s="3" t="s">
        <v>16</v>
      </c>
      <c r="G127" s="3" t="s">
        <v>35</v>
      </c>
      <c r="H127" s="3" t="s">
        <v>226</v>
      </c>
      <c r="I127" s="3" t="s">
        <v>483</v>
      </c>
      <c r="J127" s="3">
        <v>5000</v>
      </c>
      <c r="K127" s="3" t="s">
        <v>96</v>
      </c>
      <c r="L127" s="3" t="s">
        <v>55</v>
      </c>
    </row>
    <row r="128" spans="1:12" ht="16.2" customHeight="1">
      <c r="A128" s="2" t="s">
        <v>484</v>
      </c>
      <c r="B128" s="2" t="s">
        <v>485</v>
      </c>
      <c r="C128" s="2">
        <v>33</v>
      </c>
      <c r="D128" s="2" t="s">
        <v>486</v>
      </c>
      <c r="E128" s="2" t="s">
        <v>15</v>
      </c>
      <c r="F128" s="2" t="s">
        <v>16</v>
      </c>
      <c r="G128" s="2" t="s">
        <v>35</v>
      </c>
      <c r="H128" s="2" t="s">
        <v>18</v>
      </c>
      <c r="I128" s="2" t="s">
        <v>370</v>
      </c>
      <c r="J128" s="2">
        <v>35000</v>
      </c>
      <c r="K128" s="2" t="s">
        <v>29</v>
      </c>
      <c r="L128" s="2" t="s">
        <v>21</v>
      </c>
    </row>
    <row r="129" spans="1:12" ht="16.2" customHeight="1">
      <c r="A129" s="3" t="s">
        <v>487</v>
      </c>
      <c r="B129" s="3" t="s">
        <v>488</v>
      </c>
      <c r="C129" s="3">
        <v>19</v>
      </c>
      <c r="D129" s="3" t="s">
        <v>14</v>
      </c>
      <c r="E129" s="3" t="s">
        <v>109</v>
      </c>
      <c r="F129" s="3" t="s">
        <v>489</v>
      </c>
      <c r="G129" s="3" t="s">
        <v>26</v>
      </c>
      <c r="H129" s="3" t="s">
        <v>374</v>
      </c>
      <c r="I129" s="3" t="s">
        <v>105</v>
      </c>
      <c r="J129" s="3">
        <v>8000</v>
      </c>
      <c r="K129" s="3" t="s">
        <v>67</v>
      </c>
      <c r="L129" s="3" t="s">
        <v>21</v>
      </c>
    </row>
    <row r="130" spans="1:12" ht="16.2" customHeight="1">
      <c r="A130" s="2" t="s">
        <v>490</v>
      </c>
      <c r="B130" s="2" t="s">
        <v>491</v>
      </c>
      <c r="C130" s="2">
        <v>65</v>
      </c>
      <c r="D130" s="2" t="s">
        <v>14</v>
      </c>
      <c r="E130" s="2" t="s">
        <v>381</v>
      </c>
      <c r="F130" s="2" t="s">
        <v>76</v>
      </c>
      <c r="G130" s="2" t="s">
        <v>17</v>
      </c>
      <c r="H130" s="2" t="s">
        <v>437</v>
      </c>
      <c r="I130" s="2" t="s">
        <v>492</v>
      </c>
      <c r="J130" s="2">
        <v>50000</v>
      </c>
      <c r="K130" s="2" t="s">
        <v>350</v>
      </c>
      <c r="L130" s="2" t="s">
        <v>87</v>
      </c>
    </row>
    <row r="131" spans="1:12" ht="16.2" customHeight="1">
      <c r="A131" s="3" t="s">
        <v>493</v>
      </c>
      <c r="B131" s="3" t="s">
        <v>494</v>
      </c>
      <c r="C131" s="3">
        <v>76</v>
      </c>
      <c r="D131" s="3" t="s">
        <v>32</v>
      </c>
      <c r="E131" s="3" t="s">
        <v>52</v>
      </c>
      <c r="F131" s="3" t="s">
        <v>16</v>
      </c>
      <c r="G131" s="3" t="s">
        <v>53</v>
      </c>
      <c r="H131" s="3" t="s">
        <v>426</v>
      </c>
      <c r="I131" s="3" t="s">
        <v>495</v>
      </c>
      <c r="J131" s="3">
        <v>15000</v>
      </c>
      <c r="K131" s="3"/>
      <c r="L131" s="3" t="s">
        <v>21</v>
      </c>
    </row>
    <row r="132" spans="1:12" ht="16.2" customHeight="1">
      <c r="A132" s="2" t="s">
        <v>496</v>
      </c>
      <c r="B132" s="2" t="s">
        <v>497</v>
      </c>
      <c r="C132" s="2">
        <v>33</v>
      </c>
      <c r="D132" s="2" t="s">
        <v>32</v>
      </c>
      <c r="E132" s="2" t="s">
        <v>52</v>
      </c>
      <c r="F132" s="2" t="s">
        <v>489</v>
      </c>
      <c r="G132" s="2" t="s">
        <v>26</v>
      </c>
      <c r="H132" s="2" t="s">
        <v>498</v>
      </c>
      <c r="I132" s="2" t="s">
        <v>499</v>
      </c>
      <c r="J132" s="2">
        <v>75000</v>
      </c>
      <c r="K132" s="2" t="s">
        <v>20</v>
      </c>
      <c r="L132" s="2" t="s">
        <v>55</v>
      </c>
    </row>
    <row r="133" spans="1:12" ht="16.2" customHeight="1">
      <c r="A133" s="3" t="s">
        <v>500</v>
      </c>
      <c r="B133" s="3" t="s">
        <v>501</v>
      </c>
      <c r="C133" s="3">
        <v>87</v>
      </c>
      <c r="D133" s="3" t="s">
        <v>14</v>
      </c>
      <c r="E133" s="3" t="s">
        <v>85</v>
      </c>
      <c r="F133" s="3" t="s">
        <v>34</v>
      </c>
      <c r="G133" s="3" t="s">
        <v>53</v>
      </c>
      <c r="H133" s="3" t="s">
        <v>492</v>
      </c>
      <c r="I133" s="3" t="s">
        <v>313</v>
      </c>
      <c r="J133" s="3">
        <v>15000</v>
      </c>
      <c r="K133" s="3" t="s">
        <v>20</v>
      </c>
      <c r="L133" s="3" t="s">
        <v>21</v>
      </c>
    </row>
    <row r="134" spans="1:12" ht="16.2" customHeight="1">
      <c r="A134" s="2" t="s">
        <v>502</v>
      </c>
      <c r="B134" s="2" t="s">
        <v>503</v>
      </c>
      <c r="C134" s="2">
        <v>62</v>
      </c>
      <c r="D134" s="2"/>
      <c r="E134" s="2" t="s">
        <v>15</v>
      </c>
      <c r="F134" s="2" t="s">
        <v>16</v>
      </c>
      <c r="G134" s="2" t="s">
        <v>104</v>
      </c>
      <c r="H134" s="2" t="s">
        <v>504</v>
      </c>
      <c r="I134" s="2" t="s">
        <v>255</v>
      </c>
      <c r="J134" s="2">
        <v>35000</v>
      </c>
      <c r="K134" s="2" t="s">
        <v>29</v>
      </c>
      <c r="L134" s="2" t="s">
        <v>55</v>
      </c>
    </row>
    <row r="135" spans="1:12" ht="16.2" customHeight="1">
      <c r="A135" s="3" t="s">
        <v>505</v>
      </c>
      <c r="B135" s="3" t="s">
        <v>355</v>
      </c>
      <c r="C135" s="3">
        <v>41</v>
      </c>
      <c r="D135" s="3" t="s">
        <v>506</v>
      </c>
      <c r="E135" s="3" t="s">
        <v>52</v>
      </c>
      <c r="F135" s="3" t="s">
        <v>25</v>
      </c>
      <c r="G135" s="3" t="s">
        <v>48</v>
      </c>
      <c r="H135" s="3" t="s">
        <v>507</v>
      </c>
      <c r="I135" s="3" t="s">
        <v>219</v>
      </c>
      <c r="J135" s="3">
        <v>8000</v>
      </c>
      <c r="K135" s="3" t="s">
        <v>37</v>
      </c>
      <c r="L135" s="3" t="s">
        <v>38</v>
      </c>
    </row>
    <row r="136" spans="1:12" ht="16.2" customHeight="1">
      <c r="A136" s="2" t="s">
        <v>508</v>
      </c>
      <c r="B136" s="2" t="s">
        <v>509</v>
      </c>
      <c r="C136" s="2">
        <v>53</v>
      </c>
      <c r="D136" s="2" t="s">
        <v>32</v>
      </c>
      <c r="E136" s="2" t="s">
        <v>510</v>
      </c>
      <c r="F136" s="2" t="s">
        <v>34</v>
      </c>
      <c r="G136" s="2" t="s">
        <v>17</v>
      </c>
      <c r="H136" s="2" t="s">
        <v>511</v>
      </c>
      <c r="I136" s="2" t="s">
        <v>512</v>
      </c>
      <c r="J136" s="2">
        <v>25000</v>
      </c>
      <c r="K136" s="2" t="s">
        <v>67</v>
      </c>
      <c r="L136" s="2" t="s">
        <v>55</v>
      </c>
    </row>
    <row r="137" spans="1:12" ht="16.2" customHeight="1">
      <c r="A137" s="3" t="s">
        <v>513</v>
      </c>
      <c r="B137" s="3" t="s">
        <v>514</v>
      </c>
      <c r="C137" s="3">
        <v>16</v>
      </c>
      <c r="D137" s="3" t="s">
        <v>14</v>
      </c>
      <c r="E137" s="3" t="s">
        <v>85</v>
      </c>
      <c r="F137" s="3" t="s">
        <v>42</v>
      </c>
      <c r="G137" s="3" t="s">
        <v>53</v>
      </c>
      <c r="H137" s="3" t="s">
        <v>218</v>
      </c>
      <c r="I137" s="3" t="s">
        <v>236</v>
      </c>
      <c r="J137" s="3">
        <v>35000</v>
      </c>
      <c r="K137" s="3" t="s">
        <v>29</v>
      </c>
      <c r="L137" s="3" t="s">
        <v>38</v>
      </c>
    </row>
    <row r="138" spans="1:12" ht="16.2" customHeight="1">
      <c r="A138" s="2" t="s">
        <v>515</v>
      </c>
      <c r="B138" s="2" t="s">
        <v>516</v>
      </c>
      <c r="C138" s="2">
        <v>66</v>
      </c>
      <c r="D138" s="2" t="s">
        <v>14</v>
      </c>
      <c r="E138" s="2" t="s">
        <v>109</v>
      </c>
      <c r="F138" s="2" t="s">
        <v>34</v>
      </c>
      <c r="G138" s="2" t="s">
        <v>26</v>
      </c>
      <c r="H138" s="2" t="s">
        <v>124</v>
      </c>
      <c r="I138" s="2" t="s">
        <v>405</v>
      </c>
      <c r="J138" s="2">
        <v>20000</v>
      </c>
      <c r="K138" s="2" t="s">
        <v>37</v>
      </c>
      <c r="L138" s="2" t="s">
        <v>38</v>
      </c>
    </row>
    <row r="139" spans="1:12" ht="16.2" customHeight="1">
      <c r="A139" s="3" t="s">
        <v>517</v>
      </c>
      <c r="B139" s="3" t="s">
        <v>518</v>
      </c>
      <c r="C139" s="3" t="s">
        <v>519</v>
      </c>
      <c r="D139" s="3" t="s">
        <v>14</v>
      </c>
      <c r="E139" s="3" t="s">
        <v>15</v>
      </c>
      <c r="F139" s="3" t="s">
        <v>25</v>
      </c>
      <c r="G139" s="3" t="s">
        <v>26</v>
      </c>
      <c r="H139" s="3" t="s">
        <v>166</v>
      </c>
      <c r="I139" s="3" t="s">
        <v>520</v>
      </c>
      <c r="J139" s="3">
        <v>5000</v>
      </c>
      <c r="K139" s="3" t="s">
        <v>29</v>
      </c>
      <c r="L139" s="3" t="s">
        <v>87</v>
      </c>
    </row>
    <row r="140" spans="1:12" ht="16.2" customHeight="1">
      <c r="A140" s="2" t="s">
        <v>521</v>
      </c>
      <c r="B140" s="2" t="s">
        <v>522</v>
      </c>
      <c r="C140" s="2">
        <v>73</v>
      </c>
      <c r="D140" s="2" t="s">
        <v>32</v>
      </c>
      <c r="E140" s="2" t="s">
        <v>33</v>
      </c>
      <c r="F140" s="2" t="s">
        <v>16</v>
      </c>
      <c r="G140" s="2" t="s">
        <v>35</v>
      </c>
      <c r="H140" s="2" t="s">
        <v>18</v>
      </c>
      <c r="I140" s="2" t="s">
        <v>36</v>
      </c>
      <c r="J140" s="2">
        <v>75000</v>
      </c>
      <c r="K140" s="2" t="s">
        <v>29</v>
      </c>
      <c r="L140" s="2" t="s">
        <v>55</v>
      </c>
    </row>
    <row r="141" spans="1:12" ht="16.2" customHeight="1">
      <c r="A141" s="3" t="s">
        <v>523</v>
      </c>
      <c r="B141" s="3" t="s">
        <v>392</v>
      </c>
      <c r="C141" s="3">
        <v>43</v>
      </c>
      <c r="D141" s="3" t="s">
        <v>14</v>
      </c>
      <c r="E141" s="3" t="s">
        <v>85</v>
      </c>
      <c r="F141" s="3" t="s">
        <v>127</v>
      </c>
      <c r="G141" s="3" t="s">
        <v>104</v>
      </c>
      <c r="H141" s="3" t="s">
        <v>524</v>
      </c>
      <c r="I141" s="3" t="s">
        <v>394</v>
      </c>
      <c r="J141" s="3">
        <v>100000</v>
      </c>
      <c r="K141" s="3" t="s">
        <v>29</v>
      </c>
      <c r="L141" s="3" t="s">
        <v>38</v>
      </c>
    </row>
    <row r="142" spans="1:12" ht="16.2" customHeight="1">
      <c r="A142" s="2" t="s">
        <v>525</v>
      </c>
      <c r="B142" s="2" t="s">
        <v>526</v>
      </c>
      <c r="C142" s="2">
        <v>20</v>
      </c>
      <c r="D142" s="2" t="s">
        <v>506</v>
      </c>
      <c r="E142" s="2" t="s">
        <v>15</v>
      </c>
      <c r="F142" s="2" t="s">
        <v>25</v>
      </c>
      <c r="G142" s="2" t="s">
        <v>17</v>
      </c>
      <c r="H142" s="2" t="s">
        <v>185</v>
      </c>
      <c r="I142" s="2" t="s">
        <v>159</v>
      </c>
      <c r="J142" s="2">
        <v>12000</v>
      </c>
      <c r="K142" s="2" t="s">
        <v>29</v>
      </c>
      <c r="L142" s="2" t="s">
        <v>38</v>
      </c>
    </row>
    <row r="143" spans="1:12" ht="16.2" customHeight="1">
      <c r="A143" s="3" t="s">
        <v>527</v>
      </c>
      <c r="B143" s="3" t="s">
        <v>469</v>
      </c>
      <c r="C143" s="3">
        <v>45</v>
      </c>
      <c r="D143" s="3" t="s">
        <v>32</v>
      </c>
      <c r="E143" s="3" t="s">
        <v>70</v>
      </c>
      <c r="F143" s="3" t="s">
        <v>222</v>
      </c>
      <c r="G143" s="3" t="s">
        <v>53</v>
      </c>
      <c r="H143" s="3" t="s">
        <v>28</v>
      </c>
      <c r="I143" s="3" t="s">
        <v>448</v>
      </c>
      <c r="J143" s="3">
        <v>20000</v>
      </c>
      <c r="K143" s="3" t="s">
        <v>20</v>
      </c>
      <c r="L143" s="3" t="s">
        <v>21</v>
      </c>
    </row>
    <row r="144" spans="1:12" ht="16.2" customHeight="1">
      <c r="A144" s="2" t="s">
        <v>528</v>
      </c>
      <c r="B144" s="2" t="s">
        <v>529</v>
      </c>
      <c r="C144" s="2" t="s">
        <v>530</v>
      </c>
      <c r="D144" s="2" t="s">
        <v>32</v>
      </c>
      <c r="E144" s="2" t="s">
        <v>15</v>
      </c>
      <c r="F144" s="2" t="s">
        <v>34</v>
      </c>
      <c r="G144" s="2" t="s">
        <v>99</v>
      </c>
      <c r="H144" s="2" t="s">
        <v>90</v>
      </c>
      <c r="I144" s="2" t="s">
        <v>302</v>
      </c>
      <c r="J144" s="2">
        <v>5000</v>
      </c>
      <c r="K144" s="2" t="s">
        <v>20</v>
      </c>
      <c r="L144" s="2" t="s">
        <v>55</v>
      </c>
    </row>
    <row r="145" spans="1:12" ht="16.2" customHeight="1">
      <c r="A145" s="3" t="s">
        <v>531</v>
      </c>
      <c r="B145" s="3" t="s">
        <v>532</v>
      </c>
      <c r="C145" s="3">
        <v>2</v>
      </c>
      <c r="D145" s="3" t="s">
        <v>32</v>
      </c>
      <c r="E145" s="3" t="s">
        <v>109</v>
      </c>
      <c r="F145" s="3" t="s">
        <v>422</v>
      </c>
      <c r="G145" s="3" t="s">
        <v>99</v>
      </c>
      <c r="H145" s="3" t="s">
        <v>134</v>
      </c>
      <c r="I145" s="3" t="s">
        <v>447</v>
      </c>
      <c r="J145" s="3">
        <v>25000</v>
      </c>
      <c r="K145" s="3" t="s">
        <v>29</v>
      </c>
      <c r="L145" s="3" t="s">
        <v>38</v>
      </c>
    </row>
    <row r="146" spans="1:12" ht="16.2" customHeight="1">
      <c r="A146" s="2" t="s">
        <v>533</v>
      </c>
      <c r="B146" s="2" t="s">
        <v>534</v>
      </c>
      <c r="C146" s="2">
        <v>22</v>
      </c>
      <c r="D146" s="2"/>
      <c r="E146" s="2" t="s">
        <v>70</v>
      </c>
      <c r="F146" s="2" t="s">
        <v>132</v>
      </c>
      <c r="G146" s="2" t="s">
        <v>99</v>
      </c>
      <c r="H146" s="2" t="s">
        <v>535</v>
      </c>
      <c r="I146" s="2" t="s">
        <v>163</v>
      </c>
      <c r="J146" s="2">
        <v>25000</v>
      </c>
      <c r="K146" s="2" t="s">
        <v>37</v>
      </c>
      <c r="L146" s="2" t="s">
        <v>38</v>
      </c>
    </row>
    <row r="147" spans="1:12" ht="16.2" customHeight="1">
      <c r="A147" s="3" t="s">
        <v>536</v>
      </c>
      <c r="B147" s="3" t="s">
        <v>537</v>
      </c>
      <c r="C147" s="3">
        <v>33</v>
      </c>
      <c r="D147" s="3" t="s">
        <v>14</v>
      </c>
      <c r="E147" s="3" t="s">
        <v>52</v>
      </c>
      <c r="F147" s="3" t="s">
        <v>132</v>
      </c>
      <c r="G147" s="3" t="s">
        <v>17</v>
      </c>
      <c r="H147" s="3" t="s">
        <v>538</v>
      </c>
      <c r="I147" s="3" t="s">
        <v>163</v>
      </c>
      <c r="J147" s="3">
        <v>8000</v>
      </c>
      <c r="K147" s="3" t="s">
        <v>20</v>
      </c>
      <c r="L147" s="3" t="s">
        <v>21</v>
      </c>
    </row>
    <row r="148" spans="1:12" ht="16.2" customHeight="1">
      <c r="A148" s="2" t="s">
        <v>539</v>
      </c>
      <c r="B148" s="2" t="s">
        <v>540</v>
      </c>
      <c r="C148" s="2">
        <v>39</v>
      </c>
      <c r="D148" s="2" t="s">
        <v>14</v>
      </c>
      <c r="E148" s="2" t="s">
        <v>541</v>
      </c>
      <c r="F148" s="2" t="s">
        <v>422</v>
      </c>
      <c r="G148" s="2" t="s">
        <v>17</v>
      </c>
      <c r="H148" s="2" t="s">
        <v>114</v>
      </c>
      <c r="I148" s="2" t="s">
        <v>542</v>
      </c>
      <c r="J148" s="2">
        <v>999999999</v>
      </c>
      <c r="K148" s="2" t="s">
        <v>67</v>
      </c>
      <c r="L148" s="2" t="s">
        <v>38</v>
      </c>
    </row>
    <row r="149" spans="1:12" ht="16.2" customHeight="1">
      <c r="A149" s="3" t="s">
        <v>543</v>
      </c>
      <c r="B149" s="3" t="s">
        <v>544</v>
      </c>
      <c r="C149" s="3">
        <v>34</v>
      </c>
      <c r="D149" s="3" t="s">
        <v>32</v>
      </c>
      <c r="E149" s="3" t="s">
        <v>33</v>
      </c>
      <c r="F149" s="3" t="s">
        <v>16</v>
      </c>
      <c r="G149" s="3" t="s">
        <v>99</v>
      </c>
      <c r="H149" s="3" t="s">
        <v>545</v>
      </c>
      <c r="I149" s="3" t="s">
        <v>313</v>
      </c>
      <c r="J149" s="3">
        <v>12000</v>
      </c>
      <c r="K149" s="3" t="s">
        <v>67</v>
      </c>
      <c r="L149" s="3" t="s">
        <v>87</v>
      </c>
    </row>
    <row r="150" spans="1:12" ht="16.2" customHeight="1">
      <c r="A150" s="2" t="s">
        <v>546</v>
      </c>
      <c r="B150" s="2" t="s">
        <v>547</v>
      </c>
      <c r="C150" s="2">
        <v>81</v>
      </c>
      <c r="D150" s="2" t="s">
        <v>486</v>
      </c>
      <c r="E150" s="2" t="s">
        <v>109</v>
      </c>
      <c r="F150" s="2" t="s">
        <v>132</v>
      </c>
      <c r="G150" s="2" t="s">
        <v>17</v>
      </c>
      <c r="H150" s="2" t="s">
        <v>242</v>
      </c>
      <c r="I150" s="2" t="s">
        <v>279</v>
      </c>
      <c r="J150" s="2">
        <v>15000</v>
      </c>
      <c r="K150" s="2" t="s">
        <v>67</v>
      </c>
      <c r="L150" s="2" t="s">
        <v>21</v>
      </c>
    </row>
    <row r="151" spans="1:12" ht="16.2" customHeight="1">
      <c r="A151" s="3" t="s">
        <v>548</v>
      </c>
      <c r="B151" s="3" t="s">
        <v>549</v>
      </c>
      <c r="C151" s="3">
        <v>76</v>
      </c>
      <c r="D151" s="3" t="s">
        <v>32</v>
      </c>
      <c r="E151" s="3" t="s">
        <v>254</v>
      </c>
      <c r="F151" s="3" t="s">
        <v>76</v>
      </c>
      <c r="G151" s="3" t="s">
        <v>17</v>
      </c>
      <c r="H151" s="3" t="s">
        <v>378</v>
      </c>
      <c r="I151" s="3" t="s">
        <v>72</v>
      </c>
      <c r="J151" s="3">
        <v>100000</v>
      </c>
      <c r="K151" s="3" t="s">
        <v>67</v>
      </c>
      <c r="L151" s="3" t="s">
        <v>87</v>
      </c>
    </row>
    <row r="152" spans="1:12" ht="16.2" customHeight="1">
      <c r="A152" s="2" t="s">
        <v>550</v>
      </c>
      <c r="B152" s="2" t="s">
        <v>253</v>
      </c>
      <c r="C152" s="2">
        <v>16</v>
      </c>
      <c r="D152" s="2" t="s">
        <v>14</v>
      </c>
      <c r="E152" s="2" t="s">
        <v>109</v>
      </c>
      <c r="F152" s="2" t="s">
        <v>132</v>
      </c>
      <c r="G152" s="2" t="s">
        <v>26</v>
      </c>
      <c r="H152" s="2" t="s">
        <v>129</v>
      </c>
      <c r="I152" s="2" t="s">
        <v>551</v>
      </c>
      <c r="J152" s="2">
        <v>15000</v>
      </c>
      <c r="K152" s="2" t="s">
        <v>67</v>
      </c>
      <c r="L152" s="2" t="s">
        <v>87</v>
      </c>
    </row>
    <row r="153" spans="1:12" ht="16.2" customHeight="1">
      <c r="A153" s="3" t="s">
        <v>552</v>
      </c>
      <c r="B153" s="3" t="s">
        <v>553</v>
      </c>
      <c r="C153" s="3">
        <v>17</v>
      </c>
      <c r="D153" s="3" t="s">
        <v>14</v>
      </c>
      <c r="E153" s="3" t="s">
        <v>33</v>
      </c>
      <c r="F153" s="3" t="s">
        <v>141</v>
      </c>
      <c r="G153" s="3" t="s">
        <v>99</v>
      </c>
      <c r="H153" s="3" t="s">
        <v>406</v>
      </c>
      <c r="I153" s="3" t="s">
        <v>554</v>
      </c>
      <c r="J153" s="3">
        <v>100000</v>
      </c>
      <c r="K153" s="3" t="s">
        <v>29</v>
      </c>
      <c r="L153" s="3" t="s">
        <v>55</v>
      </c>
    </row>
    <row r="154" spans="1:12" ht="16.2" customHeight="1">
      <c r="A154" s="2" t="s">
        <v>555</v>
      </c>
      <c r="B154" s="2" t="s">
        <v>304</v>
      </c>
      <c r="C154" s="2">
        <v>23</v>
      </c>
      <c r="D154" s="2" t="s">
        <v>14</v>
      </c>
      <c r="E154" s="2" t="s">
        <v>33</v>
      </c>
      <c r="F154" s="2" t="s">
        <v>127</v>
      </c>
      <c r="G154" s="2" t="s">
        <v>104</v>
      </c>
      <c r="H154" s="2" t="s">
        <v>556</v>
      </c>
      <c r="I154" s="2" t="s">
        <v>557</v>
      </c>
      <c r="J154" s="2">
        <v>5000</v>
      </c>
      <c r="K154" s="2" t="s">
        <v>37</v>
      </c>
      <c r="L154" s="2" t="s">
        <v>21</v>
      </c>
    </row>
    <row r="155" spans="1:12" ht="16.2" customHeight="1">
      <c r="A155" s="3" t="s">
        <v>558</v>
      </c>
      <c r="B155" s="3" t="s">
        <v>514</v>
      </c>
      <c r="C155" s="3">
        <v>25</v>
      </c>
      <c r="D155" s="3" t="s">
        <v>14</v>
      </c>
      <c r="E155" s="3" t="s">
        <v>70</v>
      </c>
      <c r="F155" s="3" t="s">
        <v>76</v>
      </c>
      <c r="G155" s="3" t="s">
        <v>17</v>
      </c>
      <c r="H155" s="3" t="s">
        <v>559</v>
      </c>
      <c r="I155" s="3" t="s">
        <v>560</v>
      </c>
      <c r="J155" s="3">
        <v>15000</v>
      </c>
      <c r="K155" s="3" t="s">
        <v>20</v>
      </c>
      <c r="L155" s="3" t="s">
        <v>87</v>
      </c>
    </row>
    <row r="156" spans="1:12" ht="16.2" customHeight="1">
      <c r="A156" s="2" t="s">
        <v>561</v>
      </c>
      <c r="B156" s="2" t="s">
        <v>212</v>
      </c>
      <c r="C156" s="2">
        <v>11</v>
      </c>
      <c r="D156" s="2" t="s">
        <v>14</v>
      </c>
      <c r="E156" s="2" t="s">
        <v>109</v>
      </c>
      <c r="F156" s="2" t="s">
        <v>34</v>
      </c>
      <c r="G156" s="2" t="s">
        <v>35</v>
      </c>
      <c r="H156" s="2" t="s">
        <v>562</v>
      </c>
      <c r="I156" s="2" t="s">
        <v>374</v>
      </c>
      <c r="J156" s="2">
        <v>35000</v>
      </c>
      <c r="K156" s="2" t="s">
        <v>29</v>
      </c>
      <c r="L156" s="2" t="s">
        <v>55</v>
      </c>
    </row>
    <row r="157" spans="1:12" ht="16.2" customHeight="1">
      <c r="A157" s="3" t="s">
        <v>563</v>
      </c>
      <c r="B157" s="3" t="s">
        <v>564</v>
      </c>
      <c r="C157" s="3">
        <v>12</v>
      </c>
      <c r="D157" s="3" t="s">
        <v>14</v>
      </c>
      <c r="E157" s="3" t="s">
        <v>58</v>
      </c>
      <c r="F157" s="3" t="s">
        <v>76</v>
      </c>
      <c r="G157" s="3" t="s">
        <v>35</v>
      </c>
      <c r="H157" s="3" t="s">
        <v>565</v>
      </c>
      <c r="I157" s="3" t="s">
        <v>566</v>
      </c>
      <c r="J157" s="3">
        <v>20000</v>
      </c>
      <c r="K157" s="3" t="s">
        <v>37</v>
      </c>
      <c r="L157" s="3" t="s">
        <v>55</v>
      </c>
    </row>
    <row r="158" spans="1:12" ht="16.2" customHeight="1">
      <c r="A158" s="2" t="s">
        <v>567</v>
      </c>
      <c r="B158" s="2" t="s">
        <v>568</v>
      </c>
      <c r="C158" s="2">
        <v>50</v>
      </c>
      <c r="D158" s="2" t="s">
        <v>32</v>
      </c>
      <c r="E158" s="2" t="s">
        <v>24</v>
      </c>
      <c r="F158" s="2" t="s">
        <v>25</v>
      </c>
      <c r="G158" s="2" t="s">
        <v>26</v>
      </c>
      <c r="H158" s="2" t="s">
        <v>569</v>
      </c>
      <c r="I158" s="2" t="s">
        <v>134</v>
      </c>
      <c r="J158" s="2">
        <v>100000</v>
      </c>
      <c r="K158" s="2" t="s">
        <v>29</v>
      </c>
      <c r="L158" s="2" t="s">
        <v>21</v>
      </c>
    </row>
    <row r="159" spans="1:12" ht="16.2" customHeight="1">
      <c r="A159" s="3" t="s">
        <v>570</v>
      </c>
      <c r="B159" s="3" t="s">
        <v>571</v>
      </c>
      <c r="C159" s="3">
        <v>18</v>
      </c>
      <c r="D159" s="3" t="s">
        <v>32</v>
      </c>
      <c r="E159" s="3" t="s">
        <v>572</v>
      </c>
      <c r="F159" s="3" t="s">
        <v>573</v>
      </c>
      <c r="G159" s="3" t="s">
        <v>48</v>
      </c>
      <c r="H159" s="3" t="s">
        <v>574</v>
      </c>
      <c r="I159" s="3" t="s">
        <v>347</v>
      </c>
      <c r="J159" s="3">
        <v>20000</v>
      </c>
      <c r="K159" s="3" t="s">
        <v>37</v>
      </c>
      <c r="L159" s="3" t="s">
        <v>87</v>
      </c>
    </row>
    <row r="160" spans="1:12" ht="16.2" customHeight="1">
      <c r="A160" s="2" t="s">
        <v>575</v>
      </c>
      <c r="B160" s="2" t="s">
        <v>576</v>
      </c>
      <c r="C160" s="2">
        <v>46</v>
      </c>
      <c r="D160" s="2" t="s">
        <v>14</v>
      </c>
      <c r="E160" s="2" t="s">
        <v>58</v>
      </c>
      <c r="F160" s="2" t="s">
        <v>16</v>
      </c>
      <c r="G160" s="2" t="s">
        <v>26</v>
      </c>
      <c r="H160" s="2" t="s">
        <v>577</v>
      </c>
      <c r="I160" s="2" t="s">
        <v>578</v>
      </c>
      <c r="J160" s="2">
        <v>5000</v>
      </c>
      <c r="K160" s="2" t="s">
        <v>67</v>
      </c>
      <c r="L160" s="2" t="s">
        <v>21</v>
      </c>
    </row>
    <row r="161" spans="1:12" ht="16.2" customHeight="1">
      <c r="A161" s="3" t="s">
        <v>579</v>
      </c>
      <c r="B161" s="3" t="s">
        <v>580</v>
      </c>
      <c r="C161" s="3">
        <v>25</v>
      </c>
      <c r="D161" s="3" t="s">
        <v>32</v>
      </c>
      <c r="E161" s="3" t="s">
        <v>70</v>
      </c>
      <c r="F161" s="3" t="s">
        <v>25</v>
      </c>
      <c r="G161" s="3" t="s">
        <v>99</v>
      </c>
      <c r="H161" s="3" t="s">
        <v>176</v>
      </c>
      <c r="I161" s="3" t="s">
        <v>284</v>
      </c>
      <c r="J161" s="3">
        <v>12000</v>
      </c>
      <c r="K161" s="3" t="s">
        <v>37</v>
      </c>
      <c r="L161" s="3" t="s">
        <v>38</v>
      </c>
    </row>
    <row r="162" spans="1:12" ht="16.2" customHeight="1">
      <c r="A162" s="2" t="s">
        <v>581</v>
      </c>
      <c r="B162" s="2" t="s">
        <v>582</v>
      </c>
      <c r="C162" s="2">
        <v>59</v>
      </c>
      <c r="D162" s="2" t="s">
        <v>14</v>
      </c>
      <c r="E162" s="2" t="s">
        <v>33</v>
      </c>
      <c r="F162" s="2" t="s">
        <v>132</v>
      </c>
      <c r="G162" s="2" t="s">
        <v>35</v>
      </c>
      <c r="H162" s="2" t="s">
        <v>451</v>
      </c>
      <c r="I162" s="2" t="s">
        <v>583</v>
      </c>
      <c r="J162" s="2">
        <v>75000</v>
      </c>
      <c r="K162" s="2" t="s">
        <v>29</v>
      </c>
      <c r="L162" s="2" t="s">
        <v>38</v>
      </c>
    </row>
    <row r="163" spans="1:12" ht="16.2" customHeight="1">
      <c r="A163" s="3" t="s">
        <v>584</v>
      </c>
      <c r="B163" s="3" t="s">
        <v>585</v>
      </c>
      <c r="C163" s="3">
        <v>41</v>
      </c>
      <c r="D163" s="3" t="s">
        <v>338</v>
      </c>
      <c r="E163" s="3" t="s">
        <v>109</v>
      </c>
      <c r="F163" s="3" t="s">
        <v>16</v>
      </c>
      <c r="G163" s="3" t="s">
        <v>35</v>
      </c>
      <c r="H163" s="3" t="s">
        <v>586</v>
      </c>
      <c r="I163" s="3" t="s">
        <v>270</v>
      </c>
      <c r="J163" s="3">
        <v>20000</v>
      </c>
      <c r="K163" s="3"/>
      <c r="L163" s="3" t="s">
        <v>21</v>
      </c>
    </row>
    <row r="164" spans="1:12" ht="16.2" customHeight="1">
      <c r="A164" s="2" t="s">
        <v>587</v>
      </c>
      <c r="B164" s="2" t="s">
        <v>65</v>
      </c>
      <c r="C164" s="2">
        <v>16</v>
      </c>
      <c r="D164" s="2" t="s">
        <v>32</v>
      </c>
      <c r="E164" s="2" t="s">
        <v>15</v>
      </c>
      <c r="F164" s="2" t="s">
        <v>16</v>
      </c>
      <c r="G164" s="2" t="s">
        <v>35</v>
      </c>
      <c r="H164" s="2" t="s">
        <v>100</v>
      </c>
      <c r="I164" s="2" t="s">
        <v>588</v>
      </c>
      <c r="J164" s="2">
        <v>5000</v>
      </c>
      <c r="K164" s="2" t="s">
        <v>29</v>
      </c>
      <c r="L164" s="2" t="s">
        <v>55</v>
      </c>
    </row>
    <row r="165" spans="1:12" ht="16.2" customHeight="1">
      <c r="A165" s="3" t="s">
        <v>589</v>
      </c>
      <c r="B165" s="3" t="s">
        <v>590</v>
      </c>
      <c r="C165" s="3">
        <v>20</v>
      </c>
      <c r="D165" s="3" t="s">
        <v>32</v>
      </c>
      <c r="E165" s="3" t="s">
        <v>15</v>
      </c>
      <c r="F165" s="3" t="s">
        <v>25</v>
      </c>
      <c r="G165" s="3" t="s">
        <v>99</v>
      </c>
      <c r="H165" s="3" t="s">
        <v>591</v>
      </c>
      <c r="I165" s="3" t="s">
        <v>223</v>
      </c>
      <c r="J165" s="3">
        <v>25000</v>
      </c>
      <c r="K165" s="3" t="s">
        <v>67</v>
      </c>
      <c r="L165" s="3" t="s">
        <v>38</v>
      </c>
    </row>
    <row r="166" spans="1:12" ht="16.2" customHeight="1">
      <c r="A166" s="2" t="s">
        <v>592</v>
      </c>
      <c r="B166" s="2" t="s">
        <v>593</v>
      </c>
      <c r="C166" s="2">
        <v>68</v>
      </c>
      <c r="D166" s="2" t="s">
        <v>32</v>
      </c>
      <c r="E166" s="2" t="s">
        <v>52</v>
      </c>
      <c r="F166" s="2" t="s">
        <v>42</v>
      </c>
      <c r="G166" s="2" t="s">
        <v>53</v>
      </c>
      <c r="H166" s="2" t="s">
        <v>377</v>
      </c>
      <c r="I166" s="2" t="s">
        <v>594</v>
      </c>
      <c r="J166" s="2">
        <v>20000</v>
      </c>
      <c r="K166" s="2" t="s">
        <v>37</v>
      </c>
      <c r="L166" s="2" t="s">
        <v>87</v>
      </c>
    </row>
    <row r="167" spans="1:12" ht="16.2" customHeight="1">
      <c r="A167" s="3" t="s">
        <v>595</v>
      </c>
      <c r="B167" s="3" t="s">
        <v>596</v>
      </c>
      <c r="C167" s="3">
        <v>12</v>
      </c>
      <c r="D167" s="3" t="s">
        <v>32</v>
      </c>
      <c r="E167" s="3" t="s">
        <v>52</v>
      </c>
      <c r="F167" s="3" t="s">
        <v>132</v>
      </c>
      <c r="G167" s="3" t="s">
        <v>26</v>
      </c>
      <c r="H167" s="3" t="s">
        <v>597</v>
      </c>
      <c r="I167" s="3" t="s">
        <v>430</v>
      </c>
      <c r="J167" s="3">
        <v>75000</v>
      </c>
      <c r="K167" s="3" t="s">
        <v>191</v>
      </c>
      <c r="L167" s="3" t="s">
        <v>87</v>
      </c>
    </row>
    <row r="168" spans="1:12" ht="16.2" customHeight="1">
      <c r="A168" s="2" t="s">
        <v>598</v>
      </c>
      <c r="B168" s="2" t="s">
        <v>178</v>
      </c>
      <c r="C168" s="2">
        <v>56</v>
      </c>
      <c r="D168" s="2" t="s">
        <v>32</v>
      </c>
      <c r="E168" s="2" t="s">
        <v>58</v>
      </c>
      <c r="F168" s="2" t="s">
        <v>132</v>
      </c>
      <c r="G168" s="2" t="s">
        <v>53</v>
      </c>
      <c r="H168" s="2" t="s">
        <v>245</v>
      </c>
      <c r="I168" s="2" t="s">
        <v>289</v>
      </c>
      <c r="J168" s="2">
        <v>50000</v>
      </c>
      <c r="K168" s="2" t="s">
        <v>37</v>
      </c>
      <c r="L168" s="2" t="s">
        <v>87</v>
      </c>
    </row>
    <row r="169" spans="1:12" ht="16.2" customHeight="1">
      <c r="A169" s="3" t="s">
        <v>599</v>
      </c>
      <c r="B169" s="3" t="s">
        <v>582</v>
      </c>
      <c r="C169" s="3">
        <v>56</v>
      </c>
      <c r="D169" s="3" t="s">
        <v>14</v>
      </c>
      <c r="E169" s="3" t="s">
        <v>109</v>
      </c>
      <c r="F169" s="3" t="s">
        <v>76</v>
      </c>
      <c r="G169" s="3" t="s">
        <v>26</v>
      </c>
      <c r="H169" s="3" t="s">
        <v>36</v>
      </c>
      <c r="I169" s="3" t="s">
        <v>194</v>
      </c>
      <c r="J169" s="3">
        <v>8000</v>
      </c>
      <c r="K169" s="3" t="s">
        <v>350</v>
      </c>
      <c r="L169" s="3" t="s">
        <v>21</v>
      </c>
    </row>
    <row r="170" spans="1:12" ht="16.2" customHeight="1">
      <c r="A170" s="2" t="s">
        <v>600</v>
      </c>
      <c r="B170" s="2" t="s">
        <v>601</v>
      </c>
      <c r="C170" s="2">
        <v>22</v>
      </c>
      <c r="D170" s="2" t="s">
        <v>32</v>
      </c>
      <c r="E170" s="2" t="s">
        <v>109</v>
      </c>
      <c r="F170" s="2" t="s">
        <v>76</v>
      </c>
      <c r="G170" s="2" t="s">
        <v>104</v>
      </c>
      <c r="H170" s="2" t="s">
        <v>602</v>
      </c>
      <c r="I170" s="2" t="s">
        <v>538</v>
      </c>
      <c r="J170" s="2">
        <v>20000</v>
      </c>
      <c r="K170" s="2" t="s">
        <v>20</v>
      </c>
      <c r="L170" s="2" t="s">
        <v>38</v>
      </c>
    </row>
    <row r="171" spans="1:12" ht="16.2" customHeight="1">
      <c r="A171" s="3" t="s">
        <v>603</v>
      </c>
      <c r="B171" s="3" t="s">
        <v>516</v>
      </c>
      <c r="C171" s="3">
        <v>1</v>
      </c>
      <c r="D171" s="3" t="s">
        <v>14</v>
      </c>
      <c r="E171" s="3" t="s">
        <v>85</v>
      </c>
      <c r="F171" s="3" t="s">
        <v>76</v>
      </c>
      <c r="G171" s="3" t="s">
        <v>99</v>
      </c>
      <c r="H171" s="3" t="s">
        <v>604</v>
      </c>
      <c r="I171" s="3" t="s">
        <v>569</v>
      </c>
      <c r="J171" s="3">
        <v>25000</v>
      </c>
      <c r="K171" s="3" t="s">
        <v>37</v>
      </c>
      <c r="L171" s="3" t="s">
        <v>38</v>
      </c>
    </row>
    <row r="172" spans="1:12" ht="16.2" customHeight="1">
      <c r="A172" s="2" t="s">
        <v>605</v>
      </c>
      <c r="B172" s="2" t="s">
        <v>606</v>
      </c>
      <c r="C172" s="2">
        <v>57</v>
      </c>
      <c r="D172" s="2" t="s">
        <v>14</v>
      </c>
      <c r="E172" s="2" t="s">
        <v>85</v>
      </c>
      <c r="F172" s="2" t="s">
        <v>76</v>
      </c>
      <c r="G172" s="2" t="s">
        <v>17</v>
      </c>
      <c r="H172" s="2" t="s">
        <v>607</v>
      </c>
      <c r="I172" s="2" t="s">
        <v>288</v>
      </c>
      <c r="J172" s="2">
        <v>5000</v>
      </c>
      <c r="K172" s="2" t="s">
        <v>37</v>
      </c>
      <c r="L172" s="2" t="s">
        <v>38</v>
      </c>
    </row>
    <row r="173" spans="1:12" ht="16.2" customHeight="1">
      <c r="A173" s="3" t="s">
        <v>608</v>
      </c>
      <c r="B173" s="3" t="s">
        <v>609</v>
      </c>
      <c r="C173" s="3">
        <v>5</v>
      </c>
      <c r="D173" s="3" t="s">
        <v>14</v>
      </c>
      <c r="E173" s="3" t="s">
        <v>33</v>
      </c>
      <c r="F173" s="3" t="s">
        <v>76</v>
      </c>
      <c r="G173" s="3" t="s">
        <v>17</v>
      </c>
      <c r="H173" s="3" t="s">
        <v>430</v>
      </c>
      <c r="I173" s="3" t="s">
        <v>610</v>
      </c>
      <c r="J173" s="3">
        <v>100000</v>
      </c>
      <c r="K173" s="3" t="s">
        <v>20</v>
      </c>
      <c r="L173" s="3" t="s">
        <v>87</v>
      </c>
    </row>
    <row r="174" spans="1:12" ht="16.2" customHeight="1">
      <c r="A174" s="2" t="s">
        <v>611</v>
      </c>
      <c r="B174" s="2" t="s">
        <v>174</v>
      </c>
      <c r="C174" s="2">
        <v>83</v>
      </c>
      <c r="D174" s="2" t="s">
        <v>32</v>
      </c>
      <c r="E174" s="2" t="s">
        <v>52</v>
      </c>
      <c r="F174" s="2" t="s">
        <v>127</v>
      </c>
      <c r="G174" s="2" t="s">
        <v>48</v>
      </c>
      <c r="H174" s="2" t="s">
        <v>612</v>
      </c>
      <c r="I174" s="2" t="s">
        <v>613</v>
      </c>
      <c r="J174" s="2">
        <v>100000</v>
      </c>
      <c r="K174" s="2" t="s">
        <v>20</v>
      </c>
      <c r="L174" s="2" t="s">
        <v>87</v>
      </c>
    </row>
    <row r="175" spans="1:12" ht="16.2" customHeight="1">
      <c r="A175" s="3" t="s">
        <v>614</v>
      </c>
      <c r="B175" s="3" t="s">
        <v>170</v>
      </c>
      <c r="C175" s="3">
        <v>8</v>
      </c>
      <c r="D175" s="3" t="s">
        <v>32</v>
      </c>
      <c r="E175" s="3" t="s">
        <v>52</v>
      </c>
      <c r="F175" s="3" t="s">
        <v>16</v>
      </c>
      <c r="G175" s="3" t="s">
        <v>26</v>
      </c>
      <c r="H175" s="3" t="s">
        <v>615</v>
      </c>
      <c r="I175" s="3" t="s">
        <v>616</v>
      </c>
      <c r="J175" s="3">
        <v>50000</v>
      </c>
      <c r="K175" s="3" t="s">
        <v>29</v>
      </c>
      <c r="L175" s="3" t="s">
        <v>21</v>
      </c>
    </row>
    <row r="176" spans="1:12" ht="16.2" customHeight="1">
      <c r="A176" s="2" t="s">
        <v>617</v>
      </c>
      <c r="B176" s="2" t="s">
        <v>65</v>
      </c>
      <c r="C176" s="2">
        <v>7</v>
      </c>
      <c r="D176" s="2" t="s">
        <v>32</v>
      </c>
      <c r="E176" s="2" t="s">
        <v>58</v>
      </c>
      <c r="F176" s="2" t="s">
        <v>25</v>
      </c>
      <c r="G176" s="2" t="s">
        <v>17</v>
      </c>
      <c r="H176" s="2" t="s">
        <v>164</v>
      </c>
      <c r="I176" s="2" t="s">
        <v>618</v>
      </c>
      <c r="J176" s="2">
        <v>50000</v>
      </c>
      <c r="K176" s="2" t="s">
        <v>37</v>
      </c>
      <c r="L176" s="2" t="s">
        <v>55</v>
      </c>
    </row>
    <row r="177" spans="1:12" ht="16.2" customHeight="1">
      <c r="A177" s="3" t="s">
        <v>619</v>
      </c>
      <c r="B177" s="3" t="s">
        <v>208</v>
      </c>
      <c r="C177" s="3">
        <v>42</v>
      </c>
      <c r="D177" s="3" t="s">
        <v>14</v>
      </c>
      <c r="E177" s="3" t="s">
        <v>15</v>
      </c>
      <c r="F177" s="3" t="s">
        <v>42</v>
      </c>
      <c r="G177" s="3" t="s">
        <v>17</v>
      </c>
      <c r="H177" s="3" t="s">
        <v>620</v>
      </c>
      <c r="I177" s="3" t="s">
        <v>621</v>
      </c>
      <c r="J177" s="3">
        <v>35000</v>
      </c>
      <c r="K177" s="3" t="s">
        <v>20</v>
      </c>
      <c r="L177" s="3" t="s">
        <v>38</v>
      </c>
    </row>
    <row r="178" spans="1:12" ht="16.2" customHeight="1">
      <c r="A178" s="2" t="s">
        <v>622</v>
      </c>
      <c r="B178" s="2" t="s">
        <v>623</v>
      </c>
      <c r="C178" s="2">
        <v>71</v>
      </c>
      <c r="D178" s="2" t="s">
        <v>14</v>
      </c>
      <c r="E178" s="2" t="s">
        <v>510</v>
      </c>
      <c r="F178" s="2" t="s">
        <v>127</v>
      </c>
      <c r="G178" s="2" t="s">
        <v>35</v>
      </c>
      <c r="H178" s="2" t="s">
        <v>295</v>
      </c>
      <c r="I178" s="2" t="s">
        <v>624</v>
      </c>
      <c r="J178" s="2">
        <v>100000</v>
      </c>
      <c r="K178" s="2" t="s">
        <v>20</v>
      </c>
      <c r="L178" s="2" t="s">
        <v>38</v>
      </c>
    </row>
    <row r="179" spans="1:12" ht="16.2" customHeight="1">
      <c r="A179" s="3" t="s">
        <v>625</v>
      </c>
      <c r="B179" s="3" t="s">
        <v>626</v>
      </c>
      <c r="C179" s="3">
        <v>39</v>
      </c>
      <c r="D179" s="3" t="s">
        <v>32</v>
      </c>
      <c r="E179" s="3" t="s">
        <v>15</v>
      </c>
      <c r="F179" s="3" t="s">
        <v>25</v>
      </c>
      <c r="G179" s="3" t="s">
        <v>26</v>
      </c>
      <c r="H179" s="3" t="s">
        <v>627</v>
      </c>
      <c r="I179" s="3" t="s">
        <v>628</v>
      </c>
      <c r="J179" s="3">
        <v>12000</v>
      </c>
      <c r="K179" s="3" t="s">
        <v>37</v>
      </c>
      <c r="L179" s="3" t="s">
        <v>87</v>
      </c>
    </row>
    <row r="180" spans="1:12" ht="16.2" customHeight="1">
      <c r="A180" s="2" t="s">
        <v>629</v>
      </c>
      <c r="B180" s="2" t="s">
        <v>630</v>
      </c>
      <c r="C180" s="2">
        <v>26</v>
      </c>
      <c r="D180" s="2" t="s">
        <v>32</v>
      </c>
      <c r="E180" s="2" t="s">
        <v>85</v>
      </c>
      <c r="F180" s="2" t="s">
        <v>34</v>
      </c>
      <c r="G180" s="2" t="s">
        <v>48</v>
      </c>
      <c r="H180" s="2" t="s">
        <v>631</v>
      </c>
      <c r="I180" s="2" t="s">
        <v>309</v>
      </c>
      <c r="J180" s="2">
        <v>12000</v>
      </c>
      <c r="K180" s="2" t="s">
        <v>29</v>
      </c>
      <c r="L180" s="2" t="s">
        <v>21</v>
      </c>
    </row>
    <row r="181" spans="1:12" ht="16.2" customHeight="1">
      <c r="A181" s="3" t="s">
        <v>632</v>
      </c>
      <c r="B181" s="3" t="s">
        <v>633</v>
      </c>
      <c r="C181" s="3">
        <v>4</v>
      </c>
      <c r="D181" s="3" t="s">
        <v>32</v>
      </c>
      <c r="E181" s="3" t="s">
        <v>109</v>
      </c>
      <c r="F181" s="3" t="s">
        <v>34</v>
      </c>
      <c r="G181" s="3" t="s">
        <v>17</v>
      </c>
      <c r="H181" s="3" t="s">
        <v>313</v>
      </c>
      <c r="I181" s="3" t="s">
        <v>457</v>
      </c>
      <c r="J181" s="3">
        <v>35000</v>
      </c>
      <c r="K181" s="3" t="s">
        <v>37</v>
      </c>
      <c r="L181" s="3" t="s">
        <v>55</v>
      </c>
    </row>
    <row r="182" spans="1:12" ht="16.2" customHeight="1">
      <c r="A182" s="2" t="s">
        <v>634</v>
      </c>
      <c r="B182" s="2" t="s">
        <v>635</v>
      </c>
      <c r="C182" s="2">
        <v>38</v>
      </c>
      <c r="D182" s="2" t="s">
        <v>321</v>
      </c>
      <c r="E182" s="2" t="s">
        <v>109</v>
      </c>
      <c r="F182" s="2" t="s">
        <v>76</v>
      </c>
      <c r="G182" s="2" t="s">
        <v>35</v>
      </c>
      <c r="H182" s="2" t="s">
        <v>406</v>
      </c>
      <c r="I182" s="2" t="s">
        <v>621</v>
      </c>
      <c r="J182" s="2">
        <v>8000</v>
      </c>
      <c r="K182" s="2"/>
      <c r="L182" s="2" t="s">
        <v>87</v>
      </c>
    </row>
    <row r="183" spans="1:12" ht="16.2" customHeight="1">
      <c r="A183" s="3" t="s">
        <v>636</v>
      </c>
      <c r="B183" s="3" t="s">
        <v>637</v>
      </c>
      <c r="C183" s="3">
        <v>14</v>
      </c>
      <c r="D183" s="3" t="s">
        <v>32</v>
      </c>
      <c r="E183" s="3" t="s">
        <v>15</v>
      </c>
      <c r="F183" s="3" t="s">
        <v>34</v>
      </c>
      <c r="G183" s="3" t="s">
        <v>99</v>
      </c>
      <c r="H183" s="3" t="s">
        <v>172</v>
      </c>
      <c r="I183" s="3" t="s">
        <v>612</v>
      </c>
      <c r="J183" s="3">
        <v>35000</v>
      </c>
      <c r="K183" s="3" t="s">
        <v>37</v>
      </c>
      <c r="L183" s="3" t="s">
        <v>21</v>
      </c>
    </row>
    <row r="184" spans="1:12" ht="16.2" customHeight="1">
      <c r="A184" s="2" t="s">
        <v>638</v>
      </c>
      <c r="B184" s="2" t="s">
        <v>639</v>
      </c>
      <c r="C184" s="2">
        <v>68</v>
      </c>
      <c r="D184" s="2" t="s">
        <v>32</v>
      </c>
      <c r="E184" s="2" t="s">
        <v>15</v>
      </c>
      <c r="F184" s="2" t="s">
        <v>34</v>
      </c>
      <c r="G184" s="2" t="s">
        <v>99</v>
      </c>
      <c r="H184" s="2" t="s">
        <v>640</v>
      </c>
      <c r="I184" s="2" t="s">
        <v>562</v>
      </c>
      <c r="J184" s="2">
        <v>12000</v>
      </c>
      <c r="K184" s="2" t="s">
        <v>20</v>
      </c>
      <c r="L184" s="2" t="s">
        <v>87</v>
      </c>
    </row>
    <row r="185" spans="1:12" ht="16.2" customHeight="1">
      <c r="A185" s="3" t="s">
        <v>641</v>
      </c>
      <c r="B185" s="3" t="s">
        <v>642</v>
      </c>
      <c r="C185" s="3">
        <v>27</v>
      </c>
      <c r="D185" s="3" t="s">
        <v>32</v>
      </c>
      <c r="E185" s="3" t="s">
        <v>85</v>
      </c>
      <c r="F185" s="3" t="s">
        <v>16</v>
      </c>
      <c r="G185" s="3" t="s">
        <v>53</v>
      </c>
      <c r="H185" s="3" t="s">
        <v>289</v>
      </c>
      <c r="I185" s="3" t="s">
        <v>383</v>
      </c>
      <c r="J185" s="3">
        <v>12000</v>
      </c>
      <c r="K185" s="3" t="s">
        <v>37</v>
      </c>
      <c r="L185" s="3" t="s">
        <v>38</v>
      </c>
    </row>
    <row r="186" spans="1:12" ht="16.2" customHeight="1">
      <c r="A186" s="2" t="s">
        <v>643</v>
      </c>
      <c r="B186" s="2" t="s">
        <v>425</v>
      </c>
      <c r="C186" s="2">
        <v>63</v>
      </c>
      <c r="D186" s="2" t="s">
        <v>32</v>
      </c>
      <c r="E186" s="2" t="s">
        <v>15</v>
      </c>
      <c r="F186" s="2" t="s">
        <v>34</v>
      </c>
      <c r="G186" s="2" t="s">
        <v>53</v>
      </c>
      <c r="H186" s="2" t="s">
        <v>644</v>
      </c>
      <c r="I186" s="2" t="s">
        <v>520</v>
      </c>
      <c r="J186" s="2">
        <v>35000</v>
      </c>
      <c r="K186" s="2" t="s">
        <v>29</v>
      </c>
      <c r="L186" s="2" t="s">
        <v>55</v>
      </c>
    </row>
    <row r="187" spans="1:12" ht="16.2" customHeight="1">
      <c r="A187" s="3" t="s">
        <v>645</v>
      </c>
      <c r="B187" s="3" t="s">
        <v>646</v>
      </c>
      <c r="C187" s="3">
        <v>3</v>
      </c>
      <c r="D187" s="3" t="s">
        <v>32</v>
      </c>
      <c r="E187" s="3" t="s">
        <v>85</v>
      </c>
      <c r="F187" s="3" t="s">
        <v>34</v>
      </c>
      <c r="G187" s="3" t="s">
        <v>99</v>
      </c>
      <c r="H187" s="3" t="s">
        <v>185</v>
      </c>
      <c r="I187" s="3" t="s">
        <v>259</v>
      </c>
      <c r="J187" s="3">
        <v>100000</v>
      </c>
      <c r="K187" s="3" t="s">
        <v>29</v>
      </c>
      <c r="L187" s="3" t="s">
        <v>87</v>
      </c>
    </row>
    <row r="188" spans="1:12" ht="16.2" customHeight="1">
      <c r="A188" s="2" t="s">
        <v>647</v>
      </c>
      <c r="B188" s="2" t="s">
        <v>648</v>
      </c>
      <c r="C188" s="2">
        <v>71</v>
      </c>
      <c r="D188" s="2" t="s">
        <v>14</v>
      </c>
      <c r="E188" s="2" t="s">
        <v>649</v>
      </c>
      <c r="F188" s="2" t="s">
        <v>16</v>
      </c>
      <c r="G188" s="2" t="s">
        <v>48</v>
      </c>
      <c r="H188" s="2" t="s">
        <v>650</v>
      </c>
      <c r="I188" s="2" t="s">
        <v>105</v>
      </c>
      <c r="J188" s="2">
        <v>15000</v>
      </c>
      <c r="K188" s="2" t="s">
        <v>37</v>
      </c>
      <c r="L188" s="2" t="s">
        <v>55</v>
      </c>
    </row>
    <row r="189" spans="1:12" ht="16.2" customHeight="1">
      <c r="A189" s="3" t="s">
        <v>651</v>
      </c>
      <c r="B189" s="3" t="s">
        <v>652</v>
      </c>
      <c r="C189" s="3">
        <v>69</v>
      </c>
      <c r="D189" s="3" t="s">
        <v>32</v>
      </c>
      <c r="E189" s="3" t="s">
        <v>33</v>
      </c>
      <c r="F189" s="3" t="s">
        <v>25</v>
      </c>
      <c r="G189" s="3" t="s">
        <v>53</v>
      </c>
      <c r="H189" s="3" t="s">
        <v>382</v>
      </c>
      <c r="I189" s="3" t="s">
        <v>653</v>
      </c>
      <c r="J189" s="3">
        <v>25000</v>
      </c>
      <c r="K189" s="3" t="s">
        <v>67</v>
      </c>
      <c r="L189" s="3" t="s">
        <v>21</v>
      </c>
    </row>
    <row r="190" spans="1:12" ht="16.2" customHeight="1">
      <c r="A190" s="2" t="s">
        <v>654</v>
      </c>
      <c r="B190" s="2" t="s">
        <v>655</v>
      </c>
      <c r="C190" s="2">
        <v>22</v>
      </c>
      <c r="D190" s="2" t="s">
        <v>32</v>
      </c>
      <c r="E190" s="2" t="s">
        <v>58</v>
      </c>
      <c r="F190" s="2" t="s">
        <v>132</v>
      </c>
      <c r="G190" s="2" t="s">
        <v>48</v>
      </c>
      <c r="H190" s="2" t="s">
        <v>123</v>
      </c>
      <c r="I190" s="2" t="s">
        <v>464</v>
      </c>
      <c r="J190" s="2">
        <v>25000</v>
      </c>
      <c r="K190" s="2" t="s">
        <v>29</v>
      </c>
      <c r="L190" s="2" t="s">
        <v>21</v>
      </c>
    </row>
    <row r="191" spans="1:12" ht="16.2" customHeight="1">
      <c r="A191" s="3" t="s">
        <v>656</v>
      </c>
      <c r="B191" s="3" t="s">
        <v>657</v>
      </c>
      <c r="C191" s="3">
        <v>57</v>
      </c>
      <c r="D191" s="3" t="s">
        <v>32</v>
      </c>
      <c r="E191" s="3" t="s">
        <v>85</v>
      </c>
      <c r="F191" s="3" t="s">
        <v>132</v>
      </c>
      <c r="G191" s="3" t="s">
        <v>26</v>
      </c>
      <c r="H191" s="3" t="s">
        <v>313</v>
      </c>
      <c r="I191" s="3" t="s">
        <v>438</v>
      </c>
      <c r="J191" s="3">
        <v>12000</v>
      </c>
      <c r="K191" s="3" t="s">
        <v>20</v>
      </c>
      <c r="L191" s="3" t="s">
        <v>38</v>
      </c>
    </row>
    <row r="192" spans="1:12" ht="16.2" customHeight="1">
      <c r="A192" s="2" t="s">
        <v>658</v>
      </c>
      <c r="B192" s="2" t="s">
        <v>251</v>
      </c>
      <c r="C192" s="2">
        <v>19</v>
      </c>
      <c r="D192" s="2" t="s">
        <v>32</v>
      </c>
      <c r="E192" s="2" t="s">
        <v>52</v>
      </c>
      <c r="F192" s="2" t="s">
        <v>42</v>
      </c>
      <c r="G192" s="2" t="s">
        <v>35</v>
      </c>
      <c r="H192" s="2" t="s">
        <v>659</v>
      </c>
      <c r="I192" s="2" t="s">
        <v>390</v>
      </c>
      <c r="J192" s="2">
        <v>5000</v>
      </c>
      <c r="K192" s="2" t="s">
        <v>67</v>
      </c>
      <c r="L192" s="2" t="s">
        <v>38</v>
      </c>
    </row>
    <row r="193" spans="1:12" ht="16.2" customHeight="1">
      <c r="A193" s="3" t="s">
        <v>660</v>
      </c>
      <c r="B193" s="3" t="s">
        <v>661</v>
      </c>
      <c r="C193" s="3">
        <v>32</v>
      </c>
      <c r="D193" s="3" t="s">
        <v>14</v>
      </c>
      <c r="E193" s="3" t="s">
        <v>33</v>
      </c>
      <c r="F193" s="3" t="s">
        <v>132</v>
      </c>
      <c r="G193" s="3" t="s">
        <v>26</v>
      </c>
      <c r="H193" s="3" t="s">
        <v>448</v>
      </c>
      <c r="I193" s="3" t="s">
        <v>662</v>
      </c>
      <c r="J193" s="3">
        <v>35000</v>
      </c>
      <c r="K193" s="3" t="s">
        <v>29</v>
      </c>
      <c r="L193" s="3" t="s">
        <v>21</v>
      </c>
    </row>
    <row r="194" spans="1:12" ht="16.2" customHeight="1">
      <c r="A194" s="2" t="s">
        <v>663</v>
      </c>
      <c r="B194" s="2" t="s">
        <v>664</v>
      </c>
      <c r="C194" s="2">
        <v>74</v>
      </c>
      <c r="D194" s="2" t="s">
        <v>14</v>
      </c>
      <c r="E194" s="2" t="s">
        <v>58</v>
      </c>
      <c r="F194" s="2" t="s">
        <v>34</v>
      </c>
      <c r="G194" s="2" t="s">
        <v>48</v>
      </c>
      <c r="H194" s="2" t="s">
        <v>665</v>
      </c>
      <c r="I194" s="2" t="s">
        <v>386</v>
      </c>
      <c r="J194" s="2">
        <v>8000</v>
      </c>
      <c r="K194" s="2" t="s">
        <v>20</v>
      </c>
      <c r="L194" s="2" t="s">
        <v>38</v>
      </c>
    </row>
    <row r="195" spans="1:12" ht="16.2" customHeight="1">
      <c r="A195" s="3" t="s">
        <v>666</v>
      </c>
      <c r="B195" s="3" t="s">
        <v>667</v>
      </c>
      <c r="C195" s="3">
        <v>58</v>
      </c>
      <c r="D195" s="3" t="s">
        <v>32</v>
      </c>
      <c r="E195" s="3" t="s">
        <v>33</v>
      </c>
      <c r="F195" s="3" t="s">
        <v>34</v>
      </c>
      <c r="G195" s="3" t="s">
        <v>48</v>
      </c>
      <c r="H195" s="3" t="s">
        <v>668</v>
      </c>
      <c r="I195" s="3" t="s">
        <v>669</v>
      </c>
      <c r="J195" s="3">
        <v>35000</v>
      </c>
      <c r="K195" s="3" t="s">
        <v>20</v>
      </c>
      <c r="L195" s="3" t="s">
        <v>87</v>
      </c>
    </row>
    <row r="196" spans="1:12" ht="16.2" customHeight="1">
      <c r="A196" s="2" t="s">
        <v>670</v>
      </c>
      <c r="B196" s="2" t="s">
        <v>282</v>
      </c>
      <c r="C196" s="2">
        <v>6</v>
      </c>
      <c r="D196" s="2" t="s">
        <v>32</v>
      </c>
      <c r="E196" s="2" t="s">
        <v>85</v>
      </c>
      <c r="F196" s="2" t="s">
        <v>16</v>
      </c>
      <c r="G196" s="2" t="s">
        <v>26</v>
      </c>
      <c r="H196" s="2" t="s">
        <v>434</v>
      </c>
      <c r="I196" s="2" t="s">
        <v>28</v>
      </c>
      <c r="J196" s="2">
        <v>5000</v>
      </c>
      <c r="K196" s="2" t="s">
        <v>29</v>
      </c>
      <c r="L196" s="2" t="s">
        <v>87</v>
      </c>
    </row>
    <row r="197" spans="1:12" ht="16.2" customHeight="1">
      <c r="A197" s="3" t="s">
        <v>670</v>
      </c>
      <c r="B197" s="3" t="s">
        <v>282</v>
      </c>
      <c r="C197" s="3">
        <v>6</v>
      </c>
      <c r="D197" s="3" t="s">
        <v>321</v>
      </c>
      <c r="E197" s="3" t="s">
        <v>85</v>
      </c>
      <c r="F197" s="3" t="s">
        <v>16</v>
      </c>
      <c r="G197" s="3" t="s">
        <v>26</v>
      </c>
      <c r="H197" s="3" t="s">
        <v>434</v>
      </c>
      <c r="I197" s="3" t="s">
        <v>28</v>
      </c>
      <c r="J197" s="3">
        <v>5000</v>
      </c>
      <c r="K197" s="3" t="s">
        <v>29</v>
      </c>
      <c r="L197" s="3" t="s">
        <v>87</v>
      </c>
    </row>
    <row r="198" spans="1:12" ht="16.2" customHeight="1">
      <c r="A198" s="2" t="s">
        <v>671</v>
      </c>
      <c r="B198" s="2" t="s">
        <v>672</v>
      </c>
      <c r="C198" s="2">
        <v>80</v>
      </c>
      <c r="D198" s="2" t="s">
        <v>32</v>
      </c>
      <c r="E198" s="2" t="s">
        <v>85</v>
      </c>
      <c r="F198" s="2" t="s">
        <v>222</v>
      </c>
      <c r="G198" s="2" t="s">
        <v>99</v>
      </c>
      <c r="H198" s="2" t="s">
        <v>378</v>
      </c>
      <c r="I198" s="2" t="s">
        <v>195</v>
      </c>
      <c r="J198" s="2">
        <v>50000</v>
      </c>
      <c r="K198" s="2" t="s">
        <v>238</v>
      </c>
      <c r="L198" s="2" t="s">
        <v>87</v>
      </c>
    </row>
    <row r="199" spans="1:12" ht="16.2" customHeight="1">
      <c r="A199" s="3" t="s">
        <v>673</v>
      </c>
      <c r="B199" s="3" t="s">
        <v>674</v>
      </c>
      <c r="C199" s="3">
        <v>22</v>
      </c>
      <c r="D199" s="3" t="s">
        <v>506</v>
      </c>
      <c r="E199" s="3" t="s">
        <v>230</v>
      </c>
      <c r="F199" s="3" t="s">
        <v>76</v>
      </c>
      <c r="G199" s="3" t="s">
        <v>17</v>
      </c>
      <c r="H199" s="3" t="s">
        <v>616</v>
      </c>
      <c r="I199" s="3" t="s">
        <v>279</v>
      </c>
      <c r="J199" s="3">
        <v>5000</v>
      </c>
      <c r="K199" s="3" t="s">
        <v>67</v>
      </c>
      <c r="L199" s="3" t="s">
        <v>55</v>
      </c>
    </row>
    <row r="200" spans="1:12" ht="16.2" customHeight="1">
      <c r="A200" s="2" t="s">
        <v>675</v>
      </c>
      <c r="B200" s="2" t="s">
        <v>156</v>
      </c>
      <c r="C200" s="2">
        <v>40</v>
      </c>
      <c r="D200" s="2" t="s">
        <v>14</v>
      </c>
      <c r="E200" s="2" t="s">
        <v>58</v>
      </c>
      <c r="F200" s="2" t="s">
        <v>42</v>
      </c>
      <c r="G200" s="2" t="s">
        <v>104</v>
      </c>
      <c r="H200" s="2" t="s">
        <v>535</v>
      </c>
      <c r="I200" s="2" t="s">
        <v>676</v>
      </c>
      <c r="J200" s="2">
        <v>20000</v>
      </c>
      <c r="K200" s="2" t="s">
        <v>29</v>
      </c>
      <c r="L200" s="2" t="s">
        <v>87</v>
      </c>
    </row>
    <row r="201" spans="1:12" ht="16.2" customHeight="1">
      <c r="A201" s="3" t="s">
        <v>677</v>
      </c>
      <c r="B201" s="3" t="s">
        <v>678</v>
      </c>
      <c r="C201" s="3" t="s">
        <v>530</v>
      </c>
      <c r="D201" s="3" t="s">
        <v>14</v>
      </c>
      <c r="E201" s="3" t="s">
        <v>85</v>
      </c>
      <c r="F201" s="3" t="s">
        <v>127</v>
      </c>
      <c r="G201" s="3" t="s">
        <v>35</v>
      </c>
      <c r="H201" s="3" t="s">
        <v>679</v>
      </c>
      <c r="I201" s="3" t="s">
        <v>295</v>
      </c>
      <c r="J201" s="3">
        <v>35000</v>
      </c>
      <c r="K201" s="3" t="s">
        <v>20</v>
      </c>
      <c r="L201" s="3" t="s">
        <v>55</v>
      </c>
    </row>
    <row r="202" spans="1:12" ht="16.2" customHeight="1">
      <c r="A202" s="2" t="s">
        <v>680</v>
      </c>
      <c r="B202" s="2" t="s">
        <v>681</v>
      </c>
      <c r="C202" s="2">
        <v>45</v>
      </c>
      <c r="D202" s="2" t="s">
        <v>32</v>
      </c>
      <c r="E202" s="2" t="s">
        <v>15</v>
      </c>
      <c r="F202" s="2" t="s">
        <v>132</v>
      </c>
      <c r="G202" s="2" t="s">
        <v>17</v>
      </c>
      <c r="H202" s="2" t="s">
        <v>538</v>
      </c>
      <c r="I202" s="2" t="s">
        <v>682</v>
      </c>
      <c r="J202" s="2">
        <v>5000</v>
      </c>
      <c r="K202" s="2" t="s">
        <v>29</v>
      </c>
      <c r="L202" s="2" t="s">
        <v>87</v>
      </c>
    </row>
    <row r="203" spans="1:12" ht="16.2" customHeight="1">
      <c r="A203" s="3" t="s">
        <v>683</v>
      </c>
      <c r="B203" s="3" t="s">
        <v>362</v>
      </c>
      <c r="C203" s="3">
        <v>12</v>
      </c>
      <c r="D203" s="3" t="s">
        <v>14</v>
      </c>
      <c r="E203" s="3" t="s">
        <v>33</v>
      </c>
      <c r="F203" s="3" t="s">
        <v>42</v>
      </c>
      <c r="G203" s="3" t="s">
        <v>26</v>
      </c>
      <c r="H203" s="3" t="s">
        <v>684</v>
      </c>
      <c r="I203" s="3" t="s">
        <v>685</v>
      </c>
      <c r="J203" s="3">
        <v>15000</v>
      </c>
      <c r="K203" s="3" t="s">
        <v>67</v>
      </c>
      <c r="L203" s="3" t="s">
        <v>55</v>
      </c>
    </row>
    <row r="204" spans="1:12" ht="16.2" customHeight="1">
      <c r="A204" s="2" t="s">
        <v>686</v>
      </c>
      <c r="B204" s="2" t="s">
        <v>687</v>
      </c>
      <c r="C204" s="2">
        <v>13</v>
      </c>
      <c r="D204" s="2" t="s">
        <v>32</v>
      </c>
      <c r="E204" s="2" t="s">
        <v>85</v>
      </c>
      <c r="F204" s="2" t="s">
        <v>25</v>
      </c>
      <c r="G204" s="2" t="s">
        <v>35</v>
      </c>
      <c r="H204" s="2" t="s">
        <v>202</v>
      </c>
      <c r="I204" s="2" t="s">
        <v>273</v>
      </c>
      <c r="J204" s="2">
        <v>75000</v>
      </c>
      <c r="K204" s="2" t="s">
        <v>160</v>
      </c>
      <c r="L204" s="2" t="s">
        <v>55</v>
      </c>
    </row>
    <row r="205" spans="1:12" ht="16.2" customHeight="1">
      <c r="A205" s="3" t="s">
        <v>688</v>
      </c>
      <c r="B205" s="3" t="s">
        <v>689</v>
      </c>
      <c r="C205" s="3">
        <v>89</v>
      </c>
      <c r="D205" s="3" t="s">
        <v>690</v>
      </c>
      <c r="E205" s="3" t="s">
        <v>52</v>
      </c>
      <c r="F205" s="3" t="s">
        <v>16</v>
      </c>
      <c r="G205" s="3" t="s">
        <v>104</v>
      </c>
      <c r="H205" s="3" t="s">
        <v>434</v>
      </c>
      <c r="I205" s="3" t="s">
        <v>237</v>
      </c>
      <c r="J205" s="3">
        <v>75000</v>
      </c>
      <c r="K205" s="3" t="s">
        <v>20</v>
      </c>
      <c r="L205" s="3" t="s">
        <v>87</v>
      </c>
    </row>
    <row r="206" spans="1:12" ht="16.2" customHeight="1">
      <c r="A206" s="2" t="s">
        <v>691</v>
      </c>
      <c r="B206" s="2" t="s">
        <v>352</v>
      </c>
      <c r="C206" s="2">
        <v>4</v>
      </c>
      <c r="D206" s="2" t="s">
        <v>32</v>
      </c>
      <c r="E206" s="2"/>
      <c r="F206" s="2" t="s">
        <v>42</v>
      </c>
      <c r="G206" s="2" t="s">
        <v>104</v>
      </c>
      <c r="H206" s="2" t="s">
        <v>223</v>
      </c>
      <c r="I206" s="2" t="s">
        <v>628</v>
      </c>
      <c r="J206" s="2">
        <v>8000</v>
      </c>
      <c r="K206" s="2" t="s">
        <v>37</v>
      </c>
      <c r="L206" s="2" t="s">
        <v>55</v>
      </c>
    </row>
    <row r="207" spans="1:12" ht="16.2" customHeight="1">
      <c r="A207" s="3" t="s">
        <v>692</v>
      </c>
      <c r="B207" s="3" t="s">
        <v>693</v>
      </c>
      <c r="C207" s="3">
        <v>45</v>
      </c>
      <c r="D207" s="3" t="s">
        <v>14</v>
      </c>
      <c r="E207" s="3" t="s">
        <v>15</v>
      </c>
      <c r="F207" s="3" t="s">
        <v>127</v>
      </c>
      <c r="G207" s="3" t="s">
        <v>104</v>
      </c>
      <c r="H207" s="3" t="s">
        <v>454</v>
      </c>
      <c r="I207" s="3" t="s">
        <v>133</v>
      </c>
      <c r="J207" s="3">
        <v>15000</v>
      </c>
      <c r="K207" s="3" t="s">
        <v>29</v>
      </c>
      <c r="L207" s="3" t="s">
        <v>21</v>
      </c>
    </row>
    <row r="208" spans="1:12" ht="16.2" customHeight="1">
      <c r="A208" s="2" t="s">
        <v>694</v>
      </c>
      <c r="B208" s="2" t="s">
        <v>695</v>
      </c>
      <c r="C208" s="2">
        <v>61</v>
      </c>
      <c r="D208" s="2" t="s">
        <v>14</v>
      </c>
      <c r="E208" s="2" t="s">
        <v>52</v>
      </c>
      <c r="F208" s="2" t="s">
        <v>25</v>
      </c>
      <c r="G208" s="2" t="s">
        <v>48</v>
      </c>
      <c r="H208" s="2" t="s">
        <v>154</v>
      </c>
      <c r="I208" s="2" t="s">
        <v>696</v>
      </c>
      <c r="J208" s="2">
        <v>25000</v>
      </c>
      <c r="K208" s="2" t="s">
        <v>29</v>
      </c>
      <c r="L208" s="2" t="s">
        <v>55</v>
      </c>
    </row>
    <row r="209" spans="1:12" ht="16.2" customHeight="1">
      <c r="A209" s="3" t="s">
        <v>697</v>
      </c>
      <c r="B209" s="3" t="s">
        <v>698</v>
      </c>
      <c r="C209" s="3">
        <v>56</v>
      </c>
      <c r="D209" s="3" t="s">
        <v>299</v>
      </c>
      <c r="E209" s="3" t="s">
        <v>33</v>
      </c>
      <c r="F209" s="3" t="s">
        <v>132</v>
      </c>
      <c r="G209" s="3" t="s">
        <v>35</v>
      </c>
      <c r="H209" s="3" t="s">
        <v>218</v>
      </c>
      <c r="I209" s="3" t="s">
        <v>166</v>
      </c>
      <c r="J209" s="3">
        <v>25000</v>
      </c>
      <c r="K209" s="3" t="s">
        <v>29</v>
      </c>
      <c r="L209" s="3" t="s">
        <v>87</v>
      </c>
    </row>
    <row r="210" spans="1:12" ht="16.2" customHeight="1">
      <c r="A210" s="2" t="s">
        <v>699</v>
      </c>
      <c r="B210" s="2" t="s">
        <v>700</v>
      </c>
      <c r="C210" s="2">
        <v>47</v>
      </c>
      <c r="D210" s="2" t="s">
        <v>32</v>
      </c>
      <c r="E210" s="2" t="s">
        <v>52</v>
      </c>
      <c r="F210" s="2" t="s">
        <v>450</v>
      </c>
      <c r="G210" s="2" t="s">
        <v>35</v>
      </c>
      <c r="H210" s="2" t="s">
        <v>701</v>
      </c>
      <c r="I210" s="2" t="s">
        <v>702</v>
      </c>
      <c r="J210" s="2">
        <v>15000</v>
      </c>
      <c r="K210" s="2" t="s">
        <v>20</v>
      </c>
      <c r="L210" s="2" t="s">
        <v>55</v>
      </c>
    </row>
    <row r="211" spans="1:12" ht="16.2" customHeight="1">
      <c r="A211" s="3" t="s">
        <v>703</v>
      </c>
      <c r="B211" s="3" t="s">
        <v>704</v>
      </c>
      <c r="C211" s="3">
        <v>31</v>
      </c>
      <c r="D211" s="3" t="s">
        <v>14</v>
      </c>
      <c r="E211" s="3" t="s">
        <v>52</v>
      </c>
      <c r="F211" s="3" t="s">
        <v>16</v>
      </c>
      <c r="G211" s="3" t="s">
        <v>53</v>
      </c>
      <c r="H211" s="3" t="s">
        <v>464</v>
      </c>
      <c r="I211" s="3" t="s">
        <v>393</v>
      </c>
      <c r="J211" s="3">
        <v>75000</v>
      </c>
      <c r="K211" s="3" t="s">
        <v>67</v>
      </c>
      <c r="L211" s="3" t="s">
        <v>87</v>
      </c>
    </row>
    <row r="212" spans="1:12" ht="16.2" customHeight="1">
      <c r="A212" s="2" t="s">
        <v>705</v>
      </c>
      <c r="B212" s="2" t="s">
        <v>706</v>
      </c>
      <c r="C212" s="2">
        <v>54</v>
      </c>
      <c r="D212" s="2" t="s">
        <v>32</v>
      </c>
      <c r="E212" s="2" t="s">
        <v>109</v>
      </c>
      <c r="F212" s="2" t="s">
        <v>42</v>
      </c>
      <c r="G212" s="2" t="s">
        <v>48</v>
      </c>
      <c r="H212" s="2" t="s">
        <v>185</v>
      </c>
      <c r="I212" s="2" t="s">
        <v>360</v>
      </c>
      <c r="J212" s="2">
        <v>15000</v>
      </c>
      <c r="K212" s="2" t="s">
        <v>29</v>
      </c>
      <c r="L212" s="2" t="s">
        <v>87</v>
      </c>
    </row>
    <row r="213" spans="1:12" ht="16.2" customHeight="1">
      <c r="A213" s="3" t="s">
        <v>707</v>
      </c>
      <c r="B213" s="3" t="s">
        <v>623</v>
      </c>
      <c r="C213" s="3">
        <v>56</v>
      </c>
      <c r="D213" s="3" t="s">
        <v>14</v>
      </c>
      <c r="E213" s="3" t="s">
        <v>85</v>
      </c>
      <c r="F213" s="3" t="s">
        <v>42</v>
      </c>
      <c r="G213" s="3" t="s">
        <v>53</v>
      </c>
      <c r="H213" s="3" t="s">
        <v>94</v>
      </c>
      <c r="I213" s="3" t="s">
        <v>28</v>
      </c>
      <c r="J213" s="3">
        <v>12000</v>
      </c>
      <c r="K213" s="3" t="s">
        <v>37</v>
      </c>
      <c r="L213" s="3" t="s">
        <v>55</v>
      </c>
    </row>
    <row r="214" spans="1:12" ht="16.2" customHeight="1">
      <c r="A214" s="2" t="s">
        <v>708</v>
      </c>
      <c r="B214" s="2" t="s">
        <v>291</v>
      </c>
      <c r="C214" s="2">
        <v>30</v>
      </c>
      <c r="D214" s="2" t="s">
        <v>32</v>
      </c>
      <c r="E214" s="2" t="s">
        <v>109</v>
      </c>
      <c r="F214" s="2" t="s">
        <v>25</v>
      </c>
      <c r="G214" s="2" t="s">
        <v>26</v>
      </c>
      <c r="H214" s="2" t="s">
        <v>82</v>
      </c>
      <c r="I214" s="2" t="s">
        <v>237</v>
      </c>
      <c r="J214" s="2">
        <v>35000</v>
      </c>
      <c r="K214" s="2" t="s">
        <v>37</v>
      </c>
      <c r="L214" s="2" t="s">
        <v>87</v>
      </c>
    </row>
    <row r="215" spans="1:12" ht="16.2" customHeight="1">
      <c r="A215" s="3" t="s">
        <v>709</v>
      </c>
      <c r="B215" s="3" t="s">
        <v>473</v>
      </c>
      <c r="C215" s="3">
        <v>18</v>
      </c>
      <c r="D215" s="3" t="s">
        <v>14</v>
      </c>
      <c r="E215" s="3" t="s">
        <v>15</v>
      </c>
      <c r="F215" s="3" t="s">
        <v>25</v>
      </c>
      <c r="G215" s="3" t="s">
        <v>99</v>
      </c>
      <c r="H215" s="3" t="s">
        <v>313</v>
      </c>
      <c r="I215" s="3" t="s">
        <v>457</v>
      </c>
      <c r="J215" s="3">
        <v>75000</v>
      </c>
      <c r="K215" s="3" t="s">
        <v>37</v>
      </c>
      <c r="L215" s="3" t="s">
        <v>55</v>
      </c>
    </row>
    <row r="216" spans="1:12" ht="16.2" customHeight="1">
      <c r="A216" s="2" t="s">
        <v>710</v>
      </c>
      <c r="B216" s="2" t="s">
        <v>711</v>
      </c>
      <c r="C216" s="2">
        <v>23</v>
      </c>
      <c r="D216" s="2" t="s">
        <v>32</v>
      </c>
      <c r="E216" s="2" t="s">
        <v>122</v>
      </c>
      <c r="F216" s="2" t="s">
        <v>132</v>
      </c>
      <c r="G216" s="2" t="s">
        <v>35</v>
      </c>
      <c r="H216" s="2" t="s">
        <v>471</v>
      </c>
      <c r="I216" s="2" t="s">
        <v>274</v>
      </c>
      <c r="J216" s="2">
        <v>100000</v>
      </c>
      <c r="K216" s="2" t="s">
        <v>37</v>
      </c>
      <c r="L216" s="2" t="s">
        <v>21</v>
      </c>
    </row>
    <row r="217" spans="1:12" ht="16.2" customHeight="1">
      <c r="A217" s="3" t="s">
        <v>712</v>
      </c>
      <c r="B217" s="3" t="s">
        <v>713</v>
      </c>
      <c r="C217" s="3">
        <v>81</v>
      </c>
      <c r="D217" s="3" t="s">
        <v>32</v>
      </c>
      <c r="E217" s="3" t="s">
        <v>33</v>
      </c>
      <c r="F217" s="3" t="s">
        <v>127</v>
      </c>
      <c r="G217" s="3" t="s">
        <v>17</v>
      </c>
      <c r="H217" s="3" t="s">
        <v>714</v>
      </c>
      <c r="I217" s="3" t="s">
        <v>715</v>
      </c>
      <c r="J217" s="3">
        <v>100000</v>
      </c>
      <c r="K217" s="3" t="s">
        <v>29</v>
      </c>
      <c r="L217" s="3" t="s">
        <v>87</v>
      </c>
    </row>
    <row r="218" spans="1:12" ht="16.2" customHeight="1">
      <c r="A218" s="2" t="s">
        <v>716</v>
      </c>
      <c r="B218" s="2" t="s">
        <v>298</v>
      </c>
      <c r="C218" s="2">
        <v>45</v>
      </c>
      <c r="D218" s="2" t="s">
        <v>14</v>
      </c>
      <c r="E218" s="2" t="s">
        <v>33</v>
      </c>
      <c r="F218" s="2" t="s">
        <v>34</v>
      </c>
      <c r="G218" s="2" t="s">
        <v>17</v>
      </c>
      <c r="H218" s="2" t="s">
        <v>106</v>
      </c>
      <c r="I218" s="2" t="s">
        <v>194</v>
      </c>
      <c r="J218" s="2">
        <v>15000</v>
      </c>
      <c r="K218" s="2" t="s">
        <v>67</v>
      </c>
      <c r="L218" s="2" t="s">
        <v>87</v>
      </c>
    </row>
    <row r="219" spans="1:12" ht="16.2" customHeight="1">
      <c r="A219" s="3" t="s">
        <v>717</v>
      </c>
      <c r="B219" s="3" t="s">
        <v>718</v>
      </c>
      <c r="C219" s="3">
        <v>67</v>
      </c>
      <c r="D219" s="3" t="s">
        <v>14</v>
      </c>
      <c r="E219" s="3" t="s">
        <v>109</v>
      </c>
      <c r="F219" s="3" t="s">
        <v>132</v>
      </c>
      <c r="G219" s="3" t="s">
        <v>104</v>
      </c>
      <c r="H219" s="3" t="s">
        <v>551</v>
      </c>
      <c r="I219" s="3" t="s">
        <v>719</v>
      </c>
      <c r="J219" s="3">
        <v>35000</v>
      </c>
      <c r="K219" s="3" t="s">
        <v>67</v>
      </c>
      <c r="L219" s="3" t="s">
        <v>87</v>
      </c>
    </row>
    <row r="220" spans="1:12" ht="16.2" customHeight="1">
      <c r="A220" s="2" t="s">
        <v>720</v>
      </c>
      <c r="B220" s="2" t="s">
        <v>721</v>
      </c>
      <c r="C220" s="2" t="s">
        <v>519</v>
      </c>
      <c r="D220" s="2" t="s">
        <v>321</v>
      </c>
      <c r="E220" s="2" t="s">
        <v>15</v>
      </c>
      <c r="F220" s="2" t="s">
        <v>132</v>
      </c>
      <c r="G220" s="2" t="s">
        <v>26</v>
      </c>
      <c r="H220" s="2" t="s">
        <v>722</v>
      </c>
      <c r="I220" s="2" t="s">
        <v>133</v>
      </c>
      <c r="J220" s="2">
        <v>5000</v>
      </c>
      <c r="K220" s="2" t="s">
        <v>67</v>
      </c>
      <c r="L220" s="2" t="s">
        <v>55</v>
      </c>
    </row>
    <row r="221" spans="1:12" ht="16.2" customHeight="1">
      <c r="A221" s="3" t="s">
        <v>723</v>
      </c>
      <c r="B221" s="3" t="s">
        <v>724</v>
      </c>
      <c r="C221" s="3">
        <v>76</v>
      </c>
      <c r="D221" s="3" t="s">
        <v>32</v>
      </c>
      <c r="E221" s="3" t="s">
        <v>15</v>
      </c>
      <c r="F221" s="3" t="s">
        <v>132</v>
      </c>
      <c r="G221" s="3" t="s">
        <v>53</v>
      </c>
      <c r="H221" s="3" t="s">
        <v>495</v>
      </c>
      <c r="I221" s="3" t="s">
        <v>725</v>
      </c>
      <c r="J221" s="3">
        <v>12000</v>
      </c>
      <c r="K221" s="3" t="s">
        <v>20</v>
      </c>
      <c r="L221" s="3" t="s">
        <v>21</v>
      </c>
    </row>
    <row r="222" spans="1:12" ht="16.2" customHeight="1">
      <c r="A222" s="2" t="s">
        <v>726</v>
      </c>
      <c r="B222" s="2" t="s">
        <v>727</v>
      </c>
      <c r="C222" s="2">
        <v>24</v>
      </c>
      <c r="D222" s="2" t="s">
        <v>14</v>
      </c>
      <c r="E222" s="2" t="s">
        <v>85</v>
      </c>
      <c r="F222" s="2" t="s">
        <v>132</v>
      </c>
      <c r="G222" s="2" t="s">
        <v>17</v>
      </c>
      <c r="H222" s="2" t="s">
        <v>728</v>
      </c>
      <c r="I222" s="2" t="s">
        <v>729</v>
      </c>
      <c r="J222" s="2">
        <v>20000</v>
      </c>
      <c r="K222" s="2" t="s">
        <v>67</v>
      </c>
      <c r="L222" s="2" t="s">
        <v>21</v>
      </c>
    </row>
    <row r="223" spans="1:12" ht="16.2" customHeight="1">
      <c r="A223" s="3" t="s">
        <v>730</v>
      </c>
      <c r="B223" s="3" t="s">
        <v>731</v>
      </c>
      <c r="C223" s="3">
        <v>55</v>
      </c>
      <c r="D223" s="3" t="s">
        <v>14</v>
      </c>
      <c r="E223" s="3" t="s">
        <v>33</v>
      </c>
      <c r="F223" s="3" t="s">
        <v>16</v>
      </c>
      <c r="G223" s="3" t="s">
        <v>53</v>
      </c>
      <c r="H223" s="3" t="s">
        <v>583</v>
      </c>
      <c r="I223" s="3" t="s">
        <v>685</v>
      </c>
      <c r="J223" s="3">
        <v>8000</v>
      </c>
      <c r="K223" s="3" t="s">
        <v>29</v>
      </c>
      <c r="L223" s="3" t="s">
        <v>55</v>
      </c>
    </row>
    <row r="224" spans="1:12" ht="16.2" customHeight="1">
      <c r="A224" s="2" t="s">
        <v>732</v>
      </c>
      <c r="B224" s="2" t="s">
        <v>733</v>
      </c>
      <c r="C224" s="2">
        <v>61</v>
      </c>
      <c r="D224" s="2" t="s">
        <v>14</v>
      </c>
      <c r="E224" s="2" t="s">
        <v>58</v>
      </c>
      <c r="F224" s="2" t="s">
        <v>188</v>
      </c>
      <c r="G224" s="2" t="s">
        <v>99</v>
      </c>
      <c r="H224" s="2" t="s">
        <v>483</v>
      </c>
      <c r="I224" s="2" t="s">
        <v>574</v>
      </c>
      <c r="J224" s="2">
        <v>50000</v>
      </c>
      <c r="K224" s="2" t="s">
        <v>67</v>
      </c>
      <c r="L224" s="2" t="s">
        <v>38</v>
      </c>
    </row>
    <row r="225" spans="1:12" ht="16.2" customHeight="1">
      <c r="A225" s="3" t="s">
        <v>734</v>
      </c>
      <c r="B225" s="3" t="s">
        <v>735</v>
      </c>
      <c r="C225" s="3">
        <v>15</v>
      </c>
      <c r="D225" s="3" t="s">
        <v>32</v>
      </c>
      <c r="E225" s="3" t="s">
        <v>70</v>
      </c>
      <c r="F225" s="3" t="s">
        <v>132</v>
      </c>
      <c r="G225" s="3" t="s">
        <v>48</v>
      </c>
      <c r="H225" s="3" t="s">
        <v>736</v>
      </c>
      <c r="I225" s="3" t="s">
        <v>91</v>
      </c>
      <c r="J225" s="3">
        <v>8000</v>
      </c>
      <c r="K225" s="3" t="s">
        <v>29</v>
      </c>
      <c r="L225" s="3" t="s">
        <v>21</v>
      </c>
    </row>
    <row r="226" spans="1:12" ht="16.2" customHeight="1">
      <c r="A226" s="2" t="s">
        <v>737</v>
      </c>
      <c r="B226" s="2" t="s">
        <v>291</v>
      </c>
      <c r="C226" s="2">
        <v>34</v>
      </c>
      <c r="D226" s="2" t="s">
        <v>14</v>
      </c>
      <c r="E226" s="2" t="s">
        <v>109</v>
      </c>
      <c r="F226" s="2" t="s">
        <v>16</v>
      </c>
      <c r="G226" s="2" t="s">
        <v>53</v>
      </c>
      <c r="H226" s="2" t="s">
        <v>370</v>
      </c>
      <c r="I226" s="2" t="s">
        <v>738</v>
      </c>
      <c r="J226" s="2">
        <v>12000</v>
      </c>
      <c r="K226" s="2" t="s">
        <v>29</v>
      </c>
      <c r="L226" s="2" t="s">
        <v>38</v>
      </c>
    </row>
    <row r="227" spans="1:12" ht="16.2" customHeight="1">
      <c r="A227" s="3" t="s">
        <v>739</v>
      </c>
      <c r="B227" s="3" t="s">
        <v>740</v>
      </c>
      <c r="C227" s="3">
        <v>28</v>
      </c>
      <c r="D227" s="3" t="s">
        <v>14</v>
      </c>
      <c r="E227" s="3" t="s">
        <v>230</v>
      </c>
      <c r="F227" s="3" t="s">
        <v>34</v>
      </c>
      <c r="G227" s="3" t="s">
        <v>26</v>
      </c>
      <c r="H227" s="3" t="s">
        <v>741</v>
      </c>
      <c r="I227" s="3" t="s">
        <v>742</v>
      </c>
      <c r="J227" s="3">
        <v>50000</v>
      </c>
      <c r="K227" s="3" t="s">
        <v>67</v>
      </c>
      <c r="L227" s="3" t="s">
        <v>87</v>
      </c>
    </row>
    <row r="228" spans="1:12" ht="16.2" customHeight="1">
      <c r="A228" s="2" t="s">
        <v>743</v>
      </c>
      <c r="B228" s="2" t="s">
        <v>744</v>
      </c>
      <c r="C228" s="2">
        <v>84</v>
      </c>
      <c r="D228" s="2" t="s">
        <v>32</v>
      </c>
      <c r="E228" s="2" t="s">
        <v>52</v>
      </c>
      <c r="F228" s="2" t="s">
        <v>16</v>
      </c>
      <c r="G228" s="2" t="s">
        <v>35</v>
      </c>
      <c r="H228" s="2" t="s">
        <v>745</v>
      </c>
      <c r="I228" s="2" t="s">
        <v>184</v>
      </c>
      <c r="J228" s="2">
        <v>20000</v>
      </c>
      <c r="K228" s="2" t="s">
        <v>37</v>
      </c>
      <c r="L228" s="2" t="s">
        <v>38</v>
      </c>
    </row>
    <row r="229" spans="1:12" ht="16.2" customHeight="1">
      <c r="A229" s="3" t="s">
        <v>746</v>
      </c>
      <c r="B229" s="3" t="s">
        <v>547</v>
      </c>
      <c r="C229" s="3">
        <v>81</v>
      </c>
      <c r="D229" s="3" t="s">
        <v>14</v>
      </c>
      <c r="E229" s="3" t="s">
        <v>52</v>
      </c>
      <c r="F229" s="3" t="s">
        <v>16</v>
      </c>
      <c r="G229" s="3" t="s">
        <v>17</v>
      </c>
      <c r="H229" s="3" t="s">
        <v>545</v>
      </c>
      <c r="I229" s="3" t="s">
        <v>310</v>
      </c>
      <c r="J229" s="3">
        <v>75000</v>
      </c>
      <c r="K229" s="3" t="s">
        <v>67</v>
      </c>
      <c r="L229" s="3" t="s">
        <v>55</v>
      </c>
    </row>
    <row r="230" spans="1:12" ht="16.2" customHeight="1">
      <c r="A230" s="2" t="s">
        <v>747</v>
      </c>
      <c r="B230" s="2" t="s">
        <v>748</v>
      </c>
      <c r="C230" s="2">
        <v>6</v>
      </c>
      <c r="D230" s="2" t="s">
        <v>32</v>
      </c>
      <c r="E230" s="2" t="s">
        <v>52</v>
      </c>
      <c r="F230" s="2" t="s">
        <v>16</v>
      </c>
      <c r="G230" s="2" t="s">
        <v>99</v>
      </c>
      <c r="H230" s="2" t="s">
        <v>749</v>
      </c>
      <c r="I230" s="2" t="s">
        <v>750</v>
      </c>
      <c r="J230" s="2">
        <v>15000</v>
      </c>
      <c r="K230" s="2" t="s">
        <v>20</v>
      </c>
      <c r="L230" s="2" t="s">
        <v>38</v>
      </c>
    </row>
    <row r="231" spans="1:12" ht="16.2" customHeight="1">
      <c r="A231" s="3" t="s">
        <v>751</v>
      </c>
      <c r="B231" s="3" t="s">
        <v>408</v>
      </c>
      <c r="C231" s="3">
        <v>14</v>
      </c>
      <c r="D231" s="3" t="s">
        <v>32</v>
      </c>
      <c r="E231" s="3" t="s">
        <v>70</v>
      </c>
      <c r="F231" s="3" t="s">
        <v>201</v>
      </c>
      <c r="G231" s="3" t="s">
        <v>53</v>
      </c>
      <c r="H231" s="3" t="s">
        <v>123</v>
      </c>
      <c r="I231" s="3" t="s">
        <v>752</v>
      </c>
      <c r="J231" s="3">
        <v>8000</v>
      </c>
      <c r="K231" s="3" t="s">
        <v>20</v>
      </c>
      <c r="L231" s="3" t="s">
        <v>38</v>
      </c>
    </row>
    <row r="232" spans="1:12" ht="16.2" customHeight="1">
      <c r="A232" s="2" t="s">
        <v>753</v>
      </c>
      <c r="B232" s="2" t="s">
        <v>655</v>
      </c>
      <c r="C232" s="2">
        <v>150</v>
      </c>
      <c r="D232" s="2" t="s">
        <v>321</v>
      </c>
      <c r="E232" s="2" t="s">
        <v>122</v>
      </c>
      <c r="F232" s="2" t="s">
        <v>76</v>
      </c>
      <c r="G232" s="2" t="s">
        <v>99</v>
      </c>
      <c r="H232" s="2" t="s">
        <v>209</v>
      </c>
      <c r="I232" s="2" t="s">
        <v>754</v>
      </c>
      <c r="J232" s="2">
        <v>25000</v>
      </c>
      <c r="K232" s="2" t="s">
        <v>37</v>
      </c>
      <c r="L232" s="2" t="s">
        <v>87</v>
      </c>
    </row>
    <row r="233" spans="1:12" ht="16.2" customHeight="1">
      <c r="A233" s="3" t="s">
        <v>755</v>
      </c>
      <c r="B233" s="3" t="s">
        <v>756</v>
      </c>
      <c r="C233" s="3">
        <v>54</v>
      </c>
      <c r="D233" s="3" t="s">
        <v>506</v>
      </c>
      <c r="E233" s="3" t="s">
        <v>58</v>
      </c>
      <c r="F233" s="3" t="s">
        <v>25</v>
      </c>
      <c r="G233" s="3" t="s">
        <v>104</v>
      </c>
      <c r="H233" s="3" t="s">
        <v>471</v>
      </c>
      <c r="I233" s="3" t="s">
        <v>63</v>
      </c>
      <c r="J233" s="3">
        <v>75000</v>
      </c>
      <c r="K233" s="3" t="s">
        <v>67</v>
      </c>
      <c r="L233" s="3" t="s">
        <v>21</v>
      </c>
    </row>
    <row r="234" spans="1:12" ht="16.2" customHeight="1">
      <c r="A234" s="2" t="s">
        <v>757</v>
      </c>
      <c r="B234" s="2" t="s">
        <v>758</v>
      </c>
      <c r="C234" s="2">
        <v>60</v>
      </c>
      <c r="D234" s="2" t="s">
        <v>14</v>
      </c>
      <c r="E234" s="2" t="s">
        <v>15</v>
      </c>
      <c r="F234" s="2" t="s">
        <v>34</v>
      </c>
      <c r="G234" s="2" t="s">
        <v>104</v>
      </c>
      <c r="H234" s="2" t="s">
        <v>410</v>
      </c>
      <c r="I234" s="2" t="s">
        <v>759</v>
      </c>
      <c r="J234" s="2">
        <v>100000</v>
      </c>
      <c r="K234" s="2" t="s">
        <v>20</v>
      </c>
      <c r="L234" s="2" t="s">
        <v>55</v>
      </c>
    </row>
    <row r="235" spans="1:12" ht="16.2" customHeight="1">
      <c r="A235" s="3" t="s">
        <v>760</v>
      </c>
      <c r="B235" s="3" t="s">
        <v>761</v>
      </c>
      <c r="C235" s="3">
        <v>69</v>
      </c>
      <c r="D235" s="3" t="s">
        <v>14</v>
      </c>
      <c r="E235" s="3" t="s">
        <v>109</v>
      </c>
      <c r="F235" s="3" t="s">
        <v>127</v>
      </c>
      <c r="G235" s="3" t="s">
        <v>26</v>
      </c>
      <c r="H235" s="3" t="s">
        <v>754</v>
      </c>
      <c r="I235" s="3" t="s">
        <v>128</v>
      </c>
      <c r="J235" s="3">
        <v>50000</v>
      </c>
      <c r="K235" s="3" t="s">
        <v>191</v>
      </c>
      <c r="L235" s="3" t="s">
        <v>55</v>
      </c>
    </row>
    <row r="236" spans="1:12" ht="16.2" customHeight="1">
      <c r="A236" s="2" t="s">
        <v>762</v>
      </c>
      <c r="B236" s="2" t="s">
        <v>763</v>
      </c>
      <c r="C236" s="2">
        <v>19</v>
      </c>
      <c r="D236" s="2" t="s">
        <v>14</v>
      </c>
      <c r="E236" s="2" t="s">
        <v>70</v>
      </c>
      <c r="F236" s="2" t="s">
        <v>42</v>
      </c>
      <c r="G236" s="2" t="s">
        <v>104</v>
      </c>
      <c r="H236" s="2" t="s">
        <v>764</v>
      </c>
      <c r="I236" s="2" t="s">
        <v>765</v>
      </c>
      <c r="J236" s="2">
        <v>25000</v>
      </c>
      <c r="K236" s="2" t="s">
        <v>67</v>
      </c>
      <c r="L236" s="2" t="s">
        <v>87</v>
      </c>
    </row>
    <row r="237" spans="1:12" ht="16.2" customHeight="1">
      <c r="A237" s="3" t="s">
        <v>766</v>
      </c>
      <c r="B237" s="3" t="s">
        <v>740</v>
      </c>
      <c r="C237" s="3">
        <v>26</v>
      </c>
      <c r="D237" s="3" t="s">
        <v>32</v>
      </c>
      <c r="E237" s="3" t="s">
        <v>52</v>
      </c>
      <c r="F237" s="3" t="s">
        <v>25</v>
      </c>
      <c r="G237" s="3" t="s">
        <v>104</v>
      </c>
      <c r="H237" s="3" t="s">
        <v>390</v>
      </c>
      <c r="I237" s="3" t="s">
        <v>60</v>
      </c>
      <c r="J237" s="3">
        <v>12000</v>
      </c>
      <c r="K237" s="3"/>
      <c r="L237" s="3" t="s">
        <v>55</v>
      </c>
    </row>
    <row r="238" spans="1:12" ht="16.2" customHeight="1">
      <c r="A238" s="2" t="s">
        <v>767</v>
      </c>
      <c r="B238" s="2" t="s">
        <v>768</v>
      </c>
      <c r="C238" s="2">
        <v>3</v>
      </c>
      <c r="D238" s="2" t="s">
        <v>506</v>
      </c>
      <c r="E238" s="2" t="s">
        <v>140</v>
      </c>
      <c r="F238" s="2" t="s">
        <v>34</v>
      </c>
      <c r="G238" s="2" t="s">
        <v>35</v>
      </c>
      <c r="H238" s="2" t="s">
        <v>628</v>
      </c>
      <c r="I238" s="2" t="s">
        <v>769</v>
      </c>
      <c r="J238" s="2">
        <v>35000</v>
      </c>
      <c r="K238" s="2" t="s">
        <v>37</v>
      </c>
      <c r="L238" s="2" t="s">
        <v>38</v>
      </c>
    </row>
    <row r="239" spans="1:12" ht="16.2" customHeight="1">
      <c r="A239" s="3" t="s">
        <v>770</v>
      </c>
      <c r="B239" s="3" t="s">
        <v>771</v>
      </c>
      <c r="C239" s="3">
        <v>84</v>
      </c>
      <c r="D239" s="3" t="s">
        <v>14</v>
      </c>
      <c r="E239" s="3" t="s">
        <v>52</v>
      </c>
      <c r="F239" s="3" t="s">
        <v>132</v>
      </c>
      <c r="G239" s="3" t="s">
        <v>48</v>
      </c>
      <c r="H239" s="3" t="s">
        <v>772</v>
      </c>
      <c r="I239" s="3" t="s">
        <v>684</v>
      </c>
      <c r="J239" s="3">
        <v>-1000</v>
      </c>
      <c r="K239" s="3" t="s">
        <v>67</v>
      </c>
      <c r="L239" s="3" t="s">
        <v>55</v>
      </c>
    </row>
    <row r="240" spans="1:12" ht="16.2" customHeight="1">
      <c r="A240" s="2" t="s">
        <v>773</v>
      </c>
      <c r="B240" s="2" t="s">
        <v>774</v>
      </c>
      <c r="C240" s="2" t="s">
        <v>775</v>
      </c>
      <c r="D240" s="2" t="s">
        <v>32</v>
      </c>
      <c r="E240" s="2" t="s">
        <v>47</v>
      </c>
      <c r="F240" s="2" t="s">
        <v>42</v>
      </c>
      <c r="G240" s="2" t="s">
        <v>99</v>
      </c>
      <c r="H240" s="2" t="s">
        <v>776</v>
      </c>
      <c r="I240" s="2" t="s">
        <v>777</v>
      </c>
      <c r="J240" s="2">
        <v>12000</v>
      </c>
      <c r="K240" s="2" t="s">
        <v>37</v>
      </c>
      <c r="L240" s="2"/>
    </row>
    <row r="241" spans="1:12" ht="16.2" customHeight="1">
      <c r="A241" s="3" t="s">
        <v>778</v>
      </c>
      <c r="B241" s="3" t="s">
        <v>779</v>
      </c>
      <c r="C241" s="3">
        <v>18</v>
      </c>
      <c r="D241" s="3" t="s">
        <v>32</v>
      </c>
      <c r="E241" s="3" t="s">
        <v>109</v>
      </c>
      <c r="F241" s="3" t="s">
        <v>25</v>
      </c>
      <c r="G241" s="3" t="s">
        <v>48</v>
      </c>
      <c r="H241" s="3" t="s">
        <v>223</v>
      </c>
      <c r="I241" s="3" t="s">
        <v>577</v>
      </c>
      <c r="J241" s="3">
        <v>15000</v>
      </c>
      <c r="K241" s="3" t="s">
        <v>37</v>
      </c>
      <c r="L241" s="3" t="s">
        <v>38</v>
      </c>
    </row>
    <row r="242" spans="1:12" ht="16.2" customHeight="1">
      <c r="A242" s="2" t="s">
        <v>780</v>
      </c>
      <c r="B242" s="2" t="s">
        <v>781</v>
      </c>
      <c r="C242" s="2">
        <v>40</v>
      </c>
      <c r="D242" s="2" t="s">
        <v>14</v>
      </c>
      <c r="E242" s="2" t="s">
        <v>70</v>
      </c>
      <c r="F242" s="2" t="s">
        <v>42</v>
      </c>
      <c r="G242" s="2" t="s">
        <v>104</v>
      </c>
      <c r="H242" s="2" t="s">
        <v>383</v>
      </c>
      <c r="I242" s="2" t="s">
        <v>171</v>
      </c>
      <c r="J242" s="2">
        <v>50000</v>
      </c>
      <c r="K242" s="2" t="s">
        <v>67</v>
      </c>
      <c r="L242" s="2" t="s">
        <v>38</v>
      </c>
    </row>
    <row r="243" spans="1:12" ht="16.2" customHeight="1">
      <c r="A243" s="3" t="s">
        <v>782</v>
      </c>
      <c r="B243" s="3" t="s">
        <v>783</v>
      </c>
      <c r="C243" s="3" t="s">
        <v>775</v>
      </c>
      <c r="D243" s="3" t="s">
        <v>14</v>
      </c>
      <c r="E243" s="3" t="s">
        <v>24</v>
      </c>
      <c r="F243" s="3" t="s">
        <v>16</v>
      </c>
      <c r="G243" s="3" t="s">
        <v>35</v>
      </c>
      <c r="H243" s="3" t="s">
        <v>179</v>
      </c>
      <c r="I243" s="3" t="s">
        <v>621</v>
      </c>
      <c r="J243" s="3">
        <v>5000</v>
      </c>
      <c r="K243" s="3" t="s">
        <v>37</v>
      </c>
      <c r="L243" s="3" t="s">
        <v>38</v>
      </c>
    </row>
    <row r="244" spans="1:12" ht="16.2" customHeight="1">
      <c r="A244" s="2" t="s">
        <v>784</v>
      </c>
      <c r="B244" s="2" t="s">
        <v>432</v>
      </c>
      <c r="C244" s="2">
        <v>47</v>
      </c>
      <c r="D244" s="2" t="s">
        <v>14</v>
      </c>
      <c r="E244" s="2" t="s">
        <v>85</v>
      </c>
      <c r="F244" s="2" t="s">
        <v>34</v>
      </c>
      <c r="G244" s="2" t="s">
        <v>104</v>
      </c>
      <c r="H244" s="2" t="s">
        <v>785</v>
      </c>
      <c r="I244" s="2" t="s">
        <v>786</v>
      </c>
      <c r="J244" s="2">
        <v>20000</v>
      </c>
      <c r="K244" s="2" t="s">
        <v>29</v>
      </c>
      <c r="L244" s="2" t="s">
        <v>38</v>
      </c>
    </row>
    <row r="245" spans="1:12" ht="16.2" customHeight="1">
      <c r="A245" s="3" t="s">
        <v>787</v>
      </c>
      <c r="B245" s="3" t="s">
        <v>51</v>
      </c>
      <c r="C245" s="3">
        <v>47</v>
      </c>
      <c r="D245" s="3" t="s">
        <v>14</v>
      </c>
      <c r="E245" s="3" t="s">
        <v>33</v>
      </c>
      <c r="F245" s="3" t="s">
        <v>76</v>
      </c>
      <c r="G245" s="3" t="s">
        <v>53</v>
      </c>
      <c r="H245" s="3" t="s">
        <v>788</v>
      </c>
      <c r="I245" s="3" t="s">
        <v>789</v>
      </c>
      <c r="J245" s="3"/>
      <c r="K245" s="3" t="s">
        <v>29</v>
      </c>
      <c r="L245" s="3" t="s">
        <v>21</v>
      </c>
    </row>
    <row r="246" spans="1:12" ht="16.2" customHeight="1">
      <c r="A246" s="2" t="s">
        <v>790</v>
      </c>
      <c r="B246" s="2" t="s">
        <v>791</v>
      </c>
      <c r="C246" s="2">
        <v>61</v>
      </c>
      <c r="D246" s="2" t="s">
        <v>14</v>
      </c>
      <c r="E246" s="2" t="s">
        <v>254</v>
      </c>
      <c r="F246" s="2" t="s">
        <v>132</v>
      </c>
      <c r="G246" s="2" t="s">
        <v>99</v>
      </c>
      <c r="H246" s="2" t="s">
        <v>269</v>
      </c>
      <c r="I246" s="2" t="s">
        <v>296</v>
      </c>
      <c r="J246" s="2">
        <v>12000</v>
      </c>
      <c r="K246" s="2" t="s">
        <v>67</v>
      </c>
      <c r="L246" s="2" t="s">
        <v>55</v>
      </c>
    </row>
    <row r="247" spans="1:12" ht="16.2" customHeight="1">
      <c r="A247" s="3" t="s">
        <v>792</v>
      </c>
      <c r="B247" s="3" t="s">
        <v>247</v>
      </c>
      <c r="C247" s="3">
        <v>68</v>
      </c>
      <c r="D247" s="3" t="s">
        <v>506</v>
      </c>
      <c r="E247" s="3" t="s">
        <v>109</v>
      </c>
      <c r="F247" s="3" t="s">
        <v>25</v>
      </c>
      <c r="G247" s="3" t="s">
        <v>17</v>
      </c>
      <c r="H247" s="3" t="s">
        <v>793</v>
      </c>
      <c r="I247" s="3" t="s">
        <v>520</v>
      </c>
      <c r="J247" s="3">
        <v>15000</v>
      </c>
      <c r="K247" s="3" t="s">
        <v>67</v>
      </c>
      <c r="L247" s="3" t="s">
        <v>38</v>
      </c>
    </row>
    <row r="248" spans="1:12" ht="16.2" customHeight="1">
      <c r="A248" s="2" t="s">
        <v>794</v>
      </c>
      <c r="B248" s="2" t="s">
        <v>795</v>
      </c>
      <c r="C248" s="2">
        <v>31</v>
      </c>
      <c r="D248" s="2" t="s">
        <v>32</v>
      </c>
      <c r="E248" s="2" t="s">
        <v>52</v>
      </c>
      <c r="F248" s="2" t="s">
        <v>127</v>
      </c>
      <c r="G248" s="2" t="s">
        <v>48</v>
      </c>
      <c r="H248" s="2" t="s">
        <v>94</v>
      </c>
      <c r="I248" s="2" t="s">
        <v>545</v>
      </c>
      <c r="J248" s="2">
        <v>999999999</v>
      </c>
      <c r="K248" s="2" t="s">
        <v>20</v>
      </c>
      <c r="L248" s="2" t="s">
        <v>38</v>
      </c>
    </row>
    <row r="249" spans="1:12" ht="16.2" customHeight="1">
      <c r="A249" s="3" t="s">
        <v>796</v>
      </c>
      <c r="B249" s="3" t="s">
        <v>251</v>
      </c>
      <c r="C249" s="3">
        <v>21</v>
      </c>
      <c r="D249" s="3" t="s">
        <v>32</v>
      </c>
      <c r="E249" s="3" t="s">
        <v>52</v>
      </c>
      <c r="F249" s="3" t="s">
        <v>489</v>
      </c>
      <c r="G249" s="3" t="s">
        <v>99</v>
      </c>
      <c r="H249" s="3" t="s">
        <v>797</v>
      </c>
      <c r="I249" s="3" t="s">
        <v>798</v>
      </c>
      <c r="J249" s="3">
        <v>8000</v>
      </c>
      <c r="K249" s="3" t="s">
        <v>67</v>
      </c>
      <c r="L249" s="3" t="s">
        <v>87</v>
      </c>
    </row>
    <row r="250" spans="1:12" ht="16.2" customHeight="1">
      <c r="A250" s="2" t="s">
        <v>799</v>
      </c>
      <c r="B250" s="2" t="s">
        <v>721</v>
      </c>
      <c r="C250" s="2">
        <v>23</v>
      </c>
      <c r="D250" s="2"/>
      <c r="E250" s="2" t="s">
        <v>70</v>
      </c>
      <c r="F250" s="2" t="s">
        <v>127</v>
      </c>
      <c r="G250" s="2" t="s">
        <v>17</v>
      </c>
      <c r="H250" s="2" t="s">
        <v>524</v>
      </c>
      <c r="I250" s="2" t="s">
        <v>728</v>
      </c>
      <c r="J250" s="2">
        <v>50000</v>
      </c>
      <c r="K250" s="2" t="s">
        <v>29</v>
      </c>
      <c r="L250" s="2" t="s">
        <v>87</v>
      </c>
    </row>
    <row r="251" spans="1:12" ht="16.2" customHeight="1">
      <c r="A251" s="3" t="s">
        <v>800</v>
      </c>
      <c r="B251" s="3" t="s">
        <v>801</v>
      </c>
      <c r="C251" s="3">
        <v>34</v>
      </c>
      <c r="D251" s="3" t="s">
        <v>690</v>
      </c>
      <c r="E251" s="3" t="s">
        <v>70</v>
      </c>
      <c r="F251" s="3" t="s">
        <v>25</v>
      </c>
      <c r="G251" s="3" t="s">
        <v>48</v>
      </c>
      <c r="H251" s="3" t="s">
        <v>280</v>
      </c>
      <c r="I251" s="3" t="s">
        <v>374</v>
      </c>
      <c r="J251" s="3">
        <v>20000</v>
      </c>
      <c r="K251" s="3" t="s">
        <v>37</v>
      </c>
      <c r="L251" s="3" t="s">
        <v>87</v>
      </c>
    </row>
    <row r="252" spans="1:12" ht="16.2" customHeight="1">
      <c r="A252" s="2" t="s">
        <v>802</v>
      </c>
      <c r="B252" s="2" t="s">
        <v>803</v>
      </c>
      <c r="C252" s="2">
        <v>49</v>
      </c>
      <c r="D252" s="2" t="s">
        <v>14</v>
      </c>
      <c r="E252" s="2" t="s">
        <v>85</v>
      </c>
      <c r="F252" s="2" t="s">
        <v>16</v>
      </c>
      <c r="G252" s="2" t="s">
        <v>53</v>
      </c>
      <c r="H252" s="2" t="s">
        <v>804</v>
      </c>
      <c r="I252" s="2" t="s">
        <v>347</v>
      </c>
      <c r="J252" s="2">
        <v>8000</v>
      </c>
      <c r="K252" s="2" t="s">
        <v>227</v>
      </c>
      <c r="L252" s="2" t="s">
        <v>21</v>
      </c>
    </row>
    <row r="253" spans="1:12" ht="16.2" customHeight="1">
      <c r="A253" s="3" t="s">
        <v>805</v>
      </c>
      <c r="B253" s="3" t="s">
        <v>352</v>
      </c>
      <c r="C253" s="3">
        <v>61</v>
      </c>
      <c r="D253" s="3" t="s">
        <v>14</v>
      </c>
      <c r="E253" s="3" t="s">
        <v>33</v>
      </c>
      <c r="F253" s="3" t="s">
        <v>34</v>
      </c>
      <c r="G253" s="3" t="s">
        <v>99</v>
      </c>
      <c r="H253" s="3" t="s">
        <v>728</v>
      </c>
      <c r="I253" s="3" t="s">
        <v>806</v>
      </c>
      <c r="J253" s="3">
        <v>12000</v>
      </c>
      <c r="K253" s="3" t="s">
        <v>29</v>
      </c>
      <c r="L253" s="3" t="s">
        <v>55</v>
      </c>
    </row>
    <row r="254" spans="1:12" ht="16.2" customHeight="1">
      <c r="A254" s="2" t="s">
        <v>807</v>
      </c>
      <c r="B254" s="2" t="s">
        <v>808</v>
      </c>
      <c r="C254" s="2">
        <v>69</v>
      </c>
      <c r="D254" s="2" t="s">
        <v>14</v>
      </c>
      <c r="E254" s="2" t="s">
        <v>15</v>
      </c>
      <c r="F254" s="2" t="s">
        <v>76</v>
      </c>
      <c r="G254" s="2" t="s">
        <v>53</v>
      </c>
      <c r="H254" s="2" t="s">
        <v>809</v>
      </c>
      <c r="I254" s="2" t="s">
        <v>810</v>
      </c>
      <c r="J254" s="2">
        <v>5000</v>
      </c>
      <c r="K254" s="2" t="s">
        <v>20</v>
      </c>
      <c r="L254" s="2" t="s">
        <v>55</v>
      </c>
    </row>
    <row r="255" spans="1:12" ht="16.2" customHeight="1">
      <c r="A255" s="3" t="s">
        <v>811</v>
      </c>
      <c r="B255" s="3" t="s">
        <v>812</v>
      </c>
      <c r="C255" s="3">
        <v>15</v>
      </c>
      <c r="D255" s="3" t="s">
        <v>14</v>
      </c>
      <c r="E255" s="3" t="s">
        <v>15</v>
      </c>
      <c r="F255" s="3" t="s">
        <v>34</v>
      </c>
      <c r="G255" s="3" t="s">
        <v>53</v>
      </c>
      <c r="H255" s="3" t="s">
        <v>631</v>
      </c>
      <c r="I255" s="3" t="s">
        <v>492</v>
      </c>
      <c r="J255" s="3">
        <v>5000</v>
      </c>
      <c r="K255" s="3" t="s">
        <v>20</v>
      </c>
      <c r="L255" s="3" t="s">
        <v>87</v>
      </c>
    </row>
    <row r="256" spans="1:12" ht="16.2" customHeight="1">
      <c r="A256" s="2" t="s">
        <v>813</v>
      </c>
      <c r="B256" s="2" t="s">
        <v>814</v>
      </c>
      <c r="C256" s="2">
        <v>11</v>
      </c>
      <c r="D256" s="2" t="s">
        <v>32</v>
      </c>
      <c r="E256" s="2" t="s">
        <v>70</v>
      </c>
      <c r="F256" s="2" t="s">
        <v>76</v>
      </c>
      <c r="G256" s="2" t="s">
        <v>104</v>
      </c>
      <c r="H256" s="2" t="s">
        <v>295</v>
      </c>
      <c r="I256" s="2" t="s">
        <v>138</v>
      </c>
      <c r="J256" s="2">
        <v>5000</v>
      </c>
      <c r="K256" s="2" t="s">
        <v>67</v>
      </c>
      <c r="L256" s="2" t="s">
        <v>21</v>
      </c>
    </row>
    <row r="257" spans="1:12" ht="16.2" customHeight="1">
      <c r="A257" s="3" t="s">
        <v>815</v>
      </c>
      <c r="B257" s="3" t="s">
        <v>537</v>
      </c>
      <c r="C257" s="3">
        <v>37</v>
      </c>
      <c r="D257" s="3" t="s">
        <v>14</v>
      </c>
      <c r="E257" s="3" t="s">
        <v>70</v>
      </c>
      <c r="F257" s="3" t="s">
        <v>76</v>
      </c>
      <c r="G257" s="3" t="s">
        <v>104</v>
      </c>
      <c r="H257" s="3" t="s">
        <v>816</v>
      </c>
      <c r="I257" s="3" t="s">
        <v>314</v>
      </c>
      <c r="J257" s="3">
        <v>12000</v>
      </c>
      <c r="K257" s="3" t="s">
        <v>67</v>
      </c>
      <c r="L257" s="3" t="s">
        <v>38</v>
      </c>
    </row>
    <row r="258" spans="1:12" ht="16.2" customHeight="1">
      <c r="A258" s="2" t="s">
        <v>817</v>
      </c>
      <c r="B258" s="2" t="s">
        <v>212</v>
      </c>
      <c r="C258" s="2">
        <v>70</v>
      </c>
      <c r="D258" s="2" t="s">
        <v>32</v>
      </c>
      <c r="E258" s="2" t="s">
        <v>33</v>
      </c>
      <c r="F258" s="2" t="s">
        <v>25</v>
      </c>
      <c r="G258" s="2" t="s">
        <v>104</v>
      </c>
      <c r="H258" s="2" t="s">
        <v>818</v>
      </c>
      <c r="I258" s="2" t="s">
        <v>764</v>
      </c>
      <c r="J258" s="2">
        <v>35000</v>
      </c>
      <c r="K258" s="2" t="s">
        <v>29</v>
      </c>
      <c r="L258" s="2" t="s">
        <v>38</v>
      </c>
    </row>
    <row r="259" spans="1:12" ht="16.2" customHeight="1">
      <c r="A259" s="3" t="s">
        <v>819</v>
      </c>
      <c r="B259" s="3" t="s">
        <v>820</v>
      </c>
      <c r="C259" s="3">
        <v>150</v>
      </c>
      <c r="D259" s="3" t="s">
        <v>32</v>
      </c>
      <c r="E259" s="3" t="s">
        <v>85</v>
      </c>
      <c r="F259" s="3" t="s">
        <v>25</v>
      </c>
      <c r="G259" s="3" t="s">
        <v>104</v>
      </c>
      <c r="H259" s="3" t="s">
        <v>821</v>
      </c>
      <c r="I259" s="3" t="s">
        <v>164</v>
      </c>
      <c r="J259" s="3">
        <v>35000</v>
      </c>
      <c r="K259" s="3" t="s">
        <v>67</v>
      </c>
      <c r="L259" s="3" t="s">
        <v>55</v>
      </c>
    </row>
    <row r="260" spans="1:12" ht="16.2" customHeight="1">
      <c r="A260" s="2" t="s">
        <v>822</v>
      </c>
      <c r="B260" s="2" t="s">
        <v>823</v>
      </c>
      <c r="C260" s="2">
        <v>42</v>
      </c>
      <c r="D260" s="2" t="s">
        <v>32</v>
      </c>
      <c r="E260" s="2" t="s">
        <v>15</v>
      </c>
      <c r="F260" s="2" t="s">
        <v>132</v>
      </c>
      <c r="G260" s="2" t="s">
        <v>104</v>
      </c>
      <c r="H260" s="2" t="s">
        <v>124</v>
      </c>
      <c r="I260" s="2" t="s">
        <v>824</v>
      </c>
      <c r="J260" s="2">
        <v>75000</v>
      </c>
      <c r="K260" s="2" t="s">
        <v>67</v>
      </c>
      <c r="L260" s="2" t="s">
        <v>55</v>
      </c>
    </row>
    <row r="261" spans="1:12" ht="16.2" customHeight="1">
      <c r="A261" s="3" t="s">
        <v>825</v>
      </c>
      <c r="B261" s="3" t="s">
        <v>826</v>
      </c>
      <c r="C261" s="3">
        <v>34</v>
      </c>
      <c r="D261" s="3" t="s">
        <v>32</v>
      </c>
      <c r="E261" s="3" t="s">
        <v>15</v>
      </c>
      <c r="F261" s="3" t="s">
        <v>76</v>
      </c>
      <c r="G261" s="3" t="s">
        <v>99</v>
      </c>
      <c r="H261" s="3" t="s">
        <v>662</v>
      </c>
      <c r="I261" s="3" t="s">
        <v>620</v>
      </c>
      <c r="J261" s="3">
        <v>12000</v>
      </c>
      <c r="K261" s="3" t="s">
        <v>29</v>
      </c>
      <c r="L261" s="3" t="s">
        <v>87</v>
      </c>
    </row>
    <row r="262" spans="1:12" ht="16.2" customHeight="1">
      <c r="A262" s="2" t="s">
        <v>827</v>
      </c>
      <c r="B262" s="2" t="s">
        <v>779</v>
      </c>
      <c r="C262" s="2">
        <v>57</v>
      </c>
      <c r="D262" s="2" t="s">
        <v>32</v>
      </c>
      <c r="E262" s="2" t="s">
        <v>70</v>
      </c>
      <c r="F262" s="2" t="s">
        <v>42</v>
      </c>
      <c r="G262" s="2" t="s">
        <v>35</v>
      </c>
      <c r="H262" s="2" t="s">
        <v>828</v>
      </c>
      <c r="I262" s="2" t="s">
        <v>223</v>
      </c>
      <c r="J262" s="2">
        <v>50000</v>
      </c>
      <c r="K262" s="2" t="s">
        <v>29</v>
      </c>
      <c r="L262" s="2" t="s">
        <v>21</v>
      </c>
    </row>
    <row r="263" spans="1:12" ht="16.2" customHeight="1">
      <c r="A263" s="3" t="s">
        <v>829</v>
      </c>
      <c r="B263" s="3" t="s">
        <v>156</v>
      </c>
      <c r="C263" s="3">
        <v>6</v>
      </c>
      <c r="D263" s="3" t="s">
        <v>299</v>
      </c>
      <c r="E263" s="3" t="s">
        <v>33</v>
      </c>
      <c r="F263" s="3" t="s">
        <v>34</v>
      </c>
      <c r="G263" s="3" t="s">
        <v>53</v>
      </c>
      <c r="H263" s="3" t="s">
        <v>184</v>
      </c>
      <c r="I263" s="3" t="s">
        <v>715</v>
      </c>
      <c r="J263" s="3">
        <v>35000</v>
      </c>
      <c r="K263" s="3" t="s">
        <v>67</v>
      </c>
      <c r="L263" s="3" t="s">
        <v>38</v>
      </c>
    </row>
    <row r="264" spans="1:12" ht="16.2" customHeight="1">
      <c r="A264" s="2" t="s">
        <v>829</v>
      </c>
      <c r="B264" s="2" t="s">
        <v>156</v>
      </c>
      <c r="C264" s="2">
        <v>6</v>
      </c>
      <c r="D264" s="2" t="s">
        <v>486</v>
      </c>
      <c r="E264" s="2" t="s">
        <v>33</v>
      </c>
      <c r="F264" s="2" t="s">
        <v>34</v>
      </c>
      <c r="G264" s="2" t="s">
        <v>53</v>
      </c>
      <c r="H264" s="2" t="s">
        <v>184</v>
      </c>
      <c r="I264" s="2" t="s">
        <v>715</v>
      </c>
      <c r="J264" s="2">
        <v>35000</v>
      </c>
      <c r="K264" s="2" t="s">
        <v>67</v>
      </c>
      <c r="L264" s="2" t="s">
        <v>38</v>
      </c>
    </row>
    <row r="265" spans="1:12" ht="16.2" customHeight="1">
      <c r="A265" s="3" t="s">
        <v>830</v>
      </c>
      <c r="B265" s="3" t="s">
        <v>713</v>
      </c>
      <c r="C265" s="3" t="s">
        <v>775</v>
      </c>
      <c r="D265" s="3" t="s">
        <v>32</v>
      </c>
      <c r="E265" s="3" t="s">
        <v>15</v>
      </c>
      <c r="F265" s="3" t="s">
        <v>25</v>
      </c>
      <c r="G265" s="3" t="s">
        <v>99</v>
      </c>
      <c r="H265" s="3" t="s">
        <v>248</v>
      </c>
      <c r="I265" s="3" t="s">
        <v>289</v>
      </c>
      <c r="J265" s="3">
        <v>12000</v>
      </c>
      <c r="K265" s="3" t="s">
        <v>67</v>
      </c>
      <c r="L265" s="3" t="s">
        <v>55</v>
      </c>
    </row>
    <row r="266" spans="1:12" ht="16.2" customHeight="1">
      <c r="A266" s="2" t="s">
        <v>831</v>
      </c>
      <c r="B266" s="2" t="s">
        <v>84</v>
      </c>
      <c r="C266" s="2">
        <v>50</v>
      </c>
      <c r="D266" s="2" t="s">
        <v>32</v>
      </c>
      <c r="E266" s="2" t="s">
        <v>109</v>
      </c>
      <c r="F266" s="2" t="s">
        <v>832</v>
      </c>
      <c r="G266" s="2" t="s">
        <v>48</v>
      </c>
      <c r="H266" s="2" t="s">
        <v>604</v>
      </c>
      <c r="I266" s="2" t="s">
        <v>613</v>
      </c>
      <c r="J266" s="2">
        <v>15000</v>
      </c>
      <c r="K266" s="2" t="s">
        <v>37</v>
      </c>
      <c r="L266" s="2" t="s">
        <v>87</v>
      </c>
    </row>
    <row r="267" spans="1:12" ht="16.2" customHeight="1">
      <c r="A267" s="3" t="s">
        <v>833</v>
      </c>
      <c r="B267" s="3" t="s">
        <v>834</v>
      </c>
      <c r="C267" s="3">
        <v>3</v>
      </c>
      <c r="D267" s="3" t="s">
        <v>32</v>
      </c>
      <c r="E267" s="3" t="s">
        <v>85</v>
      </c>
      <c r="F267" s="3" t="s">
        <v>25</v>
      </c>
      <c r="G267" s="3" t="s">
        <v>53</v>
      </c>
      <c r="H267" s="3" t="s">
        <v>835</v>
      </c>
      <c r="I267" s="3" t="s">
        <v>434</v>
      </c>
      <c r="J267" s="3">
        <v>25000</v>
      </c>
      <c r="K267" s="3" t="s">
        <v>29</v>
      </c>
      <c r="L267" s="3" t="s">
        <v>38</v>
      </c>
    </row>
    <row r="268" spans="1:12" ht="16.2" customHeight="1">
      <c r="A268" s="2" t="s">
        <v>836</v>
      </c>
      <c r="B268" s="2" t="s">
        <v>229</v>
      </c>
      <c r="C268" s="2">
        <v>36</v>
      </c>
      <c r="D268" s="2" t="s">
        <v>32</v>
      </c>
      <c r="E268" s="2" t="s">
        <v>33</v>
      </c>
      <c r="F268" s="2" t="s">
        <v>34</v>
      </c>
      <c r="G268" s="2" t="s">
        <v>53</v>
      </c>
      <c r="H268" s="2" t="s">
        <v>339</v>
      </c>
      <c r="I268" s="2" t="s">
        <v>330</v>
      </c>
      <c r="J268" s="2">
        <v>25000</v>
      </c>
      <c r="K268" s="2" t="s">
        <v>37</v>
      </c>
      <c r="L268" s="2" t="s">
        <v>87</v>
      </c>
    </row>
    <row r="269" spans="1:12" ht="16.2" customHeight="1">
      <c r="A269" s="3" t="s">
        <v>837</v>
      </c>
      <c r="B269" s="3" t="s">
        <v>838</v>
      </c>
      <c r="C269" s="3">
        <v>75</v>
      </c>
      <c r="D269" s="3" t="s">
        <v>32</v>
      </c>
      <c r="E269" s="3" t="s">
        <v>58</v>
      </c>
      <c r="F269" s="3" t="s">
        <v>16</v>
      </c>
      <c r="G269" s="3" t="s">
        <v>48</v>
      </c>
      <c r="H269" s="3" t="s">
        <v>839</v>
      </c>
      <c r="I269" s="3" t="s">
        <v>166</v>
      </c>
      <c r="J269" s="3">
        <v>5000</v>
      </c>
      <c r="K269" s="3" t="s">
        <v>20</v>
      </c>
      <c r="L269" s="3" t="s">
        <v>55</v>
      </c>
    </row>
    <row r="270" spans="1:12" ht="16.2" customHeight="1">
      <c r="A270" s="2" t="s">
        <v>840</v>
      </c>
      <c r="B270" s="2" t="s">
        <v>841</v>
      </c>
      <c r="C270" s="2">
        <v>76</v>
      </c>
      <c r="D270" s="2" t="s">
        <v>32</v>
      </c>
      <c r="E270" s="2" t="s">
        <v>85</v>
      </c>
      <c r="F270" s="2" t="s">
        <v>25</v>
      </c>
      <c r="G270" s="2" t="s">
        <v>53</v>
      </c>
      <c r="H270" s="2" t="s">
        <v>842</v>
      </c>
      <c r="I270" s="2" t="s">
        <v>317</v>
      </c>
      <c r="J270" s="2">
        <v>50000</v>
      </c>
      <c r="K270" s="2" t="s">
        <v>67</v>
      </c>
      <c r="L270" s="2" t="s">
        <v>87</v>
      </c>
    </row>
    <row r="271" spans="1:12" ht="16.2" customHeight="1">
      <c r="A271" s="3" t="s">
        <v>843</v>
      </c>
      <c r="B271" s="3" t="s">
        <v>661</v>
      </c>
      <c r="C271" s="3"/>
      <c r="D271" s="3" t="s">
        <v>32</v>
      </c>
      <c r="E271" s="3" t="s">
        <v>15</v>
      </c>
      <c r="F271" s="3" t="s">
        <v>16</v>
      </c>
      <c r="G271" s="3" t="s">
        <v>48</v>
      </c>
      <c r="H271" s="3" t="s">
        <v>597</v>
      </c>
      <c r="I271" s="3" t="s">
        <v>242</v>
      </c>
      <c r="J271" s="3">
        <v>35000</v>
      </c>
      <c r="K271" s="3" t="s">
        <v>29</v>
      </c>
      <c r="L271" s="3" t="s">
        <v>55</v>
      </c>
    </row>
    <row r="272" spans="1:12" ht="16.2" customHeight="1">
      <c r="A272" s="2" t="s">
        <v>844</v>
      </c>
      <c r="B272" s="2" t="s">
        <v>845</v>
      </c>
      <c r="C272" s="2">
        <v>15</v>
      </c>
      <c r="D272" s="2" t="s">
        <v>14</v>
      </c>
      <c r="E272" s="2" t="s">
        <v>52</v>
      </c>
      <c r="F272" s="2" t="s">
        <v>25</v>
      </c>
      <c r="G272" s="2" t="s">
        <v>35</v>
      </c>
      <c r="H272" s="2" t="s">
        <v>492</v>
      </c>
      <c r="I272" s="2" t="s">
        <v>620</v>
      </c>
      <c r="J272" s="2">
        <v>20000</v>
      </c>
      <c r="K272" s="2" t="s">
        <v>67</v>
      </c>
      <c r="L272" s="2" t="s">
        <v>21</v>
      </c>
    </row>
    <row r="273" spans="1:12" ht="16.2" customHeight="1">
      <c r="A273" s="3" t="s">
        <v>846</v>
      </c>
      <c r="B273" s="3" t="s">
        <v>847</v>
      </c>
      <c r="C273" s="3">
        <v>2</v>
      </c>
      <c r="D273" s="3" t="s">
        <v>14</v>
      </c>
      <c r="E273" s="3" t="s">
        <v>52</v>
      </c>
      <c r="F273" s="3" t="s">
        <v>42</v>
      </c>
      <c r="G273" s="3" t="s">
        <v>35</v>
      </c>
      <c r="H273" s="3" t="s">
        <v>542</v>
      </c>
      <c r="I273" s="3" t="s">
        <v>185</v>
      </c>
      <c r="J273" s="3">
        <v>50000</v>
      </c>
      <c r="K273" s="3" t="s">
        <v>37</v>
      </c>
      <c r="L273" s="3" t="s">
        <v>55</v>
      </c>
    </row>
    <row r="274" spans="1:12" ht="16.2" customHeight="1">
      <c r="A274" s="2" t="s">
        <v>848</v>
      </c>
      <c r="B274" s="2" t="s">
        <v>320</v>
      </c>
      <c r="C274" s="2">
        <v>43</v>
      </c>
      <c r="D274" s="2" t="s">
        <v>32</v>
      </c>
      <c r="E274" s="2" t="s">
        <v>58</v>
      </c>
      <c r="F274" s="2" t="s">
        <v>132</v>
      </c>
      <c r="G274" s="2" t="s">
        <v>99</v>
      </c>
      <c r="H274" s="2" t="s">
        <v>583</v>
      </c>
      <c r="I274" s="2" t="s">
        <v>313</v>
      </c>
      <c r="J274" s="2">
        <v>8000</v>
      </c>
      <c r="K274" s="2" t="s">
        <v>37</v>
      </c>
      <c r="L274" s="2" t="s">
        <v>55</v>
      </c>
    </row>
    <row r="275" spans="1:12" ht="16.2" customHeight="1">
      <c r="A275" s="3" t="s">
        <v>849</v>
      </c>
      <c r="B275" s="3" t="s">
        <v>850</v>
      </c>
      <c r="C275" s="3"/>
      <c r="D275" s="3" t="s">
        <v>32</v>
      </c>
      <c r="E275" s="3" t="s">
        <v>70</v>
      </c>
      <c r="F275" s="3" t="s">
        <v>25</v>
      </c>
      <c r="G275" s="3" t="s">
        <v>99</v>
      </c>
      <c r="H275" s="3" t="s">
        <v>851</v>
      </c>
      <c r="I275" s="3" t="s">
        <v>852</v>
      </c>
      <c r="J275" s="3">
        <v>8000</v>
      </c>
      <c r="K275" s="3" t="s">
        <v>67</v>
      </c>
      <c r="L275" s="3" t="s">
        <v>38</v>
      </c>
    </row>
    <row r="276" spans="1:12" ht="16.2" customHeight="1">
      <c r="A276" s="2" t="s">
        <v>853</v>
      </c>
      <c r="B276" s="2" t="s">
        <v>854</v>
      </c>
      <c r="C276" s="2">
        <v>21</v>
      </c>
      <c r="D276" s="2" t="s">
        <v>32</v>
      </c>
      <c r="E276" s="2" t="s">
        <v>52</v>
      </c>
      <c r="F276" s="2" t="s">
        <v>34</v>
      </c>
      <c r="G276" s="2" t="s">
        <v>53</v>
      </c>
      <c r="H276" s="2" t="s">
        <v>394</v>
      </c>
      <c r="I276" s="2" t="s">
        <v>855</v>
      </c>
      <c r="J276" s="2">
        <v>12000</v>
      </c>
      <c r="K276" s="2" t="s">
        <v>37</v>
      </c>
      <c r="L276" s="2" t="s">
        <v>38</v>
      </c>
    </row>
    <row r="277" spans="1:12" ht="16.2" customHeight="1">
      <c r="A277" s="3" t="s">
        <v>856</v>
      </c>
      <c r="B277" s="3" t="s">
        <v>857</v>
      </c>
      <c r="C277" s="3">
        <v>67</v>
      </c>
      <c r="D277" s="3" t="s">
        <v>32</v>
      </c>
      <c r="E277" s="3" t="s">
        <v>300</v>
      </c>
      <c r="F277" s="3" t="s">
        <v>42</v>
      </c>
      <c r="G277" s="3" t="s">
        <v>35</v>
      </c>
      <c r="H277" s="3" t="s">
        <v>858</v>
      </c>
      <c r="I277" s="3" t="s">
        <v>562</v>
      </c>
      <c r="J277" s="3">
        <v>50000</v>
      </c>
      <c r="K277" s="3" t="s">
        <v>37</v>
      </c>
      <c r="L277" s="3" t="s">
        <v>38</v>
      </c>
    </row>
    <row r="278" spans="1:12" ht="16.2" customHeight="1">
      <c r="A278" s="2" t="s">
        <v>859</v>
      </c>
      <c r="B278" s="2" t="s">
        <v>860</v>
      </c>
      <c r="C278" s="2">
        <v>6</v>
      </c>
      <c r="D278" s="2" t="s">
        <v>32</v>
      </c>
      <c r="E278" s="2" t="s">
        <v>109</v>
      </c>
      <c r="F278" s="2" t="s">
        <v>16</v>
      </c>
      <c r="G278" s="2" t="s">
        <v>53</v>
      </c>
      <c r="H278" s="2" t="s">
        <v>764</v>
      </c>
      <c r="I278" s="2" t="s">
        <v>861</v>
      </c>
      <c r="J278" s="2">
        <v>15000</v>
      </c>
      <c r="K278" s="2" t="s">
        <v>67</v>
      </c>
      <c r="L278" s="2" t="s">
        <v>21</v>
      </c>
    </row>
    <row r="279" spans="1:12" ht="16.2" customHeight="1">
      <c r="A279" s="3" t="s">
        <v>862</v>
      </c>
      <c r="B279" s="3" t="s">
        <v>863</v>
      </c>
      <c r="C279" s="3">
        <v>66</v>
      </c>
      <c r="D279" s="3" t="s">
        <v>321</v>
      </c>
      <c r="E279" s="3" t="s">
        <v>15</v>
      </c>
      <c r="F279" s="3" t="s">
        <v>16</v>
      </c>
      <c r="G279" s="3" t="s">
        <v>104</v>
      </c>
      <c r="H279" s="3" t="s">
        <v>696</v>
      </c>
      <c r="I279" s="3" t="s">
        <v>864</v>
      </c>
      <c r="J279" s="3">
        <v>8000</v>
      </c>
      <c r="K279" s="3" t="s">
        <v>29</v>
      </c>
      <c r="L279" s="3" t="s">
        <v>38</v>
      </c>
    </row>
    <row r="280" spans="1:12" ht="16.2" customHeight="1">
      <c r="A280" s="2" t="s">
        <v>865</v>
      </c>
      <c r="B280" s="2" t="s">
        <v>866</v>
      </c>
      <c r="C280" s="2">
        <v>51</v>
      </c>
      <c r="D280" s="2" t="s">
        <v>14</v>
      </c>
      <c r="E280" s="2" t="s">
        <v>58</v>
      </c>
      <c r="F280" s="2" t="s">
        <v>25</v>
      </c>
      <c r="G280" s="2" t="s">
        <v>48</v>
      </c>
      <c r="H280" s="2" t="s">
        <v>176</v>
      </c>
      <c r="I280" s="2" t="s">
        <v>90</v>
      </c>
      <c r="J280" s="2">
        <v>100000</v>
      </c>
      <c r="K280" s="2" t="s">
        <v>29</v>
      </c>
      <c r="L280" s="2" t="s">
        <v>87</v>
      </c>
    </row>
    <row r="281" spans="1:12" ht="16.2" customHeight="1">
      <c r="A281" s="3" t="s">
        <v>867</v>
      </c>
      <c r="B281" s="3" t="s">
        <v>868</v>
      </c>
      <c r="C281" s="3">
        <v>18</v>
      </c>
      <c r="D281" s="3" t="s">
        <v>32</v>
      </c>
      <c r="E281" s="3" t="s">
        <v>52</v>
      </c>
      <c r="F281" s="3" t="s">
        <v>127</v>
      </c>
      <c r="G281" s="3" t="s">
        <v>26</v>
      </c>
      <c r="H281" s="3" t="s">
        <v>318</v>
      </c>
      <c r="I281" s="3" t="s">
        <v>394</v>
      </c>
      <c r="J281" s="3">
        <v>35000</v>
      </c>
      <c r="K281" s="3" t="s">
        <v>67</v>
      </c>
      <c r="L281" s="3" t="s">
        <v>38</v>
      </c>
    </row>
    <row r="282" spans="1:12" ht="16.2" customHeight="1">
      <c r="A282" s="2" t="s">
        <v>869</v>
      </c>
      <c r="B282" s="2" t="s">
        <v>870</v>
      </c>
      <c r="C282" s="2">
        <v>58</v>
      </c>
      <c r="D282" s="2" t="s">
        <v>32</v>
      </c>
      <c r="E282" s="2" t="s">
        <v>33</v>
      </c>
      <c r="F282" s="2" t="s">
        <v>42</v>
      </c>
      <c r="G282" s="2" t="s">
        <v>104</v>
      </c>
      <c r="H282" s="2" t="s">
        <v>310</v>
      </c>
      <c r="I282" s="2" t="s">
        <v>314</v>
      </c>
      <c r="J282" s="2">
        <v>8000</v>
      </c>
      <c r="K282" s="2" t="s">
        <v>67</v>
      </c>
      <c r="L282" s="2" t="s">
        <v>87</v>
      </c>
    </row>
    <row r="283" spans="1:12" ht="16.2" customHeight="1">
      <c r="A283" s="3" t="s">
        <v>871</v>
      </c>
      <c r="B283" s="3" t="s">
        <v>872</v>
      </c>
      <c r="C283" s="3">
        <v>44</v>
      </c>
      <c r="D283" s="3" t="s">
        <v>14</v>
      </c>
      <c r="E283" s="3" t="s">
        <v>109</v>
      </c>
      <c r="F283" s="3" t="s">
        <v>25</v>
      </c>
      <c r="G283" s="3" t="s">
        <v>104</v>
      </c>
      <c r="H283" s="3" t="s">
        <v>305</v>
      </c>
      <c r="I283" s="3" t="s">
        <v>873</v>
      </c>
      <c r="J283" s="3">
        <v>12000</v>
      </c>
      <c r="K283" s="3" t="s">
        <v>20</v>
      </c>
      <c r="L283" s="3" t="s">
        <v>38</v>
      </c>
    </row>
    <row r="284" spans="1:12" ht="16.2" customHeight="1">
      <c r="A284" s="2" t="s">
        <v>871</v>
      </c>
      <c r="B284" s="2" t="s">
        <v>872</v>
      </c>
      <c r="C284" s="2">
        <v>44</v>
      </c>
      <c r="D284" s="2" t="s">
        <v>14</v>
      </c>
      <c r="E284" s="2" t="s">
        <v>109</v>
      </c>
      <c r="F284" s="2" t="s">
        <v>25</v>
      </c>
      <c r="G284" s="2" t="s">
        <v>104</v>
      </c>
      <c r="H284" s="2" t="s">
        <v>305</v>
      </c>
      <c r="I284" s="2" t="s">
        <v>873</v>
      </c>
      <c r="J284" s="2">
        <v>12000</v>
      </c>
      <c r="K284" s="2" t="s">
        <v>20</v>
      </c>
      <c r="L284" s="2" t="s">
        <v>38</v>
      </c>
    </row>
    <row r="285" spans="1:12" ht="16.2" customHeight="1">
      <c r="A285" s="3" t="s">
        <v>874</v>
      </c>
      <c r="B285" s="3" t="s">
        <v>875</v>
      </c>
      <c r="C285" s="3">
        <v>43</v>
      </c>
      <c r="D285" s="3" t="s">
        <v>14</v>
      </c>
      <c r="E285" s="3" t="s">
        <v>33</v>
      </c>
      <c r="F285" s="3" t="s">
        <v>42</v>
      </c>
      <c r="G285" s="3" t="s">
        <v>99</v>
      </c>
      <c r="H285" s="3" t="s">
        <v>137</v>
      </c>
      <c r="I285" s="3" t="s">
        <v>741</v>
      </c>
      <c r="J285" s="3">
        <v>20000</v>
      </c>
      <c r="K285" s="3" t="s">
        <v>29</v>
      </c>
      <c r="L285" s="3" t="s">
        <v>38</v>
      </c>
    </row>
    <row r="286" spans="1:12" ht="16.2" customHeight="1">
      <c r="A286" s="2" t="s">
        <v>876</v>
      </c>
      <c r="B286" s="2" t="s">
        <v>845</v>
      </c>
      <c r="C286" s="2">
        <v>65</v>
      </c>
      <c r="D286" s="2" t="s">
        <v>506</v>
      </c>
      <c r="E286" s="2" t="s">
        <v>541</v>
      </c>
      <c r="F286" s="2" t="s">
        <v>16</v>
      </c>
      <c r="G286" s="2" t="s">
        <v>99</v>
      </c>
      <c r="H286" s="2" t="s">
        <v>877</v>
      </c>
      <c r="I286" s="2" t="s">
        <v>878</v>
      </c>
      <c r="J286" s="2">
        <v>100000</v>
      </c>
      <c r="K286" s="2" t="s">
        <v>37</v>
      </c>
      <c r="L286" s="2" t="s">
        <v>21</v>
      </c>
    </row>
    <row r="287" spans="1:12" ht="16.2" customHeight="1">
      <c r="A287" s="3" t="s">
        <v>876</v>
      </c>
      <c r="B287" s="3" t="s">
        <v>845</v>
      </c>
      <c r="C287" s="3">
        <v>65</v>
      </c>
      <c r="D287" s="3" t="s">
        <v>32</v>
      </c>
      <c r="E287" s="3" t="s">
        <v>70</v>
      </c>
      <c r="F287" s="3" t="s">
        <v>16</v>
      </c>
      <c r="G287" s="3" t="s">
        <v>99</v>
      </c>
      <c r="H287" s="3" t="s">
        <v>877</v>
      </c>
      <c r="I287" s="3" t="s">
        <v>878</v>
      </c>
      <c r="J287" s="3">
        <v>100000</v>
      </c>
      <c r="K287" s="3" t="s">
        <v>37</v>
      </c>
      <c r="L287" s="3" t="s">
        <v>21</v>
      </c>
    </row>
    <row r="288" spans="1:12" ht="16.2" customHeight="1">
      <c r="A288" s="2" t="s">
        <v>879</v>
      </c>
      <c r="B288" s="2" t="s">
        <v>880</v>
      </c>
      <c r="C288" s="2">
        <v>72</v>
      </c>
      <c r="D288" s="2" t="s">
        <v>14</v>
      </c>
      <c r="E288" s="2" t="s">
        <v>109</v>
      </c>
      <c r="F288" s="2" t="s">
        <v>42</v>
      </c>
      <c r="G288" s="2" t="s">
        <v>35</v>
      </c>
      <c r="H288" s="2" t="s">
        <v>881</v>
      </c>
      <c r="I288" s="2" t="s">
        <v>249</v>
      </c>
      <c r="J288" s="2">
        <v>35000</v>
      </c>
      <c r="K288" s="2" t="s">
        <v>37</v>
      </c>
      <c r="L288" s="2" t="s">
        <v>87</v>
      </c>
    </row>
    <row r="289" spans="1:12" ht="16.2" customHeight="1">
      <c r="A289" s="3" t="s">
        <v>882</v>
      </c>
      <c r="B289" s="3" t="s">
        <v>883</v>
      </c>
      <c r="C289" s="3"/>
      <c r="D289" s="3" t="s">
        <v>14</v>
      </c>
      <c r="E289" s="3" t="s">
        <v>70</v>
      </c>
      <c r="F289" s="3" t="s">
        <v>34</v>
      </c>
      <c r="G289" s="3" t="s">
        <v>104</v>
      </c>
      <c r="H289" s="3" t="s">
        <v>797</v>
      </c>
      <c r="I289" s="3" t="s">
        <v>884</v>
      </c>
      <c r="J289" s="3">
        <v>25000</v>
      </c>
      <c r="K289" s="3" t="s">
        <v>20</v>
      </c>
      <c r="L289" s="3" t="s">
        <v>38</v>
      </c>
    </row>
    <row r="290" spans="1:12" ht="16.2" customHeight="1">
      <c r="A290" s="2" t="s">
        <v>885</v>
      </c>
      <c r="B290" s="2" t="s">
        <v>116</v>
      </c>
      <c r="C290" s="2">
        <v>66</v>
      </c>
      <c r="D290" s="2" t="s">
        <v>14</v>
      </c>
      <c r="E290" s="2" t="s">
        <v>109</v>
      </c>
      <c r="F290" s="2" t="s">
        <v>132</v>
      </c>
      <c r="G290" s="2" t="s">
        <v>26</v>
      </c>
      <c r="H290" s="2" t="s">
        <v>194</v>
      </c>
      <c r="I290" s="2" t="s">
        <v>288</v>
      </c>
      <c r="J290" s="2">
        <v>20000</v>
      </c>
      <c r="K290" s="2" t="s">
        <v>20</v>
      </c>
      <c r="L290" s="2" t="s">
        <v>21</v>
      </c>
    </row>
    <row r="291" spans="1:12" ht="16.2" customHeight="1">
      <c r="A291" s="3" t="s">
        <v>886</v>
      </c>
      <c r="B291" s="3" t="s">
        <v>887</v>
      </c>
      <c r="C291" s="3">
        <v>57</v>
      </c>
      <c r="D291" s="3" t="s">
        <v>14</v>
      </c>
      <c r="E291" s="3" t="s">
        <v>58</v>
      </c>
      <c r="F291" s="3" t="s">
        <v>127</v>
      </c>
      <c r="G291" s="3" t="s">
        <v>99</v>
      </c>
      <c r="H291" s="3" t="s">
        <v>613</v>
      </c>
      <c r="I291" s="3" t="s">
        <v>419</v>
      </c>
      <c r="J291" s="3">
        <v>50000</v>
      </c>
      <c r="K291" s="3" t="s">
        <v>67</v>
      </c>
      <c r="L291" s="3" t="s">
        <v>87</v>
      </c>
    </row>
    <row r="292" spans="1:12" ht="16.2" customHeight="1">
      <c r="A292" s="2" t="s">
        <v>888</v>
      </c>
      <c r="B292" s="2" t="s">
        <v>889</v>
      </c>
      <c r="C292" s="2">
        <v>83</v>
      </c>
      <c r="D292" s="2" t="s">
        <v>41</v>
      </c>
      <c r="E292" s="2" t="s">
        <v>33</v>
      </c>
      <c r="F292" s="2" t="s">
        <v>132</v>
      </c>
      <c r="G292" s="2" t="s">
        <v>35</v>
      </c>
      <c r="H292" s="2" t="s">
        <v>280</v>
      </c>
      <c r="I292" s="2" t="s">
        <v>62</v>
      </c>
      <c r="J292" s="2">
        <v>50000</v>
      </c>
      <c r="K292" s="2" t="s">
        <v>37</v>
      </c>
      <c r="L292" s="2" t="s">
        <v>55</v>
      </c>
    </row>
    <row r="293" spans="1:12" ht="16.2" customHeight="1">
      <c r="A293" s="3" t="s">
        <v>890</v>
      </c>
      <c r="B293" s="3" t="s">
        <v>327</v>
      </c>
      <c r="C293" s="3">
        <v>48</v>
      </c>
      <c r="D293" s="3" t="s">
        <v>14</v>
      </c>
      <c r="E293" s="3" t="s">
        <v>140</v>
      </c>
      <c r="F293" s="3" t="s">
        <v>16</v>
      </c>
      <c r="G293" s="3" t="s">
        <v>48</v>
      </c>
      <c r="H293" s="3" t="s">
        <v>653</v>
      </c>
      <c r="I293" s="3" t="s">
        <v>265</v>
      </c>
      <c r="J293" s="3">
        <v>5000</v>
      </c>
      <c r="K293" s="3" t="s">
        <v>67</v>
      </c>
      <c r="L293" s="3" t="s">
        <v>21</v>
      </c>
    </row>
    <row r="294" spans="1:12" ht="16.2" customHeight="1">
      <c r="A294" s="2" t="s">
        <v>891</v>
      </c>
      <c r="B294" s="2" t="s">
        <v>892</v>
      </c>
      <c r="C294" s="2" t="s">
        <v>519</v>
      </c>
      <c r="D294" s="2" t="s">
        <v>41</v>
      </c>
      <c r="E294" s="2" t="s">
        <v>70</v>
      </c>
      <c r="F294" s="2" t="s">
        <v>127</v>
      </c>
      <c r="G294" s="2" t="s">
        <v>53</v>
      </c>
      <c r="H294" s="2" t="s">
        <v>893</v>
      </c>
      <c r="I294" s="2" t="s">
        <v>255</v>
      </c>
      <c r="J294" s="2">
        <v>50000</v>
      </c>
      <c r="K294" s="2" t="s">
        <v>29</v>
      </c>
      <c r="L294" s="2" t="s">
        <v>21</v>
      </c>
    </row>
    <row r="295" spans="1:12" ht="16.2" customHeight="1">
      <c r="A295" s="3" t="s">
        <v>894</v>
      </c>
      <c r="B295" s="3" t="s">
        <v>895</v>
      </c>
      <c r="C295" s="3">
        <v>64</v>
      </c>
      <c r="D295" s="3" t="s">
        <v>14</v>
      </c>
      <c r="E295" s="3" t="s">
        <v>15</v>
      </c>
      <c r="F295" s="3" t="s">
        <v>34</v>
      </c>
      <c r="G295" s="3" t="s">
        <v>53</v>
      </c>
      <c r="H295" s="3" t="s">
        <v>842</v>
      </c>
      <c r="I295" s="3" t="s">
        <v>363</v>
      </c>
      <c r="J295" s="3">
        <v>5000</v>
      </c>
      <c r="K295" s="3" t="s">
        <v>67</v>
      </c>
      <c r="L295" s="3" t="s">
        <v>55</v>
      </c>
    </row>
    <row r="296" spans="1:12" ht="16.2" customHeight="1">
      <c r="A296" s="2" t="s">
        <v>896</v>
      </c>
      <c r="B296" s="2" t="s">
        <v>897</v>
      </c>
      <c r="C296" s="2">
        <v>-5</v>
      </c>
      <c r="D296" s="2" t="s">
        <v>14</v>
      </c>
      <c r="E296" s="2" t="s">
        <v>70</v>
      </c>
      <c r="F296" s="2" t="s">
        <v>34</v>
      </c>
      <c r="G296" s="2" t="s">
        <v>35</v>
      </c>
      <c r="H296" s="2" t="s">
        <v>236</v>
      </c>
      <c r="I296" s="2" t="s">
        <v>95</v>
      </c>
      <c r="J296" s="2">
        <v>5000</v>
      </c>
      <c r="K296" s="2" t="s">
        <v>168</v>
      </c>
      <c r="L296" s="2" t="s">
        <v>21</v>
      </c>
    </row>
    <row r="297" spans="1:12" ht="16.2" customHeight="1">
      <c r="A297" s="3" t="s">
        <v>898</v>
      </c>
      <c r="B297" s="3" t="s">
        <v>899</v>
      </c>
      <c r="C297" s="3">
        <v>16</v>
      </c>
      <c r="D297" s="3" t="s">
        <v>287</v>
      </c>
      <c r="E297" s="3" t="s">
        <v>52</v>
      </c>
      <c r="F297" s="3" t="s">
        <v>16</v>
      </c>
      <c r="G297" s="3" t="s">
        <v>53</v>
      </c>
      <c r="H297" s="3" t="s">
        <v>128</v>
      </c>
      <c r="I297" s="3" t="s">
        <v>786</v>
      </c>
      <c r="J297" s="3">
        <v>35000</v>
      </c>
      <c r="K297" s="3" t="s">
        <v>37</v>
      </c>
      <c r="L297" s="3" t="s">
        <v>87</v>
      </c>
    </row>
    <row r="298" spans="1:12" ht="16.2" customHeight="1">
      <c r="A298" s="2" t="s">
        <v>900</v>
      </c>
      <c r="B298" s="2" t="s">
        <v>609</v>
      </c>
      <c r="C298" s="2">
        <v>63</v>
      </c>
      <c r="D298" s="2" t="s">
        <v>14</v>
      </c>
      <c r="E298" s="2" t="s">
        <v>85</v>
      </c>
      <c r="F298" s="2" t="s">
        <v>25</v>
      </c>
      <c r="G298" s="2" t="s">
        <v>99</v>
      </c>
      <c r="H298" s="2" t="s">
        <v>562</v>
      </c>
      <c r="I298" s="2" t="s">
        <v>164</v>
      </c>
      <c r="J298" s="2">
        <v>50000</v>
      </c>
      <c r="K298" s="2" t="s">
        <v>20</v>
      </c>
      <c r="L298" s="2" t="s">
        <v>55</v>
      </c>
    </row>
    <row r="299" spans="1:12" ht="16.2" customHeight="1">
      <c r="A299" s="3" t="s">
        <v>901</v>
      </c>
      <c r="B299" s="3" t="s">
        <v>902</v>
      </c>
      <c r="C299" s="3">
        <v>74</v>
      </c>
      <c r="D299" s="3" t="s">
        <v>14</v>
      </c>
      <c r="E299" s="3" t="s">
        <v>24</v>
      </c>
      <c r="F299" s="3" t="s">
        <v>25</v>
      </c>
      <c r="G299" s="3" t="s">
        <v>26</v>
      </c>
      <c r="H299" s="3" t="s">
        <v>620</v>
      </c>
      <c r="I299" s="3" t="s">
        <v>903</v>
      </c>
      <c r="J299" s="3">
        <v>15000</v>
      </c>
      <c r="K299" s="3" t="s">
        <v>20</v>
      </c>
      <c r="L299" s="3" t="s">
        <v>55</v>
      </c>
    </row>
    <row r="300" spans="1:12" ht="16.2" customHeight="1">
      <c r="A300" s="2" t="s">
        <v>904</v>
      </c>
      <c r="B300" s="2" t="s">
        <v>13</v>
      </c>
      <c r="C300" s="2">
        <v>28</v>
      </c>
      <c r="D300" s="2" t="s">
        <v>14</v>
      </c>
      <c r="E300" s="2" t="s">
        <v>441</v>
      </c>
      <c r="F300" s="2" t="s">
        <v>42</v>
      </c>
      <c r="G300" s="2" t="s">
        <v>99</v>
      </c>
      <c r="H300" s="2" t="s">
        <v>284</v>
      </c>
      <c r="I300" s="2" t="s">
        <v>905</v>
      </c>
      <c r="J300" s="2">
        <v>20000</v>
      </c>
      <c r="K300" s="2" t="s">
        <v>29</v>
      </c>
      <c r="L300" s="2" t="s">
        <v>38</v>
      </c>
    </row>
    <row r="301" spans="1:12" ht="16.2" customHeight="1">
      <c r="A301" s="3" t="s">
        <v>906</v>
      </c>
      <c r="B301" s="3" t="s">
        <v>907</v>
      </c>
      <c r="C301" s="3">
        <v>59</v>
      </c>
      <c r="D301" s="3" t="s">
        <v>32</v>
      </c>
      <c r="E301" s="3" t="s">
        <v>52</v>
      </c>
      <c r="F301" s="3" t="s">
        <v>42</v>
      </c>
      <c r="G301" s="3" t="s">
        <v>35</v>
      </c>
      <c r="H301" s="3" t="s">
        <v>124</v>
      </c>
      <c r="I301" s="3" t="s">
        <v>908</v>
      </c>
      <c r="J301" s="3">
        <v>20000</v>
      </c>
      <c r="K301" s="3" t="s">
        <v>20</v>
      </c>
      <c r="L301" s="3" t="s">
        <v>21</v>
      </c>
    </row>
    <row r="302" spans="1:12" ht="16.2" customHeight="1">
      <c r="A302" s="2" t="s">
        <v>909</v>
      </c>
      <c r="B302" s="2" t="s">
        <v>910</v>
      </c>
      <c r="C302" s="2">
        <v>81</v>
      </c>
      <c r="D302" s="2" t="s">
        <v>14</v>
      </c>
      <c r="E302" s="2" t="s">
        <v>33</v>
      </c>
      <c r="F302" s="2" t="s">
        <v>132</v>
      </c>
      <c r="G302" s="2" t="s">
        <v>99</v>
      </c>
      <c r="H302" s="2" t="s">
        <v>460</v>
      </c>
      <c r="I302" s="2" t="s">
        <v>101</v>
      </c>
      <c r="J302" s="2">
        <v>20000</v>
      </c>
      <c r="K302" s="2" t="s">
        <v>37</v>
      </c>
      <c r="L302" s="2" t="s">
        <v>55</v>
      </c>
    </row>
    <row r="303" spans="1:12" ht="16.2" customHeight="1">
      <c r="A303" s="3" t="s">
        <v>911</v>
      </c>
      <c r="B303" s="3" t="s">
        <v>912</v>
      </c>
      <c r="C303" s="3">
        <v>40</v>
      </c>
      <c r="D303" s="3" t="s">
        <v>14</v>
      </c>
      <c r="E303" s="3" t="s">
        <v>85</v>
      </c>
      <c r="F303" s="3" t="s">
        <v>127</v>
      </c>
      <c r="G303" s="3" t="s">
        <v>53</v>
      </c>
      <c r="H303" s="3" t="s">
        <v>164</v>
      </c>
      <c r="I303" s="3" t="s">
        <v>682</v>
      </c>
      <c r="J303" s="3">
        <v>100000</v>
      </c>
      <c r="K303" s="3" t="s">
        <v>20</v>
      </c>
      <c r="L303" s="3" t="s">
        <v>87</v>
      </c>
    </row>
    <row r="304" spans="1:12" ht="16.2" customHeight="1">
      <c r="A304" s="2" t="s">
        <v>913</v>
      </c>
      <c r="B304" s="2" t="s">
        <v>914</v>
      </c>
      <c r="C304" s="2">
        <v>34</v>
      </c>
      <c r="D304" s="2" t="s">
        <v>32</v>
      </c>
      <c r="E304" s="2" t="s">
        <v>109</v>
      </c>
      <c r="F304" s="2" t="s">
        <v>132</v>
      </c>
      <c r="G304" s="2" t="s">
        <v>35</v>
      </c>
      <c r="H304" s="2" t="s">
        <v>179</v>
      </c>
      <c r="I304" s="2" t="s">
        <v>621</v>
      </c>
      <c r="J304" s="2">
        <v>100000</v>
      </c>
      <c r="K304" s="2" t="s">
        <v>20</v>
      </c>
      <c r="L304" s="2" t="s">
        <v>87</v>
      </c>
    </row>
    <row r="305" spans="1:12" ht="16.2" customHeight="1">
      <c r="A305" s="3" t="s">
        <v>915</v>
      </c>
      <c r="B305" s="3" t="s">
        <v>916</v>
      </c>
      <c r="C305" s="3">
        <v>7</v>
      </c>
      <c r="D305" s="3" t="s">
        <v>32</v>
      </c>
      <c r="E305" s="3" t="s">
        <v>33</v>
      </c>
      <c r="F305" s="3" t="s">
        <v>25</v>
      </c>
      <c r="G305" s="3" t="s">
        <v>53</v>
      </c>
      <c r="H305" s="3" t="s">
        <v>232</v>
      </c>
      <c r="I305" s="3" t="s">
        <v>310</v>
      </c>
      <c r="J305" s="3">
        <v>35000</v>
      </c>
      <c r="K305" s="3" t="s">
        <v>67</v>
      </c>
      <c r="L305" s="3" t="s">
        <v>87</v>
      </c>
    </row>
    <row r="306" spans="1:12" ht="16.2" customHeight="1">
      <c r="A306" s="2" t="s">
        <v>917</v>
      </c>
      <c r="B306" s="2" t="s">
        <v>918</v>
      </c>
      <c r="C306" s="2">
        <v>34</v>
      </c>
      <c r="D306" s="2" t="s">
        <v>690</v>
      </c>
      <c r="E306" s="2" t="s">
        <v>15</v>
      </c>
      <c r="F306" s="2" t="s">
        <v>127</v>
      </c>
      <c r="G306" s="2" t="s">
        <v>48</v>
      </c>
      <c r="H306" s="2" t="s">
        <v>620</v>
      </c>
      <c r="I306" s="2" t="s">
        <v>347</v>
      </c>
      <c r="J306" s="2">
        <v>75000</v>
      </c>
      <c r="K306" s="2" t="s">
        <v>37</v>
      </c>
      <c r="L306" s="2" t="s">
        <v>87</v>
      </c>
    </row>
    <row r="307" spans="1:12" ht="16.2" customHeight="1">
      <c r="A307" s="3" t="s">
        <v>919</v>
      </c>
      <c r="B307" s="3" t="s">
        <v>920</v>
      </c>
      <c r="C307" s="3">
        <v>9</v>
      </c>
      <c r="D307" s="3" t="s">
        <v>14</v>
      </c>
      <c r="E307" s="3" t="s">
        <v>85</v>
      </c>
      <c r="F307" s="3" t="s">
        <v>25</v>
      </c>
      <c r="G307" s="3" t="s">
        <v>35</v>
      </c>
      <c r="H307" s="3" t="s">
        <v>495</v>
      </c>
      <c r="I307" s="3" t="s">
        <v>171</v>
      </c>
      <c r="J307" s="3">
        <v>12000</v>
      </c>
      <c r="K307" s="3" t="s">
        <v>37</v>
      </c>
      <c r="L307" s="3" t="s">
        <v>55</v>
      </c>
    </row>
    <row r="308" spans="1:12" ht="16.2" customHeight="1">
      <c r="A308" s="2" t="s">
        <v>921</v>
      </c>
      <c r="B308" s="2" t="s">
        <v>700</v>
      </c>
      <c r="C308" s="2">
        <v>47</v>
      </c>
      <c r="D308" s="2" t="s">
        <v>14</v>
      </c>
      <c r="E308" s="2" t="s">
        <v>15</v>
      </c>
      <c r="F308" s="2" t="s">
        <v>127</v>
      </c>
      <c r="G308" s="2" t="s">
        <v>17</v>
      </c>
      <c r="H308" s="2" t="s">
        <v>374</v>
      </c>
      <c r="I308" s="2" t="s">
        <v>402</v>
      </c>
      <c r="J308" s="2">
        <v>35000</v>
      </c>
      <c r="K308" s="2" t="s">
        <v>37</v>
      </c>
      <c r="L308" s="2" t="s">
        <v>21</v>
      </c>
    </row>
    <row r="309" spans="1:12" ht="16.2" customHeight="1">
      <c r="A309" s="3" t="s">
        <v>922</v>
      </c>
      <c r="B309" s="3" t="s">
        <v>923</v>
      </c>
      <c r="C309" s="3">
        <v>8</v>
      </c>
      <c r="D309" s="3" t="s">
        <v>32</v>
      </c>
      <c r="E309" s="3" t="s">
        <v>52</v>
      </c>
      <c r="F309" s="3" t="s">
        <v>16</v>
      </c>
      <c r="G309" s="3" t="s">
        <v>48</v>
      </c>
      <c r="H309" s="3" t="s">
        <v>339</v>
      </c>
      <c r="I309" s="3" t="s">
        <v>78</v>
      </c>
      <c r="J309" s="3">
        <v>50000</v>
      </c>
      <c r="K309" s="3" t="s">
        <v>29</v>
      </c>
      <c r="L309" s="3" t="s">
        <v>55</v>
      </c>
    </row>
    <row r="310" spans="1:12" ht="16.2" customHeight="1">
      <c r="A310" s="2" t="s">
        <v>924</v>
      </c>
      <c r="B310" s="2" t="s">
        <v>925</v>
      </c>
      <c r="C310" s="2">
        <v>8</v>
      </c>
      <c r="D310" s="2" t="s">
        <v>32</v>
      </c>
      <c r="E310" s="2" t="s">
        <v>70</v>
      </c>
      <c r="F310" s="2" t="s">
        <v>16</v>
      </c>
      <c r="G310" s="2" t="s">
        <v>53</v>
      </c>
      <c r="H310" s="2" t="s">
        <v>926</v>
      </c>
      <c r="I310" s="2" t="s">
        <v>159</v>
      </c>
      <c r="J310" s="2">
        <v>75000</v>
      </c>
      <c r="K310" s="2" t="s">
        <v>20</v>
      </c>
      <c r="L310" s="2" t="s">
        <v>55</v>
      </c>
    </row>
    <row r="311" spans="1:12" ht="16.2" customHeight="1">
      <c r="A311" s="3" t="s">
        <v>927</v>
      </c>
      <c r="B311" s="3" t="s">
        <v>436</v>
      </c>
      <c r="C311" s="3">
        <v>72</v>
      </c>
      <c r="D311" s="3" t="s">
        <v>14</v>
      </c>
      <c r="E311" s="3" t="s">
        <v>109</v>
      </c>
      <c r="F311" s="3" t="s">
        <v>127</v>
      </c>
      <c r="G311" s="3" t="s">
        <v>99</v>
      </c>
      <c r="H311" s="3" t="s">
        <v>184</v>
      </c>
      <c r="I311" s="3" t="s">
        <v>206</v>
      </c>
      <c r="J311" s="3">
        <v>-5000</v>
      </c>
      <c r="K311" s="3" t="s">
        <v>350</v>
      </c>
      <c r="L311" s="3" t="s">
        <v>55</v>
      </c>
    </row>
    <row r="312" spans="1:12" ht="16.2" customHeight="1">
      <c r="A312" s="2" t="s">
        <v>928</v>
      </c>
      <c r="B312" s="2" t="s">
        <v>80</v>
      </c>
      <c r="C312" s="2">
        <v>47</v>
      </c>
      <c r="D312" s="2" t="s">
        <v>14</v>
      </c>
      <c r="E312" s="2" t="s">
        <v>58</v>
      </c>
      <c r="F312" s="2" t="s">
        <v>34</v>
      </c>
      <c r="G312" s="2" t="s">
        <v>26</v>
      </c>
      <c r="H312" s="2" t="s">
        <v>255</v>
      </c>
      <c r="I312" s="2" t="s">
        <v>210</v>
      </c>
      <c r="J312" s="2">
        <v>12000</v>
      </c>
      <c r="K312" s="2" t="s">
        <v>37</v>
      </c>
      <c r="L312" s="2" t="s">
        <v>87</v>
      </c>
    </row>
    <row r="313" spans="1:12" ht="16.2" customHeight="1">
      <c r="A313" s="3" t="s">
        <v>929</v>
      </c>
      <c r="B313" s="3" t="s">
        <v>930</v>
      </c>
      <c r="C313" s="3">
        <v>43</v>
      </c>
      <c r="D313" s="3" t="s">
        <v>14</v>
      </c>
      <c r="E313" s="3" t="s">
        <v>85</v>
      </c>
      <c r="F313" s="3" t="s">
        <v>422</v>
      </c>
      <c r="G313" s="3" t="s">
        <v>26</v>
      </c>
      <c r="H313" s="3" t="s">
        <v>370</v>
      </c>
      <c r="I313" s="3" t="s">
        <v>607</v>
      </c>
      <c r="J313" s="3">
        <v>5000</v>
      </c>
      <c r="K313" s="3" t="s">
        <v>29</v>
      </c>
      <c r="L313" s="3" t="s">
        <v>38</v>
      </c>
    </row>
    <row r="314" spans="1:12" ht="16.2" customHeight="1">
      <c r="A314" s="2" t="s">
        <v>931</v>
      </c>
      <c r="B314" s="2" t="s">
        <v>932</v>
      </c>
      <c r="C314" s="2">
        <v>7</v>
      </c>
      <c r="D314" s="2" t="s">
        <v>32</v>
      </c>
      <c r="E314" s="2" t="s">
        <v>109</v>
      </c>
      <c r="F314" s="2" t="s">
        <v>42</v>
      </c>
      <c r="G314" s="2" t="s">
        <v>35</v>
      </c>
      <c r="H314" s="2" t="s">
        <v>933</v>
      </c>
      <c r="I314" s="2" t="s">
        <v>789</v>
      </c>
      <c r="J314" s="2">
        <v>999999999</v>
      </c>
      <c r="K314" s="2" t="s">
        <v>67</v>
      </c>
      <c r="L314" s="2" t="s">
        <v>21</v>
      </c>
    </row>
    <row r="315" spans="1:12" ht="16.2" customHeight="1">
      <c r="A315" s="3" t="s">
        <v>934</v>
      </c>
      <c r="B315" s="3" t="s">
        <v>935</v>
      </c>
      <c r="C315" s="3">
        <v>45</v>
      </c>
      <c r="D315" s="3" t="s">
        <v>14</v>
      </c>
      <c r="E315" s="3" t="s">
        <v>15</v>
      </c>
      <c r="F315" s="3" t="s">
        <v>132</v>
      </c>
      <c r="G315" s="3" t="s">
        <v>99</v>
      </c>
      <c r="H315" s="3" t="s">
        <v>194</v>
      </c>
      <c r="I315" s="3" t="s">
        <v>936</v>
      </c>
      <c r="J315" s="3">
        <v>20000</v>
      </c>
      <c r="K315" s="3" t="s">
        <v>96</v>
      </c>
      <c r="L315" s="3" t="s">
        <v>21</v>
      </c>
    </row>
    <row r="316" spans="1:12" ht="16.2" customHeight="1">
      <c r="A316" s="2" t="s">
        <v>937</v>
      </c>
      <c r="B316" s="2" t="s">
        <v>938</v>
      </c>
      <c r="C316" s="2">
        <v>40</v>
      </c>
      <c r="D316" s="2" t="s">
        <v>32</v>
      </c>
      <c r="E316" s="2" t="s">
        <v>58</v>
      </c>
      <c r="F316" s="2" t="s">
        <v>127</v>
      </c>
      <c r="G316" s="2" t="s">
        <v>26</v>
      </c>
      <c r="H316" s="2" t="s">
        <v>752</v>
      </c>
      <c r="I316" s="2" t="s">
        <v>492</v>
      </c>
      <c r="J316" s="2">
        <v>15000</v>
      </c>
      <c r="K316" s="2" t="s">
        <v>67</v>
      </c>
      <c r="L316" s="2" t="s">
        <v>21</v>
      </c>
    </row>
    <row r="317" spans="1:12" ht="16.2" customHeight="1">
      <c r="A317" s="3" t="s">
        <v>939</v>
      </c>
      <c r="B317" s="3" t="s">
        <v>576</v>
      </c>
      <c r="C317" s="3">
        <v>34</v>
      </c>
      <c r="D317" s="3" t="s">
        <v>14</v>
      </c>
      <c r="E317" s="3" t="s">
        <v>58</v>
      </c>
      <c r="F317" s="3" t="s">
        <v>76</v>
      </c>
      <c r="G317" s="3" t="s">
        <v>17</v>
      </c>
      <c r="H317" s="3" t="s">
        <v>167</v>
      </c>
      <c r="I317" s="3" t="s">
        <v>842</v>
      </c>
      <c r="J317" s="3">
        <v>50000</v>
      </c>
      <c r="K317" s="3" t="s">
        <v>67</v>
      </c>
      <c r="L317" s="3" t="s">
        <v>21</v>
      </c>
    </row>
    <row r="318" spans="1:12" ht="16.2" customHeight="1">
      <c r="A318" s="2" t="s">
        <v>940</v>
      </c>
      <c r="B318" s="2" t="s">
        <v>23</v>
      </c>
      <c r="C318" s="2">
        <v>33</v>
      </c>
      <c r="D318" s="2" t="s">
        <v>32</v>
      </c>
      <c r="E318" s="2" t="s">
        <v>15</v>
      </c>
      <c r="F318" s="2" t="s">
        <v>489</v>
      </c>
      <c r="G318" s="2" t="s">
        <v>104</v>
      </c>
      <c r="H318" s="2" t="s">
        <v>179</v>
      </c>
      <c r="I318" s="2" t="s">
        <v>554</v>
      </c>
      <c r="J318" s="2">
        <v>15000</v>
      </c>
      <c r="K318" s="2" t="s">
        <v>37</v>
      </c>
      <c r="L318" s="2" t="s">
        <v>38</v>
      </c>
    </row>
    <row r="319" spans="1:12" ht="16.2" customHeight="1">
      <c r="A319" s="3" t="s">
        <v>941</v>
      </c>
      <c r="B319" s="3" t="s">
        <v>942</v>
      </c>
      <c r="C319" s="3">
        <v>45</v>
      </c>
      <c r="D319" s="3" t="s">
        <v>14</v>
      </c>
      <c r="E319" s="3" t="s">
        <v>441</v>
      </c>
      <c r="F319" s="3" t="s">
        <v>76</v>
      </c>
      <c r="G319" s="3" t="s">
        <v>35</v>
      </c>
      <c r="H319" s="3" t="s">
        <v>86</v>
      </c>
      <c r="I319" s="3" t="s">
        <v>943</v>
      </c>
      <c r="J319" s="3">
        <v>8000</v>
      </c>
      <c r="K319" s="3" t="s">
        <v>67</v>
      </c>
      <c r="L319" s="3" t="s">
        <v>21</v>
      </c>
    </row>
    <row r="320" spans="1:12" ht="16.2" customHeight="1">
      <c r="A320" s="2" t="s">
        <v>944</v>
      </c>
      <c r="B320" s="2" t="s">
        <v>462</v>
      </c>
      <c r="C320" s="2">
        <v>88</v>
      </c>
      <c r="D320" s="2" t="s">
        <v>32</v>
      </c>
      <c r="E320" s="2" t="s">
        <v>945</v>
      </c>
      <c r="F320" s="2" t="s">
        <v>34</v>
      </c>
      <c r="G320" s="2" t="s">
        <v>104</v>
      </c>
      <c r="H320" s="2" t="s">
        <v>456</v>
      </c>
      <c r="I320" s="2" t="s">
        <v>816</v>
      </c>
      <c r="J320" s="2">
        <v>50000</v>
      </c>
      <c r="K320" s="2" t="s">
        <v>20</v>
      </c>
      <c r="L320" s="2" t="s">
        <v>38</v>
      </c>
    </row>
    <row r="321" spans="1:12" ht="16.2" customHeight="1">
      <c r="A321" s="3" t="s">
        <v>946</v>
      </c>
      <c r="B321" s="3" t="s">
        <v>46</v>
      </c>
      <c r="C321" s="3"/>
      <c r="D321" s="3" t="s">
        <v>32</v>
      </c>
      <c r="E321" s="3" t="s">
        <v>75</v>
      </c>
      <c r="F321" s="3" t="s">
        <v>42</v>
      </c>
      <c r="G321" s="3" t="s">
        <v>53</v>
      </c>
      <c r="H321" s="3" t="s">
        <v>289</v>
      </c>
      <c r="I321" s="3" t="s">
        <v>206</v>
      </c>
      <c r="J321" s="3">
        <v>50000</v>
      </c>
      <c r="K321" s="3" t="s">
        <v>37</v>
      </c>
      <c r="L321" s="3" t="s">
        <v>38</v>
      </c>
    </row>
    <row r="322" spans="1:12" ht="16.2" customHeight="1">
      <c r="A322" s="2" t="s">
        <v>947</v>
      </c>
      <c r="B322" s="2" t="s">
        <v>948</v>
      </c>
      <c r="C322" s="2">
        <v>89</v>
      </c>
      <c r="D322" s="2" t="s">
        <v>690</v>
      </c>
      <c r="E322" s="2" t="s">
        <v>85</v>
      </c>
      <c r="F322" s="2" t="s">
        <v>34</v>
      </c>
      <c r="G322" s="2" t="s">
        <v>26</v>
      </c>
      <c r="H322" s="2" t="s">
        <v>583</v>
      </c>
      <c r="I322" s="2" t="s">
        <v>685</v>
      </c>
      <c r="J322" s="2">
        <v>50000</v>
      </c>
      <c r="K322" s="2" t="s">
        <v>37</v>
      </c>
      <c r="L322" s="2" t="s">
        <v>55</v>
      </c>
    </row>
    <row r="323" spans="1:12" ht="16.2" customHeight="1">
      <c r="A323" s="3" t="s">
        <v>949</v>
      </c>
      <c r="B323" s="3" t="s">
        <v>950</v>
      </c>
      <c r="C323" s="3">
        <v>49</v>
      </c>
      <c r="D323" s="3" t="s">
        <v>32</v>
      </c>
      <c r="E323" s="3" t="s">
        <v>33</v>
      </c>
      <c r="F323" s="3" t="s">
        <v>16</v>
      </c>
      <c r="G323" s="3" t="s">
        <v>104</v>
      </c>
      <c r="H323" s="3" t="s">
        <v>415</v>
      </c>
      <c r="I323" s="3" t="s">
        <v>715</v>
      </c>
      <c r="J323" s="3">
        <v>15000</v>
      </c>
      <c r="K323" s="3" t="s">
        <v>29</v>
      </c>
      <c r="L323" s="3" t="s">
        <v>21</v>
      </c>
    </row>
    <row r="324" spans="1:12" ht="16.2" customHeight="1">
      <c r="A324" s="2" t="s">
        <v>951</v>
      </c>
      <c r="B324" s="2" t="s">
        <v>214</v>
      </c>
      <c r="C324" s="2">
        <v>73</v>
      </c>
      <c r="D324" s="2" t="s">
        <v>14</v>
      </c>
      <c r="E324" s="2" t="s">
        <v>85</v>
      </c>
      <c r="F324" s="2" t="s">
        <v>42</v>
      </c>
      <c r="G324" s="2" t="s">
        <v>99</v>
      </c>
      <c r="H324" s="2" t="s">
        <v>154</v>
      </c>
      <c r="I324" s="2" t="s">
        <v>952</v>
      </c>
      <c r="J324" s="2">
        <v>75000</v>
      </c>
      <c r="K324" s="2" t="s">
        <v>29</v>
      </c>
      <c r="L324" s="2" t="s">
        <v>55</v>
      </c>
    </row>
    <row r="325" spans="1:12" ht="16.2" customHeight="1">
      <c r="A325" s="3" t="s">
        <v>953</v>
      </c>
      <c r="B325" s="3" t="s">
        <v>258</v>
      </c>
      <c r="C325" s="3">
        <v>82</v>
      </c>
      <c r="D325" s="3" t="s">
        <v>32</v>
      </c>
      <c r="E325" s="3" t="s">
        <v>52</v>
      </c>
      <c r="F325" s="3" t="s">
        <v>25</v>
      </c>
      <c r="G325" s="3" t="s">
        <v>99</v>
      </c>
      <c r="H325" s="3" t="s">
        <v>353</v>
      </c>
      <c r="I325" s="3" t="s">
        <v>722</v>
      </c>
      <c r="J325" s="3">
        <v>12000</v>
      </c>
      <c r="K325" s="3" t="s">
        <v>67</v>
      </c>
      <c r="L325" s="3" t="s">
        <v>55</v>
      </c>
    </row>
    <row r="326" spans="1:12" ht="16.2" customHeight="1">
      <c r="A326" s="2" t="s">
        <v>954</v>
      </c>
      <c r="B326" s="2" t="s">
        <v>868</v>
      </c>
      <c r="C326" s="2">
        <v>86</v>
      </c>
      <c r="D326" s="2" t="s">
        <v>14</v>
      </c>
      <c r="E326" s="2" t="s">
        <v>15</v>
      </c>
      <c r="F326" s="2" t="s">
        <v>127</v>
      </c>
      <c r="G326" s="2" t="s">
        <v>35</v>
      </c>
      <c r="H326" s="2" t="s">
        <v>824</v>
      </c>
      <c r="I326" s="2" t="s">
        <v>685</v>
      </c>
      <c r="J326" s="2">
        <v>35000</v>
      </c>
      <c r="K326" s="2" t="s">
        <v>67</v>
      </c>
      <c r="L326" s="2" t="s">
        <v>87</v>
      </c>
    </row>
    <row r="327" spans="1:12" ht="16.2" customHeight="1">
      <c r="A327" s="3" t="s">
        <v>955</v>
      </c>
      <c r="B327" s="3" t="s">
        <v>956</v>
      </c>
      <c r="C327" s="3">
        <v>10</v>
      </c>
      <c r="D327" s="3" t="s">
        <v>14</v>
      </c>
      <c r="E327" s="3" t="s">
        <v>75</v>
      </c>
      <c r="F327" s="3" t="s">
        <v>76</v>
      </c>
      <c r="G327" s="3" t="s">
        <v>35</v>
      </c>
      <c r="H327" s="3" t="s">
        <v>676</v>
      </c>
      <c r="I327" s="3" t="s">
        <v>175</v>
      </c>
      <c r="J327" s="3">
        <v>15000</v>
      </c>
      <c r="K327" s="3" t="s">
        <v>29</v>
      </c>
      <c r="L327" s="3" t="s">
        <v>55</v>
      </c>
    </row>
    <row r="328" spans="1:12" ht="16.2" customHeight="1">
      <c r="A328" s="2" t="s">
        <v>957</v>
      </c>
      <c r="B328" s="2" t="s">
        <v>958</v>
      </c>
      <c r="C328" s="2">
        <v>36</v>
      </c>
      <c r="D328" s="2" t="s">
        <v>14</v>
      </c>
      <c r="E328" s="2" t="s">
        <v>441</v>
      </c>
      <c r="F328" s="2" t="s">
        <v>42</v>
      </c>
      <c r="G328" s="2" t="s">
        <v>26</v>
      </c>
      <c r="H328" s="2" t="s">
        <v>137</v>
      </c>
      <c r="I328" s="2" t="s">
        <v>386</v>
      </c>
      <c r="J328" s="2">
        <v>12000</v>
      </c>
      <c r="K328" s="2" t="s">
        <v>37</v>
      </c>
      <c r="L328" s="2" t="s">
        <v>21</v>
      </c>
    </row>
    <row r="329" spans="1:12" ht="16.2" customHeight="1">
      <c r="A329" s="3" t="s">
        <v>959</v>
      </c>
      <c r="B329" s="3" t="s">
        <v>693</v>
      </c>
      <c r="C329" s="3">
        <v>41</v>
      </c>
      <c r="D329" s="3" t="s">
        <v>14</v>
      </c>
      <c r="E329" s="3" t="s">
        <v>70</v>
      </c>
      <c r="F329" s="3" t="s">
        <v>16</v>
      </c>
      <c r="G329" s="3" t="s">
        <v>104</v>
      </c>
      <c r="H329" s="3" t="s">
        <v>960</v>
      </c>
      <c r="I329" s="3" t="s">
        <v>133</v>
      </c>
      <c r="J329" s="3">
        <v>25000</v>
      </c>
      <c r="K329" s="3" t="s">
        <v>191</v>
      </c>
      <c r="L329" s="3" t="s">
        <v>87</v>
      </c>
    </row>
    <row r="330" spans="1:12" ht="16.2" customHeight="1">
      <c r="A330" s="2" t="s">
        <v>959</v>
      </c>
      <c r="B330" s="2" t="s">
        <v>693</v>
      </c>
      <c r="C330" s="2">
        <v>41</v>
      </c>
      <c r="D330" s="2" t="s">
        <v>14</v>
      </c>
      <c r="E330" s="2" t="s">
        <v>24</v>
      </c>
      <c r="F330" s="2" t="s">
        <v>16</v>
      </c>
      <c r="G330" s="2" t="s">
        <v>104</v>
      </c>
      <c r="H330" s="2" t="s">
        <v>960</v>
      </c>
      <c r="I330" s="2" t="s">
        <v>133</v>
      </c>
      <c r="J330" s="2">
        <v>25000</v>
      </c>
      <c r="K330" s="2" t="s">
        <v>20</v>
      </c>
      <c r="L330" s="2" t="s">
        <v>87</v>
      </c>
    </row>
    <row r="331" spans="1:12" ht="16.2" customHeight="1">
      <c r="A331" s="3" t="s">
        <v>961</v>
      </c>
      <c r="B331" s="3" t="s">
        <v>887</v>
      </c>
      <c r="C331" s="3">
        <v>90</v>
      </c>
      <c r="D331" s="3" t="s">
        <v>14</v>
      </c>
      <c r="E331" s="3" t="s">
        <v>649</v>
      </c>
      <c r="F331" s="3" t="s">
        <v>34</v>
      </c>
      <c r="G331" s="3" t="s">
        <v>53</v>
      </c>
      <c r="H331" s="3" t="s">
        <v>793</v>
      </c>
      <c r="I331" s="3" t="s">
        <v>128</v>
      </c>
      <c r="J331" s="3">
        <v>20000</v>
      </c>
      <c r="K331" s="3" t="s">
        <v>29</v>
      </c>
      <c r="L331" s="3" t="s">
        <v>87</v>
      </c>
    </row>
    <row r="332" spans="1:12" ht="16.2" customHeight="1">
      <c r="A332" s="2" t="s">
        <v>962</v>
      </c>
      <c r="B332" s="2" t="s">
        <v>963</v>
      </c>
      <c r="C332" s="2">
        <v>21</v>
      </c>
      <c r="D332" s="2" t="s">
        <v>506</v>
      </c>
      <c r="E332" s="2" t="s">
        <v>85</v>
      </c>
      <c r="F332" s="2" t="s">
        <v>76</v>
      </c>
      <c r="G332" s="2" t="s">
        <v>53</v>
      </c>
      <c r="H332" s="2" t="s">
        <v>302</v>
      </c>
      <c r="I332" s="2" t="s">
        <v>100</v>
      </c>
      <c r="J332" s="2"/>
      <c r="K332" s="2" t="s">
        <v>29</v>
      </c>
      <c r="L332" s="2" t="s">
        <v>87</v>
      </c>
    </row>
    <row r="333" spans="1:12" ht="16.2" customHeight="1">
      <c r="A333" s="3" t="s">
        <v>964</v>
      </c>
      <c r="B333" s="3" t="s">
        <v>761</v>
      </c>
      <c r="C333" s="3">
        <v>22</v>
      </c>
      <c r="D333" s="3" t="s">
        <v>14</v>
      </c>
      <c r="E333" s="3" t="s">
        <v>109</v>
      </c>
      <c r="F333" s="3" t="s">
        <v>264</v>
      </c>
      <c r="G333" s="3" t="s">
        <v>99</v>
      </c>
      <c r="H333" s="3" t="s">
        <v>383</v>
      </c>
      <c r="I333" s="3" t="s">
        <v>206</v>
      </c>
      <c r="J333" s="3">
        <v>100000</v>
      </c>
      <c r="K333" s="3" t="s">
        <v>37</v>
      </c>
      <c r="L333" s="3" t="s">
        <v>87</v>
      </c>
    </row>
    <row r="334" spans="1:12" ht="16.2" customHeight="1">
      <c r="A334" s="2" t="s">
        <v>965</v>
      </c>
      <c r="B334" s="2" t="s">
        <v>966</v>
      </c>
      <c r="C334" s="2">
        <v>77</v>
      </c>
      <c r="D334" s="2" t="s">
        <v>14</v>
      </c>
      <c r="E334" s="2" t="s">
        <v>85</v>
      </c>
      <c r="F334" s="2" t="s">
        <v>127</v>
      </c>
      <c r="G334" s="2" t="s">
        <v>53</v>
      </c>
      <c r="H334" s="2" t="s">
        <v>967</v>
      </c>
      <c r="I334" s="2" t="s">
        <v>545</v>
      </c>
      <c r="J334" s="2">
        <v>12000</v>
      </c>
      <c r="K334" s="2" t="s">
        <v>227</v>
      </c>
      <c r="L334" s="2" t="s">
        <v>38</v>
      </c>
    </row>
    <row r="335" spans="1:12" ht="16.2" customHeight="1">
      <c r="A335" s="3" t="s">
        <v>965</v>
      </c>
      <c r="B335" s="3" t="s">
        <v>966</v>
      </c>
      <c r="C335" s="3">
        <v>77</v>
      </c>
      <c r="D335" s="3" t="s">
        <v>14</v>
      </c>
      <c r="E335" s="3" t="s">
        <v>85</v>
      </c>
      <c r="F335" s="3" t="s">
        <v>127</v>
      </c>
      <c r="G335" s="3" t="s">
        <v>53</v>
      </c>
      <c r="H335" s="3" t="s">
        <v>325</v>
      </c>
      <c r="I335" s="3" t="s">
        <v>545</v>
      </c>
      <c r="J335" s="3">
        <v>12000</v>
      </c>
      <c r="K335" s="3" t="s">
        <v>67</v>
      </c>
      <c r="L335" s="3" t="s">
        <v>38</v>
      </c>
    </row>
    <row r="336" spans="1:12" ht="16.2" customHeight="1">
      <c r="A336" s="2" t="s">
        <v>968</v>
      </c>
      <c r="B336" s="2" t="s">
        <v>150</v>
      </c>
      <c r="C336" s="2">
        <v>52</v>
      </c>
      <c r="D336" s="2" t="s">
        <v>32</v>
      </c>
      <c r="E336" s="2" t="s">
        <v>52</v>
      </c>
      <c r="F336" s="2" t="s">
        <v>16</v>
      </c>
      <c r="G336" s="2" t="s">
        <v>17</v>
      </c>
      <c r="H336" s="2" t="s">
        <v>445</v>
      </c>
      <c r="I336" s="2" t="s">
        <v>554</v>
      </c>
      <c r="J336" s="2">
        <v>25000</v>
      </c>
      <c r="K336" s="2" t="s">
        <v>67</v>
      </c>
      <c r="L336" s="2" t="s">
        <v>87</v>
      </c>
    </row>
    <row r="337" spans="1:12" ht="16.2" customHeight="1">
      <c r="A337" s="3" t="s">
        <v>969</v>
      </c>
      <c r="B337" s="3" t="s">
        <v>771</v>
      </c>
      <c r="C337" s="3">
        <v>2</v>
      </c>
      <c r="D337" s="3" t="s">
        <v>14</v>
      </c>
      <c r="E337" s="3" t="s">
        <v>52</v>
      </c>
      <c r="F337" s="3" t="s">
        <v>127</v>
      </c>
      <c r="G337" s="3" t="s">
        <v>53</v>
      </c>
      <c r="H337" s="3" t="s">
        <v>206</v>
      </c>
      <c r="I337" s="3" t="s">
        <v>360</v>
      </c>
      <c r="J337" s="3">
        <v>25000</v>
      </c>
      <c r="K337" s="3" t="s">
        <v>67</v>
      </c>
      <c r="L337" s="3" t="s">
        <v>55</v>
      </c>
    </row>
    <row r="338" spans="1:12" ht="16.2" customHeight="1">
      <c r="A338" s="2" t="s">
        <v>970</v>
      </c>
      <c r="B338" s="2" t="s">
        <v>971</v>
      </c>
      <c r="C338" s="2">
        <v>90</v>
      </c>
      <c r="D338" s="2"/>
      <c r="E338" s="2" t="s">
        <v>70</v>
      </c>
      <c r="F338" s="2" t="s">
        <v>25</v>
      </c>
      <c r="G338" s="2" t="s">
        <v>104</v>
      </c>
      <c r="H338" s="2" t="s">
        <v>591</v>
      </c>
      <c r="I338" s="2" t="s">
        <v>682</v>
      </c>
      <c r="J338" s="2">
        <v>8000</v>
      </c>
      <c r="K338" s="2" t="s">
        <v>37</v>
      </c>
      <c r="L338" s="2" t="s">
        <v>87</v>
      </c>
    </row>
    <row r="339" spans="1:12" ht="16.2" customHeight="1">
      <c r="A339" s="3" t="s">
        <v>972</v>
      </c>
      <c r="B339" s="3" t="s">
        <v>642</v>
      </c>
      <c r="C339" s="3">
        <v>81</v>
      </c>
      <c r="D339" s="3" t="s">
        <v>14</v>
      </c>
      <c r="E339" s="3" t="s">
        <v>52</v>
      </c>
      <c r="F339" s="3" t="s">
        <v>42</v>
      </c>
      <c r="G339" s="3" t="s">
        <v>17</v>
      </c>
      <c r="H339" s="3" t="s">
        <v>973</v>
      </c>
      <c r="I339" s="3" t="s">
        <v>974</v>
      </c>
      <c r="J339" s="3">
        <v>100000</v>
      </c>
      <c r="K339" s="3" t="s">
        <v>37</v>
      </c>
      <c r="L339" s="3" t="s">
        <v>55</v>
      </c>
    </row>
    <row r="340" spans="1:12" ht="16.2" customHeight="1">
      <c r="A340" s="2" t="s">
        <v>975</v>
      </c>
      <c r="B340" s="2" t="s">
        <v>976</v>
      </c>
      <c r="C340" s="2">
        <v>37</v>
      </c>
      <c r="D340" s="2" t="s">
        <v>32</v>
      </c>
      <c r="E340" s="2" t="s">
        <v>58</v>
      </c>
      <c r="F340" s="2" t="s">
        <v>42</v>
      </c>
      <c r="G340" s="2" t="s">
        <v>53</v>
      </c>
      <c r="H340" s="2" t="s">
        <v>977</v>
      </c>
      <c r="I340" s="2" t="s">
        <v>824</v>
      </c>
      <c r="J340" s="2">
        <v>8000</v>
      </c>
      <c r="K340" s="2" t="s">
        <v>29</v>
      </c>
      <c r="L340" s="2" t="s">
        <v>38</v>
      </c>
    </row>
    <row r="341" spans="1:12" ht="16.2" customHeight="1">
      <c r="A341" s="3" t="s">
        <v>978</v>
      </c>
      <c r="B341" s="3" t="s">
        <v>892</v>
      </c>
      <c r="C341" s="3">
        <v>70</v>
      </c>
      <c r="D341" s="3" t="s">
        <v>14</v>
      </c>
      <c r="E341" s="3" t="s">
        <v>33</v>
      </c>
      <c r="F341" s="3" t="s">
        <v>127</v>
      </c>
      <c r="G341" s="3" t="s">
        <v>48</v>
      </c>
      <c r="H341" s="3" t="s">
        <v>467</v>
      </c>
      <c r="I341" s="3" t="s">
        <v>943</v>
      </c>
      <c r="J341" s="3">
        <v>20000</v>
      </c>
      <c r="K341" s="3" t="s">
        <v>37</v>
      </c>
      <c r="L341" s="3" t="s">
        <v>38</v>
      </c>
    </row>
    <row r="342" spans="1:12" ht="16.2" customHeight="1">
      <c r="A342" s="2" t="s">
        <v>979</v>
      </c>
      <c r="B342" s="2" t="s">
        <v>197</v>
      </c>
      <c r="C342" s="2">
        <v>25</v>
      </c>
      <c r="D342" s="2" t="s">
        <v>14</v>
      </c>
      <c r="E342" s="2" t="s">
        <v>33</v>
      </c>
      <c r="F342" s="2" t="s">
        <v>76</v>
      </c>
      <c r="G342" s="2" t="s">
        <v>104</v>
      </c>
      <c r="H342" s="2" t="s">
        <v>769</v>
      </c>
      <c r="I342" s="2" t="s">
        <v>19</v>
      </c>
      <c r="J342" s="2">
        <v>5000</v>
      </c>
      <c r="K342" s="2" t="s">
        <v>20</v>
      </c>
      <c r="L342" s="2" t="s">
        <v>55</v>
      </c>
    </row>
    <row r="343" spans="1:12" ht="16.2" customHeight="1">
      <c r="A343" s="3" t="s">
        <v>980</v>
      </c>
      <c r="B343" s="3" t="s">
        <v>731</v>
      </c>
      <c r="C343" s="3">
        <v>86</v>
      </c>
      <c r="D343" s="3" t="s">
        <v>32</v>
      </c>
      <c r="E343" s="3" t="s">
        <v>33</v>
      </c>
      <c r="F343" s="3" t="s">
        <v>42</v>
      </c>
      <c r="G343" s="3" t="s">
        <v>17</v>
      </c>
      <c r="H343" s="3" t="s">
        <v>256</v>
      </c>
      <c r="I343" s="3" t="s">
        <v>295</v>
      </c>
      <c r="J343" s="3">
        <v>75000</v>
      </c>
      <c r="K343" s="3" t="s">
        <v>29</v>
      </c>
      <c r="L343" s="3" t="s">
        <v>87</v>
      </c>
    </row>
    <row r="344" spans="1:12" ht="16.2" customHeight="1">
      <c r="A344" s="2" t="s">
        <v>981</v>
      </c>
      <c r="B344" s="2" t="s">
        <v>982</v>
      </c>
      <c r="C344" s="2"/>
      <c r="D344" s="2" t="s">
        <v>14</v>
      </c>
      <c r="E344" s="2" t="s">
        <v>70</v>
      </c>
      <c r="F344" s="2" t="s">
        <v>34</v>
      </c>
      <c r="G344" s="2" t="s">
        <v>17</v>
      </c>
      <c r="H344" s="2" t="s">
        <v>91</v>
      </c>
      <c r="I344" s="2" t="s">
        <v>423</v>
      </c>
      <c r="J344" s="2">
        <v>8000</v>
      </c>
      <c r="K344" s="2" t="s">
        <v>983</v>
      </c>
      <c r="L344" s="2" t="s">
        <v>87</v>
      </c>
    </row>
    <row r="345" spans="1:12" ht="16.2" customHeight="1">
      <c r="A345" s="3" t="s">
        <v>984</v>
      </c>
      <c r="B345" s="3" t="s">
        <v>985</v>
      </c>
      <c r="C345" s="3">
        <v>52</v>
      </c>
      <c r="D345" s="3" t="s">
        <v>14</v>
      </c>
      <c r="E345" s="3" t="s">
        <v>70</v>
      </c>
      <c r="F345" s="3" t="s">
        <v>34</v>
      </c>
      <c r="G345" s="3" t="s">
        <v>53</v>
      </c>
      <c r="H345" s="3" t="s">
        <v>416</v>
      </c>
      <c r="I345" s="3" t="s">
        <v>256</v>
      </c>
      <c r="J345" s="3">
        <v>50000</v>
      </c>
      <c r="K345" s="3" t="s">
        <v>20</v>
      </c>
      <c r="L345" s="3" t="s">
        <v>21</v>
      </c>
    </row>
    <row r="346" spans="1:12" ht="16.2" customHeight="1">
      <c r="A346" s="2" t="s">
        <v>986</v>
      </c>
      <c r="B346" s="2" t="s">
        <v>244</v>
      </c>
      <c r="C346" s="2">
        <v>20</v>
      </c>
      <c r="D346" s="2" t="s">
        <v>14</v>
      </c>
      <c r="E346" s="2" t="s">
        <v>987</v>
      </c>
      <c r="F346" s="2" t="s">
        <v>76</v>
      </c>
      <c r="G346" s="2" t="s">
        <v>48</v>
      </c>
      <c r="H346" s="2" t="s">
        <v>373</v>
      </c>
      <c r="I346" s="2" t="s">
        <v>283</v>
      </c>
      <c r="J346" s="2">
        <v>50000</v>
      </c>
      <c r="K346" s="2" t="s">
        <v>29</v>
      </c>
      <c r="L346" s="2" t="s">
        <v>87</v>
      </c>
    </row>
    <row r="347" spans="1:12" ht="16.2" customHeight="1">
      <c r="A347" s="3" t="s">
        <v>988</v>
      </c>
      <c r="B347" s="3" t="s">
        <v>989</v>
      </c>
      <c r="C347" s="3">
        <v>84</v>
      </c>
      <c r="D347" s="3" t="s">
        <v>14</v>
      </c>
      <c r="E347" s="3" t="s">
        <v>70</v>
      </c>
      <c r="F347" s="3" t="s">
        <v>127</v>
      </c>
      <c r="G347" s="3" t="s">
        <v>104</v>
      </c>
      <c r="H347" s="3" t="s">
        <v>492</v>
      </c>
      <c r="I347" s="3" t="s">
        <v>620</v>
      </c>
      <c r="J347" s="3">
        <v>20000</v>
      </c>
      <c r="K347" s="3" t="s">
        <v>67</v>
      </c>
      <c r="L347" s="3" t="s">
        <v>21</v>
      </c>
    </row>
    <row r="348" spans="1:12" ht="16.2" customHeight="1">
      <c r="A348" s="2" t="s">
        <v>990</v>
      </c>
      <c r="B348" s="2" t="s">
        <v>991</v>
      </c>
      <c r="C348" s="2">
        <v>11</v>
      </c>
      <c r="D348" s="2" t="s">
        <v>32</v>
      </c>
      <c r="E348" s="2" t="s">
        <v>47</v>
      </c>
      <c r="F348" s="2" t="s">
        <v>409</v>
      </c>
      <c r="G348" s="2" t="s">
        <v>26</v>
      </c>
      <c r="H348" s="2" t="s">
        <v>226</v>
      </c>
      <c r="I348" s="2" t="s">
        <v>492</v>
      </c>
      <c r="J348" s="2">
        <v>15000</v>
      </c>
      <c r="K348" s="2" t="s">
        <v>37</v>
      </c>
      <c r="L348" s="2" t="s">
        <v>38</v>
      </c>
    </row>
    <row r="349" spans="1:12" ht="16.2" customHeight="1">
      <c r="A349" s="3" t="s">
        <v>992</v>
      </c>
      <c r="B349" s="3" t="s">
        <v>993</v>
      </c>
      <c r="C349" s="3">
        <v>89</v>
      </c>
      <c r="D349" s="3" t="s">
        <v>14</v>
      </c>
      <c r="E349" s="3" t="s">
        <v>994</v>
      </c>
      <c r="F349" s="3" t="s">
        <v>127</v>
      </c>
      <c r="G349" s="3" t="s">
        <v>99</v>
      </c>
      <c r="H349" s="3" t="s">
        <v>158</v>
      </c>
      <c r="I349" s="3" t="s">
        <v>659</v>
      </c>
      <c r="J349" s="3">
        <v>8000</v>
      </c>
      <c r="K349" s="3" t="s">
        <v>20</v>
      </c>
      <c r="L349" s="3" t="s">
        <v>55</v>
      </c>
    </row>
    <row r="350" spans="1:12" ht="16.2" customHeight="1">
      <c r="A350" s="2" t="s">
        <v>995</v>
      </c>
      <c r="B350" s="2" t="s">
        <v>996</v>
      </c>
      <c r="C350" s="2">
        <v>69</v>
      </c>
      <c r="D350" s="2" t="s">
        <v>32</v>
      </c>
      <c r="E350" s="2" t="s">
        <v>70</v>
      </c>
      <c r="F350" s="2" t="s">
        <v>25</v>
      </c>
      <c r="G350" s="2" t="s">
        <v>17</v>
      </c>
      <c r="H350" s="2" t="s">
        <v>512</v>
      </c>
      <c r="I350" s="2" t="s">
        <v>997</v>
      </c>
      <c r="J350" s="2">
        <v>25000</v>
      </c>
      <c r="K350" s="2" t="s">
        <v>67</v>
      </c>
      <c r="L350" s="2" t="s">
        <v>38</v>
      </c>
    </row>
    <row r="351" spans="1:12" ht="16.2" customHeight="1">
      <c r="A351" s="3" t="s">
        <v>998</v>
      </c>
      <c r="B351" s="3" t="s">
        <v>999</v>
      </c>
      <c r="C351" s="3">
        <v>31</v>
      </c>
      <c r="D351" s="3" t="s">
        <v>14</v>
      </c>
      <c r="E351" s="3" t="s">
        <v>58</v>
      </c>
      <c r="F351" s="3" t="s">
        <v>76</v>
      </c>
      <c r="G351" s="3" t="s">
        <v>48</v>
      </c>
      <c r="H351" s="3" t="s">
        <v>210</v>
      </c>
      <c r="I351" s="3" t="s">
        <v>793</v>
      </c>
      <c r="J351" s="3">
        <v>100000</v>
      </c>
      <c r="K351" s="3" t="s">
        <v>67</v>
      </c>
      <c r="L351" s="3" t="s">
        <v>21</v>
      </c>
    </row>
    <row r="352" spans="1:12" ht="16.2" customHeight="1">
      <c r="A352" s="2" t="s">
        <v>1000</v>
      </c>
      <c r="B352" s="2" t="s">
        <v>1001</v>
      </c>
      <c r="C352" s="2">
        <v>64</v>
      </c>
      <c r="D352" s="2" t="s">
        <v>14</v>
      </c>
      <c r="E352" s="2" t="s">
        <v>85</v>
      </c>
      <c r="F352" s="2" t="s">
        <v>42</v>
      </c>
      <c r="G352" s="2" t="s">
        <v>17</v>
      </c>
      <c r="H352" s="2" t="s">
        <v>114</v>
      </c>
      <c r="I352" s="2" t="s">
        <v>100</v>
      </c>
      <c r="J352" s="2">
        <v>5000</v>
      </c>
      <c r="K352" s="2" t="s">
        <v>37</v>
      </c>
      <c r="L352" s="2" t="s">
        <v>87</v>
      </c>
    </row>
    <row r="353" spans="1:12" ht="16.2" customHeight="1">
      <c r="A353" s="3" t="s">
        <v>1002</v>
      </c>
      <c r="B353" s="3" t="s">
        <v>1003</v>
      </c>
      <c r="C353" s="3">
        <v>71</v>
      </c>
      <c r="D353" s="3" t="s">
        <v>32</v>
      </c>
      <c r="E353" s="3" t="s">
        <v>15</v>
      </c>
      <c r="F353" s="3" t="s">
        <v>76</v>
      </c>
      <c r="G353" s="3" t="s">
        <v>17</v>
      </c>
      <c r="H353" s="3" t="s">
        <v>715</v>
      </c>
      <c r="I353" s="3" t="s">
        <v>209</v>
      </c>
      <c r="J353" s="3">
        <v>12000</v>
      </c>
      <c r="K353" s="3" t="s">
        <v>29</v>
      </c>
      <c r="L353" s="3" t="s">
        <v>38</v>
      </c>
    </row>
    <row r="354" spans="1:12" ht="16.2" customHeight="1">
      <c r="A354" s="2" t="s">
        <v>1004</v>
      </c>
      <c r="B354" s="2" t="s">
        <v>1005</v>
      </c>
      <c r="C354" s="2">
        <v>20</v>
      </c>
      <c r="D354" s="2" t="s">
        <v>32</v>
      </c>
      <c r="E354" s="2" t="s">
        <v>52</v>
      </c>
      <c r="F354" s="2" t="s">
        <v>573</v>
      </c>
      <c r="G354" s="2" t="s">
        <v>17</v>
      </c>
      <c r="H354" s="2" t="s">
        <v>1006</v>
      </c>
      <c r="I354" s="2" t="s">
        <v>305</v>
      </c>
      <c r="J354" s="2">
        <v>12000</v>
      </c>
      <c r="K354" s="2" t="s">
        <v>29</v>
      </c>
      <c r="L354" s="2" t="s">
        <v>38</v>
      </c>
    </row>
    <row r="355" spans="1:12" ht="16.2" customHeight="1">
      <c r="A355" s="3" t="s">
        <v>1007</v>
      </c>
      <c r="B355" s="3" t="s">
        <v>1008</v>
      </c>
      <c r="C355" s="3">
        <v>88</v>
      </c>
      <c r="D355" s="3" t="s">
        <v>41</v>
      </c>
      <c r="E355" s="3" t="s">
        <v>15</v>
      </c>
      <c r="F355" s="3" t="s">
        <v>222</v>
      </c>
      <c r="G355" s="3" t="s">
        <v>35</v>
      </c>
      <c r="H355" s="3" t="s">
        <v>728</v>
      </c>
      <c r="I355" s="3" t="s">
        <v>464</v>
      </c>
      <c r="J355" s="3">
        <v>25000</v>
      </c>
      <c r="K355" s="3" t="s">
        <v>29</v>
      </c>
      <c r="L355" s="3" t="s">
        <v>21</v>
      </c>
    </row>
    <row r="356" spans="1:12" ht="16.2" customHeight="1">
      <c r="A356" s="2" t="s">
        <v>1009</v>
      </c>
      <c r="B356" s="2" t="s">
        <v>1010</v>
      </c>
      <c r="C356" s="2">
        <v>76</v>
      </c>
      <c r="D356" s="2" t="s">
        <v>32</v>
      </c>
      <c r="E356" s="2" t="s">
        <v>52</v>
      </c>
      <c r="F356" s="2" t="s">
        <v>25</v>
      </c>
      <c r="G356" s="2" t="s">
        <v>26</v>
      </c>
      <c r="H356" s="2" t="s">
        <v>824</v>
      </c>
      <c r="I356" s="2" t="s">
        <v>190</v>
      </c>
      <c r="J356" s="2">
        <v>15000</v>
      </c>
      <c r="K356" s="2" t="s">
        <v>168</v>
      </c>
      <c r="L356" s="2" t="s">
        <v>87</v>
      </c>
    </row>
    <row r="357" spans="1:12" ht="16.2" customHeight="1">
      <c r="A357" s="3" t="s">
        <v>1011</v>
      </c>
      <c r="B357" s="3" t="s">
        <v>1012</v>
      </c>
      <c r="C357" s="3">
        <v>86</v>
      </c>
      <c r="D357" s="3" t="s">
        <v>14</v>
      </c>
      <c r="E357" s="3" t="s">
        <v>15</v>
      </c>
      <c r="F357" s="3" t="s">
        <v>127</v>
      </c>
      <c r="G357" s="3" t="s">
        <v>48</v>
      </c>
      <c r="H357" s="3" t="s">
        <v>269</v>
      </c>
      <c r="I357" s="3" t="s">
        <v>722</v>
      </c>
      <c r="J357" s="3">
        <v>20000</v>
      </c>
      <c r="K357" s="3" t="s">
        <v>37</v>
      </c>
      <c r="L357" s="3" t="s">
        <v>21</v>
      </c>
    </row>
    <row r="358" spans="1:12" ht="16.2" customHeight="1">
      <c r="A358" s="2" t="s">
        <v>1013</v>
      </c>
      <c r="B358" s="2" t="s">
        <v>1014</v>
      </c>
      <c r="C358" s="2">
        <v>43</v>
      </c>
      <c r="D358" s="2" t="s">
        <v>32</v>
      </c>
      <c r="E358" s="2" t="s">
        <v>52</v>
      </c>
      <c r="F358" s="2" t="s">
        <v>25</v>
      </c>
      <c r="G358" s="2" t="s">
        <v>53</v>
      </c>
      <c r="H358" s="2" t="s">
        <v>495</v>
      </c>
      <c r="I358" s="2" t="s">
        <v>1015</v>
      </c>
      <c r="J358" s="2">
        <v>50000</v>
      </c>
      <c r="K358" s="2" t="s">
        <v>29</v>
      </c>
      <c r="L358" s="2" t="s">
        <v>38</v>
      </c>
    </row>
    <row r="359" spans="1:12" ht="16.2" customHeight="1">
      <c r="A359" s="3" t="s">
        <v>1016</v>
      </c>
      <c r="B359" s="3" t="s">
        <v>889</v>
      </c>
      <c r="C359" s="3">
        <v>27</v>
      </c>
      <c r="D359" s="3" t="s">
        <v>32</v>
      </c>
      <c r="E359" s="3" t="s">
        <v>70</v>
      </c>
      <c r="F359" s="3" t="s">
        <v>188</v>
      </c>
      <c r="G359" s="3" t="s">
        <v>53</v>
      </c>
      <c r="H359" s="3" t="s">
        <v>1017</v>
      </c>
      <c r="I359" s="3" t="s">
        <v>650</v>
      </c>
      <c r="J359" s="3">
        <v>15000</v>
      </c>
      <c r="K359" s="3" t="s">
        <v>20</v>
      </c>
      <c r="L359" s="3" t="s">
        <v>87</v>
      </c>
    </row>
    <row r="360" spans="1:12" ht="16.2" customHeight="1">
      <c r="A360" s="2" t="s">
        <v>1018</v>
      </c>
      <c r="B360" s="2" t="s">
        <v>601</v>
      </c>
      <c r="C360" s="2">
        <v>15</v>
      </c>
      <c r="D360" s="2" t="s">
        <v>32</v>
      </c>
      <c r="E360" s="2" t="s">
        <v>109</v>
      </c>
      <c r="F360" s="2" t="s">
        <v>34</v>
      </c>
      <c r="G360" s="2" t="s">
        <v>48</v>
      </c>
      <c r="H360" s="2" t="s">
        <v>1019</v>
      </c>
      <c r="I360" s="2" t="s">
        <v>696</v>
      </c>
      <c r="J360" s="2">
        <v>50000</v>
      </c>
      <c r="K360" s="2" t="s">
        <v>37</v>
      </c>
      <c r="L360" s="2" t="s">
        <v>55</v>
      </c>
    </row>
    <row r="361" spans="1:12" ht="16.2" customHeight="1">
      <c r="A361" s="3" t="s">
        <v>1020</v>
      </c>
      <c r="B361" s="3" t="s">
        <v>814</v>
      </c>
      <c r="C361" s="3">
        <v>28</v>
      </c>
      <c r="D361" s="3" t="s">
        <v>32</v>
      </c>
      <c r="E361" s="3" t="s">
        <v>15</v>
      </c>
      <c r="F361" s="3" t="s">
        <v>127</v>
      </c>
      <c r="G361" s="3" t="s">
        <v>53</v>
      </c>
      <c r="H361" s="3" t="s">
        <v>1021</v>
      </c>
      <c r="I361" s="3" t="s">
        <v>259</v>
      </c>
      <c r="J361" s="3">
        <v>50000</v>
      </c>
      <c r="K361" s="3" t="s">
        <v>37</v>
      </c>
      <c r="L361" s="3" t="s">
        <v>87</v>
      </c>
    </row>
    <row r="362" spans="1:12" ht="16.2" customHeight="1">
      <c r="A362" s="2" t="s">
        <v>1022</v>
      </c>
      <c r="B362" s="2" t="s">
        <v>820</v>
      </c>
      <c r="C362" s="2">
        <v>42</v>
      </c>
      <c r="D362" s="2" t="s">
        <v>32</v>
      </c>
      <c r="E362" s="2" t="s">
        <v>649</v>
      </c>
      <c r="F362" s="2" t="s">
        <v>127</v>
      </c>
      <c r="G362" s="2" t="s">
        <v>17</v>
      </c>
      <c r="H362" s="2" t="s">
        <v>185</v>
      </c>
      <c r="I362" s="2" t="s">
        <v>159</v>
      </c>
      <c r="J362" s="2">
        <v>75000</v>
      </c>
      <c r="K362" s="2" t="s">
        <v>37</v>
      </c>
      <c r="L362" s="2" t="s">
        <v>55</v>
      </c>
    </row>
    <row r="363" spans="1:12" ht="16.2" customHeight="1">
      <c r="A363" s="3" t="s">
        <v>1023</v>
      </c>
      <c r="B363" s="3" t="s">
        <v>1024</v>
      </c>
      <c r="C363" s="3">
        <v>0</v>
      </c>
      <c r="D363" s="3" t="s">
        <v>14</v>
      </c>
      <c r="E363" s="3" t="s">
        <v>230</v>
      </c>
      <c r="F363" s="3" t="s">
        <v>76</v>
      </c>
      <c r="G363" s="3" t="s">
        <v>53</v>
      </c>
      <c r="H363" s="3" t="s">
        <v>728</v>
      </c>
      <c r="I363" s="3" t="s">
        <v>456</v>
      </c>
      <c r="J363" s="3">
        <v>5000</v>
      </c>
      <c r="K363" s="3" t="s">
        <v>37</v>
      </c>
      <c r="L363" s="3" t="s">
        <v>55</v>
      </c>
    </row>
    <row r="364" spans="1:12" ht="16.2" customHeight="1">
      <c r="A364" s="2" t="s">
        <v>1025</v>
      </c>
      <c r="B364" s="2" t="s">
        <v>1026</v>
      </c>
      <c r="C364" s="2">
        <v>87</v>
      </c>
      <c r="D364" s="2" t="s">
        <v>14</v>
      </c>
      <c r="E364" s="2" t="s">
        <v>33</v>
      </c>
      <c r="F364" s="2" t="s">
        <v>76</v>
      </c>
      <c r="G364" s="2" t="s">
        <v>99</v>
      </c>
      <c r="H364" s="2" t="s">
        <v>419</v>
      </c>
      <c r="I364" s="2" t="s">
        <v>1027</v>
      </c>
      <c r="J364" s="2">
        <v>12000</v>
      </c>
      <c r="K364" s="2" t="s">
        <v>29</v>
      </c>
      <c r="L364" s="2" t="s">
        <v>55</v>
      </c>
    </row>
    <row r="365" spans="1:12" ht="16.2" customHeight="1">
      <c r="A365" s="3" t="s">
        <v>1028</v>
      </c>
      <c r="B365" s="3" t="s">
        <v>46</v>
      </c>
      <c r="C365" s="3">
        <v>3</v>
      </c>
      <c r="D365" s="3" t="s">
        <v>14</v>
      </c>
      <c r="E365" s="3" t="s">
        <v>85</v>
      </c>
      <c r="F365" s="3" t="s">
        <v>42</v>
      </c>
      <c r="G365" s="3" t="s">
        <v>48</v>
      </c>
      <c r="H365" s="3" t="s">
        <v>512</v>
      </c>
      <c r="I365" s="3" t="s">
        <v>499</v>
      </c>
      <c r="J365" s="3">
        <v>25000</v>
      </c>
      <c r="K365" s="3" t="s">
        <v>20</v>
      </c>
      <c r="L365" s="3" t="s">
        <v>55</v>
      </c>
    </row>
    <row r="366" spans="1:12" ht="16.2" customHeight="1">
      <c r="A366" s="2" t="s">
        <v>1029</v>
      </c>
      <c r="B366" s="2" t="s">
        <v>601</v>
      </c>
      <c r="C366" s="2">
        <v>41</v>
      </c>
      <c r="D366" s="2" t="s">
        <v>32</v>
      </c>
      <c r="E366" s="2" t="s">
        <v>85</v>
      </c>
      <c r="F366" s="2" t="s">
        <v>42</v>
      </c>
      <c r="G366" s="2" t="s">
        <v>35</v>
      </c>
      <c r="H366" s="2" t="s">
        <v>158</v>
      </c>
      <c r="I366" s="2" t="s">
        <v>209</v>
      </c>
      <c r="J366" s="2">
        <v>35000</v>
      </c>
      <c r="K366" s="2" t="s">
        <v>20</v>
      </c>
      <c r="L366" s="2" t="s">
        <v>87</v>
      </c>
    </row>
    <row r="367" spans="1:12" ht="16.2" customHeight="1">
      <c r="A367" s="3" t="s">
        <v>1030</v>
      </c>
      <c r="B367" s="3" t="s">
        <v>1031</v>
      </c>
      <c r="C367" s="3">
        <v>42</v>
      </c>
      <c r="D367" s="3" t="s">
        <v>32</v>
      </c>
      <c r="E367" s="3" t="s">
        <v>75</v>
      </c>
      <c r="F367" s="3" t="s">
        <v>16</v>
      </c>
      <c r="G367" s="3" t="s">
        <v>53</v>
      </c>
      <c r="H367" s="3" t="s">
        <v>100</v>
      </c>
      <c r="I367" s="3" t="s">
        <v>423</v>
      </c>
      <c r="J367" s="3">
        <v>50000</v>
      </c>
      <c r="K367" s="3" t="s">
        <v>37</v>
      </c>
      <c r="L367" s="3" t="s">
        <v>87</v>
      </c>
    </row>
    <row r="368" spans="1:12" ht="16.2" customHeight="1">
      <c r="A368" s="2" t="s">
        <v>1032</v>
      </c>
      <c r="B368" s="2" t="s">
        <v>1033</v>
      </c>
      <c r="C368" s="2">
        <v>58</v>
      </c>
      <c r="D368" s="2" t="s">
        <v>32</v>
      </c>
      <c r="E368" s="2" t="s">
        <v>85</v>
      </c>
      <c r="F368" s="2" t="s">
        <v>832</v>
      </c>
      <c r="G368" s="2" t="s">
        <v>53</v>
      </c>
      <c r="H368" s="2" t="s">
        <v>1034</v>
      </c>
      <c r="I368" s="2" t="s">
        <v>1035</v>
      </c>
      <c r="J368" s="2"/>
      <c r="K368" s="2" t="s">
        <v>29</v>
      </c>
      <c r="L368" s="2" t="s">
        <v>55</v>
      </c>
    </row>
    <row r="369" spans="1:12" ht="16.2" customHeight="1">
      <c r="A369" s="3" t="s">
        <v>1036</v>
      </c>
      <c r="B369" s="3" t="s">
        <v>1037</v>
      </c>
      <c r="C369" s="3">
        <v>31</v>
      </c>
      <c r="D369" s="3" t="s">
        <v>14</v>
      </c>
      <c r="E369" s="3" t="s">
        <v>70</v>
      </c>
      <c r="F369" s="3" t="s">
        <v>76</v>
      </c>
      <c r="G369" s="3" t="s">
        <v>53</v>
      </c>
      <c r="H369" s="3" t="s">
        <v>1038</v>
      </c>
      <c r="I369" s="3" t="s">
        <v>1039</v>
      </c>
      <c r="J369" s="3">
        <v>15000</v>
      </c>
      <c r="K369" s="3" t="s">
        <v>67</v>
      </c>
      <c r="L369" s="3" t="s">
        <v>21</v>
      </c>
    </row>
    <row r="370" spans="1:12" ht="16.2" customHeight="1">
      <c r="A370" s="2" t="s">
        <v>1040</v>
      </c>
      <c r="B370" s="2" t="s">
        <v>1041</v>
      </c>
      <c r="C370" s="2">
        <v>1</v>
      </c>
      <c r="D370" s="2" t="s">
        <v>14</v>
      </c>
      <c r="E370" s="2" t="s">
        <v>58</v>
      </c>
      <c r="F370" s="2" t="s">
        <v>34</v>
      </c>
      <c r="G370" s="2" t="s">
        <v>104</v>
      </c>
      <c r="H370" s="2" t="s">
        <v>1042</v>
      </c>
      <c r="I370" s="2" t="s">
        <v>612</v>
      </c>
      <c r="J370" s="2">
        <v>15000</v>
      </c>
      <c r="K370" s="2" t="s">
        <v>37</v>
      </c>
      <c r="L370" s="2" t="s">
        <v>38</v>
      </c>
    </row>
    <row r="371" spans="1:12" ht="16.2" customHeight="1">
      <c r="A371" s="3" t="s">
        <v>1043</v>
      </c>
      <c r="B371" s="3" t="s">
        <v>1044</v>
      </c>
      <c r="C371" s="3">
        <v>30</v>
      </c>
      <c r="D371" s="3" t="s">
        <v>14</v>
      </c>
      <c r="E371" s="3" t="s">
        <v>70</v>
      </c>
      <c r="F371" s="3" t="s">
        <v>132</v>
      </c>
      <c r="G371" s="3" t="s">
        <v>17</v>
      </c>
      <c r="H371" s="3" t="s">
        <v>72</v>
      </c>
      <c r="I371" s="3" t="s">
        <v>185</v>
      </c>
      <c r="J371" s="3">
        <v>8000</v>
      </c>
      <c r="K371" s="3" t="s">
        <v>238</v>
      </c>
      <c r="L371" s="3" t="s">
        <v>21</v>
      </c>
    </row>
    <row r="372" spans="1:12" ht="16.2" customHeight="1">
      <c r="A372" s="2" t="s">
        <v>1045</v>
      </c>
      <c r="B372" s="2" t="s">
        <v>553</v>
      </c>
      <c r="C372" s="2">
        <v>46</v>
      </c>
      <c r="D372" s="2" t="s">
        <v>506</v>
      </c>
      <c r="E372" s="2" t="s">
        <v>109</v>
      </c>
      <c r="F372" s="2" t="s">
        <v>42</v>
      </c>
      <c r="G372" s="2" t="s">
        <v>99</v>
      </c>
      <c r="H372" s="2" t="s">
        <v>18</v>
      </c>
      <c r="I372" s="2" t="s">
        <v>283</v>
      </c>
      <c r="J372" s="2">
        <v>15000</v>
      </c>
      <c r="K372" s="2" t="s">
        <v>37</v>
      </c>
      <c r="L372" s="2" t="s">
        <v>87</v>
      </c>
    </row>
    <row r="373" spans="1:12" ht="16.2" customHeight="1">
      <c r="A373" s="3" t="s">
        <v>1046</v>
      </c>
      <c r="B373" s="3" t="s">
        <v>1047</v>
      </c>
      <c r="C373" s="3">
        <v>6</v>
      </c>
      <c r="D373" s="3" t="s">
        <v>32</v>
      </c>
      <c r="E373" s="3" t="s">
        <v>15</v>
      </c>
      <c r="F373" s="3" t="s">
        <v>42</v>
      </c>
      <c r="G373" s="3" t="s">
        <v>53</v>
      </c>
      <c r="H373" s="3" t="s">
        <v>873</v>
      </c>
      <c r="I373" s="3" t="s">
        <v>1048</v>
      </c>
      <c r="J373" s="3">
        <v>75000</v>
      </c>
      <c r="K373" s="3" t="s">
        <v>20</v>
      </c>
      <c r="L373" s="3" t="s">
        <v>21</v>
      </c>
    </row>
    <row r="374" spans="1:12" ht="16.2" customHeight="1">
      <c r="A374" s="2" t="s">
        <v>1049</v>
      </c>
      <c r="B374" s="2" t="s">
        <v>1050</v>
      </c>
      <c r="C374" s="2">
        <v>76</v>
      </c>
      <c r="D374" s="2" t="s">
        <v>14</v>
      </c>
      <c r="E374" s="2" t="s">
        <v>85</v>
      </c>
      <c r="F374" s="2" t="s">
        <v>34</v>
      </c>
      <c r="G374" s="2" t="s">
        <v>48</v>
      </c>
      <c r="H374" s="2" t="s">
        <v>94</v>
      </c>
      <c r="I374" s="2" t="s">
        <v>451</v>
      </c>
      <c r="J374" s="2">
        <v>15000</v>
      </c>
      <c r="K374" s="2" t="s">
        <v>67</v>
      </c>
      <c r="L374" s="2" t="s">
        <v>55</v>
      </c>
    </row>
    <row r="375" spans="1:12" ht="16.2" customHeight="1">
      <c r="A375" s="3" t="s">
        <v>1051</v>
      </c>
      <c r="B375" s="3" t="s">
        <v>1052</v>
      </c>
      <c r="C375" s="3">
        <v>39</v>
      </c>
      <c r="D375" s="3" t="s">
        <v>32</v>
      </c>
      <c r="E375" s="3" t="s">
        <v>58</v>
      </c>
      <c r="F375" s="3" t="s">
        <v>16</v>
      </c>
      <c r="G375" s="3" t="s">
        <v>35</v>
      </c>
      <c r="H375" s="3" t="s">
        <v>128</v>
      </c>
      <c r="I375" s="3" t="s">
        <v>789</v>
      </c>
      <c r="J375" s="3">
        <v>35000</v>
      </c>
      <c r="K375" s="3" t="s">
        <v>29</v>
      </c>
      <c r="L375" s="3" t="s">
        <v>38</v>
      </c>
    </row>
    <row r="376" spans="1:12" ht="16.2" customHeight="1">
      <c r="A376" s="2" t="s">
        <v>1053</v>
      </c>
      <c r="B376" s="2" t="s">
        <v>1054</v>
      </c>
      <c r="C376" s="2">
        <v>3</v>
      </c>
      <c r="D376" s="2" t="s">
        <v>32</v>
      </c>
      <c r="E376" s="2" t="s">
        <v>58</v>
      </c>
      <c r="F376" s="2" t="s">
        <v>16</v>
      </c>
      <c r="G376" s="2" t="s">
        <v>26</v>
      </c>
      <c r="H376" s="2" t="s">
        <v>394</v>
      </c>
      <c r="I376" s="2" t="s">
        <v>437</v>
      </c>
      <c r="J376" s="2">
        <v>100000</v>
      </c>
      <c r="K376" s="2" t="s">
        <v>29</v>
      </c>
      <c r="L376" s="2" t="s">
        <v>55</v>
      </c>
    </row>
    <row r="377" spans="1:12" ht="16.2" customHeight="1">
      <c r="A377" s="3" t="s">
        <v>1055</v>
      </c>
      <c r="B377" s="3" t="s">
        <v>868</v>
      </c>
      <c r="C377" s="3">
        <v>10</v>
      </c>
      <c r="D377" s="3" t="s">
        <v>32</v>
      </c>
      <c r="E377" s="3" t="s">
        <v>58</v>
      </c>
      <c r="F377" s="3" t="s">
        <v>25</v>
      </c>
      <c r="G377" s="3" t="s">
        <v>35</v>
      </c>
      <c r="H377" s="3" t="s">
        <v>195</v>
      </c>
      <c r="I377" s="3" t="s">
        <v>453</v>
      </c>
      <c r="J377" s="3">
        <v>5000</v>
      </c>
      <c r="K377" s="3" t="s">
        <v>29</v>
      </c>
      <c r="L377" s="3" t="s">
        <v>55</v>
      </c>
    </row>
    <row r="378" spans="1:12" ht="16.2" customHeight="1">
      <c r="A378" s="2" t="s">
        <v>1056</v>
      </c>
      <c r="B378" s="2" t="s">
        <v>304</v>
      </c>
      <c r="C378" s="2">
        <v>83</v>
      </c>
      <c r="D378" s="2" t="s">
        <v>14</v>
      </c>
      <c r="E378" s="2" t="s">
        <v>52</v>
      </c>
      <c r="F378" s="2" t="s">
        <v>34</v>
      </c>
      <c r="G378" s="2" t="s">
        <v>99</v>
      </c>
      <c r="H378" s="2" t="s">
        <v>742</v>
      </c>
      <c r="I378" s="2" t="s">
        <v>659</v>
      </c>
      <c r="J378" s="2">
        <v>12000</v>
      </c>
      <c r="K378" s="2" t="s">
        <v>67</v>
      </c>
      <c r="L378" s="2" t="s">
        <v>55</v>
      </c>
    </row>
    <row r="379" spans="1:12" ht="16.2" customHeight="1">
      <c r="A379" s="3" t="s">
        <v>1057</v>
      </c>
      <c r="B379" s="3" t="s">
        <v>40</v>
      </c>
      <c r="C379" s="3">
        <v>85</v>
      </c>
      <c r="D379" s="3" t="s">
        <v>299</v>
      </c>
      <c r="E379" s="3" t="s">
        <v>58</v>
      </c>
      <c r="F379" s="3" t="s">
        <v>42</v>
      </c>
      <c r="G379" s="3" t="s">
        <v>48</v>
      </c>
      <c r="H379" s="3" t="s">
        <v>620</v>
      </c>
      <c r="I379" s="3" t="s">
        <v>621</v>
      </c>
      <c r="J379" s="3">
        <v>15000</v>
      </c>
      <c r="K379" s="3" t="s">
        <v>67</v>
      </c>
      <c r="L379" s="3" t="s">
        <v>87</v>
      </c>
    </row>
    <row r="380" spans="1:12" ht="16.2" customHeight="1">
      <c r="A380" s="2" t="s">
        <v>1057</v>
      </c>
      <c r="B380" s="2" t="s">
        <v>812</v>
      </c>
      <c r="C380" s="2">
        <v>85</v>
      </c>
      <c r="D380" s="2" t="s">
        <v>14</v>
      </c>
      <c r="E380" s="2" t="s">
        <v>58</v>
      </c>
      <c r="F380" s="2" t="s">
        <v>42</v>
      </c>
      <c r="G380" s="2" t="s">
        <v>48</v>
      </c>
      <c r="H380" s="2" t="s">
        <v>620</v>
      </c>
      <c r="I380" s="2" t="s">
        <v>621</v>
      </c>
      <c r="J380" s="2">
        <v>15000</v>
      </c>
      <c r="K380" s="2" t="s">
        <v>67</v>
      </c>
      <c r="L380" s="2" t="s">
        <v>87</v>
      </c>
    </row>
    <row r="381" spans="1:12" ht="16.2" customHeight="1">
      <c r="A381" s="3" t="s">
        <v>1058</v>
      </c>
      <c r="B381" s="3" t="s">
        <v>1059</v>
      </c>
      <c r="C381" s="3">
        <v>70</v>
      </c>
      <c r="D381" s="3" t="s">
        <v>32</v>
      </c>
      <c r="E381" s="3" t="s">
        <v>1060</v>
      </c>
      <c r="F381" s="3" t="s">
        <v>34</v>
      </c>
      <c r="G381" s="3" t="s">
        <v>26</v>
      </c>
      <c r="H381" s="3" t="s">
        <v>163</v>
      </c>
      <c r="I381" s="3" t="s">
        <v>769</v>
      </c>
      <c r="J381" s="3">
        <v>35000</v>
      </c>
      <c r="K381" s="3" t="s">
        <v>29</v>
      </c>
      <c r="L381" s="3" t="s">
        <v>87</v>
      </c>
    </row>
    <row r="382" spans="1:12" ht="16.2" customHeight="1">
      <c r="A382" s="2" t="s">
        <v>1061</v>
      </c>
      <c r="B382" s="2" t="s">
        <v>1062</v>
      </c>
      <c r="C382" s="2">
        <v>14</v>
      </c>
      <c r="D382" s="2" t="s">
        <v>32</v>
      </c>
      <c r="E382" s="2" t="s">
        <v>109</v>
      </c>
      <c r="F382" s="2" t="s">
        <v>34</v>
      </c>
      <c r="G382" s="2" t="s">
        <v>48</v>
      </c>
      <c r="H382" s="2" t="s">
        <v>374</v>
      </c>
      <c r="I382" s="2" t="s">
        <v>90</v>
      </c>
      <c r="J382" s="2">
        <v>15000</v>
      </c>
      <c r="K382" s="2" t="s">
        <v>20</v>
      </c>
      <c r="L382" s="2" t="s">
        <v>87</v>
      </c>
    </row>
    <row r="383" spans="1:12" ht="16.2" customHeight="1">
      <c r="A383" s="3" t="s">
        <v>1063</v>
      </c>
      <c r="B383" s="3" t="s">
        <v>1064</v>
      </c>
      <c r="C383" s="3">
        <v>34</v>
      </c>
      <c r="D383" s="3" t="s">
        <v>14</v>
      </c>
      <c r="E383" s="3" t="s">
        <v>649</v>
      </c>
      <c r="F383" s="3" t="s">
        <v>201</v>
      </c>
      <c r="G383" s="3" t="s">
        <v>26</v>
      </c>
      <c r="H383" s="3" t="s">
        <v>60</v>
      </c>
      <c r="I383" s="3" t="s">
        <v>464</v>
      </c>
      <c r="J383" s="3">
        <v>75000</v>
      </c>
      <c r="K383" s="3" t="s">
        <v>29</v>
      </c>
      <c r="L383" s="3" t="s">
        <v>21</v>
      </c>
    </row>
    <row r="384" spans="1:12" ht="16.2" customHeight="1">
      <c r="A384" s="2" t="s">
        <v>1065</v>
      </c>
      <c r="B384" s="2" t="s">
        <v>1066</v>
      </c>
      <c r="C384" s="2">
        <v>36</v>
      </c>
      <c r="D384" s="2" t="s">
        <v>14</v>
      </c>
      <c r="E384" s="2" t="s">
        <v>109</v>
      </c>
      <c r="F384" s="2" t="s">
        <v>34</v>
      </c>
      <c r="G384" s="2" t="s">
        <v>99</v>
      </c>
      <c r="H384" s="2" t="s">
        <v>1067</v>
      </c>
      <c r="I384" s="2" t="s">
        <v>137</v>
      </c>
      <c r="J384" s="2">
        <v>12000</v>
      </c>
      <c r="K384" s="2" t="s">
        <v>29</v>
      </c>
      <c r="L384" s="2" t="s">
        <v>38</v>
      </c>
    </row>
    <row r="385" spans="1:12" ht="16.2" customHeight="1">
      <c r="A385" s="3" t="s">
        <v>1068</v>
      </c>
      <c r="B385" s="3" t="s">
        <v>1069</v>
      </c>
      <c r="C385" s="3">
        <v>31</v>
      </c>
      <c r="D385" s="3" t="s">
        <v>32</v>
      </c>
      <c r="E385" s="3" t="s">
        <v>70</v>
      </c>
      <c r="F385" s="3" t="s">
        <v>25</v>
      </c>
      <c r="G385" s="3" t="s">
        <v>104</v>
      </c>
      <c r="H385" s="3" t="s">
        <v>574</v>
      </c>
      <c r="I385" s="3" t="s">
        <v>119</v>
      </c>
      <c r="J385" s="3">
        <v>35000</v>
      </c>
      <c r="K385" s="3" t="s">
        <v>67</v>
      </c>
      <c r="L385" s="3" t="s">
        <v>21</v>
      </c>
    </row>
    <row r="386" spans="1:12" ht="16.2" customHeight="1">
      <c r="A386" s="2" t="s">
        <v>1070</v>
      </c>
      <c r="B386" s="2" t="s">
        <v>1071</v>
      </c>
      <c r="C386" s="2">
        <v>59</v>
      </c>
      <c r="D386" s="2" t="s">
        <v>321</v>
      </c>
      <c r="E386" s="2" t="s">
        <v>52</v>
      </c>
      <c r="F386" s="2" t="s">
        <v>132</v>
      </c>
      <c r="G386" s="2" t="s">
        <v>48</v>
      </c>
      <c r="H386" s="2" t="s">
        <v>259</v>
      </c>
      <c r="I386" s="2" t="s">
        <v>1039</v>
      </c>
      <c r="J386" s="2">
        <v>50000</v>
      </c>
      <c r="K386" s="2" t="s">
        <v>20</v>
      </c>
      <c r="L386" s="2" t="s">
        <v>87</v>
      </c>
    </row>
    <row r="387" spans="1:12" ht="16.2" customHeight="1">
      <c r="A387" s="3" t="s">
        <v>1072</v>
      </c>
      <c r="B387" s="3" t="s">
        <v>1069</v>
      </c>
      <c r="C387" s="3">
        <v>25</v>
      </c>
      <c r="D387" s="3" t="s">
        <v>14</v>
      </c>
      <c r="E387" s="3" t="s">
        <v>987</v>
      </c>
      <c r="F387" s="3" t="s">
        <v>25</v>
      </c>
      <c r="G387" s="3" t="s">
        <v>35</v>
      </c>
      <c r="H387" s="3" t="s">
        <v>394</v>
      </c>
      <c r="I387" s="3" t="s">
        <v>729</v>
      </c>
      <c r="J387" s="3">
        <v>25000</v>
      </c>
      <c r="K387" s="3" t="s">
        <v>29</v>
      </c>
      <c r="L387" s="3" t="s">
        <v>55</v>
      </c>
    </row>
    <row r="388" spans="1:12" ht="16.2" customHeight="1">
      <c r="A388" s="2" t="s">
        <v>1073</v>
      </c>
      <c r="B388" s="2" t="s">
        <v>258</v>
      </c>
      <c r="C388" s="2">
        <v>40</v>
      </c>
      <c r="D388" s="2" t="s">
        <v>287</v>
      </c>
      <c r="E388" s="2" t="s">
        <v>52</v>
      </c>
      <c r="F388" s="2" t="s">
        <v>16</v>
      </c>
      <c r="G388" s="2" t="s">
        <v>17</v>
      </c>
      <c r="H388" s="2" t="s">
        <v>163</v>
      </c>
      <c r="I388" s="2" t="s">
        <v>36</v>
      </c>
      <c r="J388" s="2">
        <v>15000</v>
      </c>
      <c r="K388" s="2" t="s">
        <v>20</v>
      </c>
      <c r="L388" s="2" t="s">
        <v>87</v>
      </c>
    </row>
    <row r="389" spans="1:12" ht="16.2" customHeight="1">
      <c r="A389" s="3" t="s">
        <v>1074</v>
      </c>
      <c r="B389" s="3" t="s">
        <v>1075</v>
      </c>
      <c r="C389" s="3">
        <v>69</v>
      </c>
      <c r="D389" s="3" t="s">
        <v>32</v>
      </c>
      <c r="E389" s="3" t="s">
        <v>58</v>
      </c>
      <c r="F389" s="3" t="s">
        <v>16</v>
      </c>
      <c r="G389" s="3" t="s">
        <v>99</v>
      </c>
      <c r="H389" s="3" t="s">
        <v>499</v>
      </c>
      <c r="I389" s="3" t="s">
        <v>618</v>
      </c>
      <c r="J389" s="3">
        <v>20000</v>
      </c>
      <c r="K389" s="3" t="s">
        <v>29</v>
      </c>
      <c r="L389" s="3" t="s">
        <v>38</v>
      </c>
    </row>
    <row r="390" spans="1:12" ht="16.2" customHeight="1">
      <c r="A390" s="2" t="s">
        <v>1076</v>
      </c>
      <c r="B390" s="2" t="s">
        <v>907</v>
      </c>
      <c r="C390" s="2">
        <v>82</v>
      </c>
      <c r="D390" s="2" t="s">
        <v>32</v>
      </c>
      <c r="E390" s="2" t="s">
        <v>945</v>
      </c>
      <c r="F390" s="2" t="s">
        <v>42</v>
      </c>
      <c r="G390" s="2" t="s">
        <v>104</v>
      </c>
      <c r="H390" s="2" t="s">
        <v>644</v>
      </c>
      <c r="I390" s="2" t="s">
        <v>786</v>
      </c>
      <c r="J390" s="2">
        <v>25000</v>
      </c>
      <c r="K390" s="2" t="s">
        <v>67</v>
      </c>
      <c r="L390" s="2" t="s">
        <v>38</v>
      </c>
    </row>
    <row r="391" spans="1:12" ht="16.2" customHeight="1">
      <c r="A391" s="3" t="s">
        <v>1077</v>
      </c>
      <c r="B391" s="3" t="s">
        <v>1078</v>
      </c>
      <c r="C391" s="3">
        <v>47</v>
      </c>
      <c r="D391" s="3" t="s">
        <v>14</v>
      </c>
      <c r="E391" s="3" t="s">
        <v>15</v>
      </c>
      <c r="F391" s="3" t="s">
        <v>16</v>
      </c>
      <c r="G391" s="3" t="s">
        <v>48</v>
      </c>
      <c r="H391" s="3" t="s">
        <v>785</v>
      </c>
      <c r="I391" s="3" t="s">
        <v>434</v>
      </c>
      <c r="J391" s="3">
        <v>5000</v>
      </c>
      <c r="K391" s="3" t="s">
        <v>20</v>
      </c>
      <c r="L391" s="3" t="s">
        <v>55</v>
      </c>
    </row>
    <row r="392" spans="1:12" ht="16.2" customHeight="1">
      <c r="A392" s="2" t="s">
        <v>1079</v>
      </c>
      <c r="B392" s="2" t="s">
        <v>1069</v>
      </c>
      <c r="C392" s="2">
        <v>34</v>
      </c>
      <c r="D392" s="2" t="s">
        <v>32</v>
      </c>
      <c r="E392" s="2" t="s">
        <v>33</v>
      </c>
      <c r="F392" s="2" t="s">
        <v>16</v>
      </c>
      <c r="G392" s="2" t="s">
        <v>17</v>
      </c>
      <c r="H392" s="2" t="s">
        <v>631</v>
      </c>
      <c r="I392" s="2" t="s">
        <v>816</v>
      </c>
      <c r="J392" s="2">
        <v>15000</v>
      </c>
      <c r="K392" s="2" t="s">
        <v>96</v>
      </c>
      <c r="L392" s="2" t="s">
        <v>55</v>
      </c>
    </row>
    <row r="393" spans="1:12" ht="16.2" customHeight="1">
      <c r="A393" s="3" t="s">
        <v>1080</v>
      </c>
      <c r="B393" s="3" t="s">
        <v>902</v>
      </c>
      <c r="C393" s="3">
        <v>9</v>
      </c>
      <c r="D393" s="3" t="s">
        <v>14</v>
      </c>
      <c r="E393" s="3" t="s">
        <v>441</v>
      </c>
      <c r="F393" s="3" t="s">
        <v>25</v>
      </c>
      <c r="G393" s="3" t="s">
        <v>99</v>
      </c>
      <c r="H393" s="3" t="s">
        <v>437</v>
      </c>
      <c r="I393" s="3" t="s">
        <v>322</v>
      </c>
      <c r="J393" s="3">
        <v>50000</v>
      </c>
      <c r="K393" s="3" t="s">
        <v>67</v>
      </c>
      <c r="L393" s="3" t="s">
        <v>55</v>
      </c>
    </row>
    <row r="394" spans="1:12" ht="16.2" customHeight="1">
      <c r="A394" s="2" t="s">
        <v>1081</v>
      </c>
      <c r="B394" s="2" t="s">
        <v>1082</v>
      </c>
      <c r="C394" s="2">
        <v>47</v>
      </c>
      <c r="D394" s="2" t="s">
        <v>32</v>
      </c>
      <c r="E394" s="2" t="s">
        <v>109</v>
      </c>
      <c r="F394" s="2" t="s">
        <v>42</v>
      </c>
      <c r="G394" s="2" t="s">
        <v>48</v>
      </c>
      <c r="H394" s="2" t="s">
        <v>741</v>
      </c>
      <c r="I394" s="2" t="s">
        <v>387</v>
      </c>
      <c r="J394" s="2">
        <v>5000</v>
      </c>
      <c r="K394" s="2" t="s">
        <v>37</v>
      </c>
      <c r="L394" s="2" t="s">
        <v>87</v>
      </c>
    </row>
    <row r="395" spans="1:12" ht="16.2" customHeight="1">
      <c r="A395" s="3" t="s">
        <v>1083</v>
      </c>
      <c r="B395" s="3" t="s">
        <v>485</v>
      </c>
      <c r="C395" s="3">
        <v>69</v>
      </c>
      <c r="D395" s="3" t="s">
        <v>14</v>
      </c>
      <c r="E395" s="3" t="s">
        <v>52</v>
      </c>
      <c r="F395" s="3" t="s">
        <v>132</v>
      </c>
      <c r="G395" s="3" t="s">
        <v>26</v>
      </c>
      <c r="H395" s="3" t="s">
        <v>696</v>
      </c>
      <c r="I395" s="3" t="s">
        <v>1084</v>
      </c>
      <c r="J395" s="3">
        <v>50000</v>
      </c>
      <c r="K395" s="3" t="s">
        <v>67</v>
      </c>
      <c r="L395" s="3" t="s">
        <v>87</v>
      </c>
    </row>
    <row r="396" spans="1:12" ht="16.2" customHeight="1">
      <c r="A396" s="2" t="s">
        <v>1085</v>
      </c>
      <c r="B396" s="2" t="s">
        <v>907</v>
      </c>
      <c r="C396" s="2">
        <v>43</v>
      </c>
      <c r="D396" s="2" t="s">
        <v>14</v>
      </c>
      <c r="E396" s="2" t="s">
        <v>1086</v>
      </c>
      <c r="F396" s="2" t="s">
        <v>42</v>
      </c>
      <c r="G396" s="2" t="s">
        <v>26</v>
      </c>
      <c r="H396" s="2" t="s">
        <v>123</v>
      </c>
      <c r="I396" s="2" t="s">
        <v>124</v>
      </c>
      <c r="J396" s="2">
        <v>15000</v>
      </c>
      <c r="K396" s="2" t="s">
        <v>67</v>
      </c>
      <c r="L396" s="2" t="s">
        <v>55</v>
      </c>
    </row>
    <row r="397" spans="1:12" ht="16.2" customHeight="1">
      <c r="A397" s="3" t="s">
        <v>1087</v>
      </c>
      <c r="B397" s="3" t="s">
        <v>823</v>
      </c>
      <c r="C397" s="3" t="s">
        <v>530</v>
      </c>
      <c r="D397" s="3" t="s">
        <v>14</v>
      </c>
      <c r="E397" s="3" t="s">
        <v>15</v>
      </c>
      <c r="F397" s="3" t="s">
        <v>34</v>
      </c>
      <c r="G397" s="3" t="s">
        <v>48</v>
      </c>
      <c r="H397" s="3" t="s">
        <v>745</v>
      </c>
      <c r="I397" s="3" t="s">
        <v>878</v>
      </c>
      <c r="J397" s="3">
        <v>35000</v>
      </c>
      <c r="K397" s="3" t="s">
        <v>37</v>
      </c>
      <c r="L397" s="3" t="s">
        <v>21</v>
      </c>
    </row>
    <row r="398" spans="1:12" ht="16.2" customHeight="1">
      <c r="A398" s="2" t="s">
        <v>1088</v>
      </c>
      <c r="B398" s="2" t="s">
        <v>803</v>
      </c>
      <c r="C398" s="2">
        <v>76</v>
      </c>
      <c r="D398" s="2" t="s">
        <v>14</v>
      </c>
      <c r="E398" s="2" t="s">
        <v>572</v>
      </c>
      <c r="F398" s="2" t="s">
        <v>127</v>
      </c>
      <c r="G398" s="2" t="s">
        <v>26</v>
      </c>
      <c r="H398" s="2" t="s">
        <v>269</v>
      </c>
      <c r="I398" s="2" t="s">
        <v>569</v>
      </c>
      <c r="J398" s="2">
        <v>100000</v>
      </c>
      <c r="K398" s="2" t="s">
        <v>29</v>
      </c>
      <c r="L398" s="2"/>
    </row>
    <row r="399" spans="1:12" ht="16.2" customHeight="1">
      <c r="A399" s="3" t="s">
        <v>1089</v>
      </c>
      <c r="B399" s="3" t="s">
        <v>428</v>
      </c>
      <c r="C399" s="3">
        <v>86</v>
      </c>
      <c r="D399" s="3" t="s">
        <v>32</v>
      </c>
      <c r="E399" s="3" t="s">
        <v>117</v>
      </c>
      <c r="F399" s="3" t="s">
        <v>25</v>
      </c>
      <c r="G399" s="3" t="s">
        <v>99</v>
      </c>
      <c r="H399" s="3" t="s">
        <v>266</v>
      </c>
      <c r="I399" s="3" t="s">
        <v>387</v>
      </c>
      <c r="J399" s="3">
        <v>20000</v>
      </c>
      <c r="K399" s="3" t="s">
        <v>20</v>
      </c>
      <c r="L399" s="3" t="s">
        <v>21</v>
      </c>
    </row>
    <row r="400" spans="1:12" ht="16.2" customHeight="1">
      <c r="A400" s="2" t="s">
        <v>1090</v>
      </c>
      <c r="B400" s="2" t="s">
        <v>1091</v>
      </c>
      <c r="C400" s="2">
        <v>8</v>
      </c>
      <c r="D400" s="2" t="s">
        <v>32</v>
      </c>
      <c r="E400" s="2" t="s">
        <v>70</v>
      </c>
      <c r="F400" s="2" t="s">
        <v>25</v>
      </c>
      <c r="G400" s="2" t="s">
        <v>35</v>
      </c>
      <c r="H400" s="2" t="s">
        <v>588</v>
      </c>
      <c r="I400" s="2" t="s">
        <v>960</v>
      </c>
      <c r="J400" s="2">
        <v>5000</v>
      </c>
      <c r="K400" s="2" t="s">
        <v>37</v>
      </c>
      <c r="L400" s="2" t="s">
        <v>21</v>
      </c>
    </row>
    <row r="401" spans="1:12" ht="16.2" customHeight="1">
      <c r="A401" s="3" t="s">
        <v>1092</v>
      </c>
      <c r="B401" s="3" t="s">
        <v>1093</v>
      </c>
      <c r="C401" s="3"/>
      <c r="D401" s="3" t="s">
        <v>32</v>
      </c>
      <c r="E401" s="3" t="s">
        <v>109</v>
      </c>
      <c r="F401" s="3" t="s">
        <v>132</v>
      </c>
      <c r="G401" s="3" t="s">
        <v>26</v>
      </c>
      <c r="H401" s="3" t="s">
        <v>1094</v>
      </c>
      <c r="I401" s="3" t="s">
        <v>167</v>
      </c>
      <c r="J401" s="3">
        <v>75000</v>
      </c>
      <c r="K401" s="3" t="s">
        <v>37</v>
      </c>
      <c r="L401" s="3" t="s">
        <v>55</v>
      </c>
    </row>
    <row r="402" spans="1:12" ht="16.2" customHeight="1">
      <c r="A402" s="2" t="s">
        <v>1095</v>
      </c>
      <c r="B402" s="2" t="s">
        <v>1096</v>
      </c>
      <c r="C402" s="2">
        <v>10</v>
      </c>
      <c r="D402" s="2" t="s">
        <v>14</v>
      </c>
      <c r="E402" s="2" t="s">
        <v>70</v>
      </c>
      <c r="F402" s="2" t="s">
        <v>42</v>
      </c>
      <c r="G402" s="2" t="s">
        <v>26</v>
      </c>
      <c r="H402" s="2" t="s">
        <v>374</v>
      </c>
      <c r="I402" s="2" t="s">
        <v>402</v>
      </c>
      <c r="J402" s="2">
        <v>100000</v>
      </c>
      <c r="K402" s="2" t="s">
        <v>37</v>
      </c>
      <c r="L402" s="2" t="s">
        <v>55</v>
      </c>
    </row>
    <row r="403" spans="1:12" ht="16.2" customHeight="1">
      <c r="A403" s="3" t="s">
        <v>1097</v>
      </c>
      <c r="B403" s="3" t="s">
        <v>1098</v>
      </c>
      <c r="C403" s="3"/>
      <c r="D403" s="3" t="s">
        <v>14</v>
      </c>
      <c r="E403" s="3" t="s">
        <v>85</v>
      </c>
      <c r="F403" s="3" t="s">
        <v>127</v>
      </c>
      <c r="G403" s="3" t="s">
        <v>17</v>
      </c>
      <c r="H403" s="3" t="s">
        <v>1099</v>
      </c>
      <c r="I403" s="3" t="s">
        <v>430</v>
      </c>
      <c r="J403" s="3">
        <v>50000</v>
      </c>
      <c r="K403" s="3" t="s">
        <v>29</v>
      </c>
      <c r="L403" s="3" t="s">
        <v>87</v>
      </c>
    </row>
    <row r="404" spans="1:12" ht="16.2" customHeight="1">
      <c r="A404" s="2" t="s">
        <v>1100</v>
      </c>
      <c r="B404" s="2" t="s">
        <v>1101</v>
      </c>
      <c r="C404" s="2">
        <v>78</v>
      </c>
      <c r="D404" s="2" t="s">
        <v>486</v>
      </c>
      <c r="E404" s="2" t="s">
        <v>15</v>
      </c>
      <c r="F404" s="2" t="s">
        <v>127</v>
      </c>
      <c r="G404" s="2" t="s">
        <v>53</v>
      </c>
      <c r="H404" s="2" t="s">
        <v>82</v>
      </c>
      <c r="I404" s="2" t="s">
        <v>785</v>
      </c>
      <c r="J404" s="2">
        <v>35000</v>
      </c>
      <c r="K404" s="2" t="s">
        <v>67</v>
      </c>
      <c r="L404" s="2" t="s">
        <v>21</v>
      </c>
    </row>
    <row r="405" spans="1:12" ht="16.2" customHeight="1">
      <c r="A405" s="3" t="s">
        <v>1102</v>
      </c>
      <c r="B405" s="3" t="s">
        <v>1103</v>
      </c>
      <c r="C405" s="3">
        <v>9</v>
      </c>
      <c r="D405" s="3" t="s">
        <v>32</v>
      </c>
      <c r="E405" s="3" t="s">
        <v>33</v>
      </c>
      <c r="F405" s="3" t="s">
        <v>42</v>
      </c>
      <c r="G405" s="3" t="s">
        <v>35</v>
      </c>
      <c r="H405" s="3" t="s">
        <v>507</v>
      </c>
      <c r="I405" s="3" t="s">
        <v>219</v>
      </c>
      <c r="J405" s="3">
        <v>20000</v>
      </c>
      <c r="K405" s="3" t="s">
        <v>29</v>
      </c>
      <c r="L405" s="3" t="s">
        <v>87</v>
      </c>
    </row>
    <row r="406" spans="1:12" ht="16.2" customHeight="1">
      <c r="A406" s="2" t="s">
        <v>1104</v>
      </c>
      <c r="B406" s="2" t="s">
        <v>1093</v>
      </c>
      <c r="C406" s="2">
        <v>33</v>
      </c>
      <c r="D406" s="2" t="s">
        <v>32</v>
      </c>
      <c r="E406" s="2" t="s">
        <v>70</v>
      </c>
      <c r="F406" s="2" t="s">
        <v>25</v>
      </c>
      <c r="G406" s="2" t="s">
        <v>99</v>
      </c>
      <c r="H406" s="2" t="s">
        <v>44</v>
      </c>
      <c r="I406" s="2" t="s">
        <v>86</v>
      </c>
      <c r="J406" s="2">
        <v>25000</v>
      </c>
      <c r="K406" s="2" t="s">
        <v>20</v>
      </c>
      <c r="L406" s="2" t="s">
        <v>87</v>
      </c>
    </row>
    <row r="407" spans="1:12" ht="16.2" customHeight="1">
      <c r="A407" s="3" t="s">
        <v>1105</v>
      </c>
      <c r="B407" s="3" t="s">
        <v>1106</v>
      </c>
      <c r="C407" s="3">
        <v>50</v>
      </c>
      <c r="D407" s="3" t="s">
        <v>14</v>
      </c>
      <c r="E407" s="3" t="s">
        <v>109</v>
      </c>
      <c r="F407" s="3" t="s">
        <v>34</v>
      </c>
      <c r="G407" s="3" t="s">
        <v>17</v>
      </c>
      <c r="H407" s="3" t="s">
        <v>202</v>
      </c>
      <c r="I407" s="3" t="s">
        <v>280</v>
      </c>
      <c r="J407" s="3">
        <v>100000</v>
      </c>
      <c r="K407" s="3" t="s">
        <v>67</v>
      </c>
      <c r="L407" s="3" t="s">
        <v>87</v>
      </c>
    </row>
    <row r="408" spans="1:12" ht="16.2" customHeight="1">
      <c r="A408" s="2" t="s">
        <v>1107</v>
      </c>
      <c r="B408" s="2" t="s">
        <v>1108</v>
      </c>
      <c r="C408" s="2">
        <v>1</v>
      </c>
      <c r="D408" s="2" t="s">
        <v>32</v>
      </c>
      <c r="E408" s="2" t="s">
        <v>58</v>
      </c>
      <c r="F408" s="2" t="s">
        <v>76</v>
      </c>
      <c r="G408" s="2" t="s">
        <v>99</v>
      </c>
      <c r="H408" s="2" t="s">
        <v>613</v>
      </c>
      <c r="I408" s="2" t="s">
        <v>419</v>
      </c>
      <c r="J408" s="2">
        <v>75000</v>
      </c>
      <c r="K408" s="2" t="s">
        <v>37</v>
      </c>
      <c r="L408" s="2" t="s">
        <v>87</v>
      </c>
    </row>
    <row r="409" spans="1:12" ht="16.2" customHeight="1">
      <c r="A409" s="3" t="s">
        <v>1109</v>
      </c>
      <c r="B409" s="3" t="s">
        <v>1110</v>
      </c>
      <c r="C409" s="3">
        <v>14</v>
      </c>
      <c r="D409" s="3" t="s">
        <v>32</v>
      </c>
      <c r="E409" s="3" t="s">
        <v>33</v>
      </c>
      <c r="F409" s="3" t="s">
        <v>34</v>
      </c>
      <c r="G409" s="3" t="s">
        <v>26</v>
      </c>
      <c r="H409" s="3" t="s">
        <v>90</v>
      </c>
      <c r="I409" s="3" t="s">
        <v>852</v>
      </c>
      <c r="J409" s="3">
        <v>100000</v>
      </c>
      <c r="K409" s="3" t="s">
        <v>983</v>
      </c>
      <c r="L409" s="3" t="s">
        <v>55</v>
      </c>
    </row>
    <row r="410" spans="1:12" ht="16.2" customHeight="1">
      <c r="A410" s="2" t="s">
        <v>1111</v>
      </c>
      <c r="B410" s="2" t="s">
        <v>1112</v>
      </c>
      <c r="C410" s="2">
        <v>20</v>
      </c>
      <c r="D410" s="2" t="s">
        <v>32</v>
      </c>
      <c r="E410" s="2" t="s">
        <v>70</v>
      </c>
      <c r="F410" s="2" t="s">
        <v>76</v>
      </c>
      <c r="G410" s="2" t="s">
        <v>53</v>
      </c>
      <c r="H410" s="2" t="s">
        <v>382</v>
      </c>
      <c r="I410" s="2" t="s">
        <v>185</v>
      </c>
      <c r="J410" s="2">
        <v>35000</v>
      </c>
      <c r="K410" s="2" t="s">
        <v>20</v>
      </c>
      <c r="L410" s="2" t="s">
        <v>21</v>
      </c>
    </row>
    <row r="411" spans="1:12" ht="16.2" customHeight="1">
      <c r="A411" s="3" t="s">
        <v>1113</v>
      </c>
      <c r="B411" s="3" t="s">
        <v>1106</v>
      </c>
      <c r="C411" s="3">
        <v>62</v>
      </c>
      <c r="D411" s="3" t="s">
        <v>14</v>
      </c>
      <c r="E411" s="3" t="s">
        <v>15</v>
      </c>
      <c r="F411" s="3" t="s">
        <v>42</v>
      </c>
      <c r="G411" s="3" t="s">
        <v>17</v>
      </c>
      <c r="H411" s="3" t="s">
        <v>1067</v>
      </c>
      <c r="I411" s="3" t="s">
        <v>209</v>
      </c>
      <c r="J411" s="3">
        <v>75000</v>
      </c>
      <c r="K411" s="3" t="s">
        <v>37</v>
      </c>
      <c r="L411" s="3" t="s">
        <v>55</v>
      </c>
    </row>
    <row r="412" spans="1:12" ht="16.2" customHeight="1">
      <c r="A412" s="2" t="s">
        <v>1114</v>
      </c>
      <c r="B412" s="2" t="s">
        <v>529</v>
      </c>
      <c r="C412" s="2">
        <v>61</v>
      </c>
      <c r="D412" s="2" t="s">
        <v>14</v>
      </c>
      <c r="E412" s="2" t="s">
        <v>58</v>
      </c>
      <c r="F412" s="2" t="s">
        <v>42</v>
      </c>
      <c r="G412" s="2" t="s">
        <v>104</v>
      </c>
      <c r="H412" s="2" t="s">
        <v>1015</v>
      </c>
      <c r="I412" s="2" t="s">
        <v>142</v>
      </c>
      <c r="J412" s="2">
        <v>25000</v>
      </c>
      <c r="K412" s="2" t="s">
        <v>20</v>
      </c>
      <c r="L412" s="2" t="s">
        <v>55</v>
      </c>
    </row>
    <row r="413" spans="1:12" ht="16.2" customHeight="1">
      <c r="A413" s="3" t="s">
        <v>1115</v>
      </c>
      <c r="B413" s="3" t="s">
        <v>1116</v>
      </c>
      <c r="C413" s="3">
        <v>15</v>
      </c>
      <c r="D413" s="3" t="s">
        <v>32</v>
      </c>
      <c r="E413" s="3" t="s">
        <v>70</v>
      </c>
      <c r="F413" s="3" t="s">
        <v>127</v>
      </c>
      <c r="G413" s="3" t="s">
        <v>99</v>
      </c>
      <c r="H413" s="3" t="s">
        <v>668</v>
      </c>
      <c r="I413" s="3" t="s">
        <v>110</v>
      </c>
      <c r="J413" s="3">
        <v>25000</v>
      </c>
      <c r="K413" s="3" t="s">
        <v>67</v>
      </c>
      <c r="L413" s="3" t="s">
        <v>55</v>
      </c>
    </row>
    <row r="414" spans="1:12" ht="16.2" customHeight="1">
      <c r="A414" s="2" t="s">
        <v>1117</v>
      </c>
      <c r="B414" s="2" t="s">
        <v>1118</v>
      </c>
      <c r="C414" s="2">
        <v>17</v>
      </c>
      <c r="D414" s="2" t="s">
        <v>32</v>
      </c>
      <c r="E414" s="2" t="s">
        <v>33</v>
      </c>
      <c r="F414" s="2" t="s">
        <v>25</v>
      </c>
      <c r="G414" s="2" t="s">
        <v>35</v>
      </c>
      <c r="H414" s="2" t="s">
        <v>210</v>
      </c>
      <c r="I414" s="2" t="s">
        <v>305</v>
      </c>
      <c r="J414" s="2">
        <v>12000</v>
      </c>
      <c r="K414" s="2" t="s">
        <v>20</v>
      </c>
      <c r="L414" s="2" t="s">
        <v>38</v>
      </c>
    </row>
    <row r="415" spans="1:12" ht="16.2" customHeight="1">
      <c r="A415" s="3" t="s">
        <v>1119</v>
      </c>
      <c r="B415" s="3" t="s">
        <v>469</v>
      </c>
      <c r="C415" s="3">
        <v>52</v>
      </c>
      <c r="D415" s="3" t="s">
        <v>32</v>
      </c>
      <c r="E415" s="3" t="s">
        <v>109</v>
      </c>
      <c r="F415" s="3" t="s">
        <v>16</v>
      </c>
      <c r="G415" s="3" t="s">
        <v>17</v>
      </c>
      <c r="H415" s="3" t="s">
        <v>274</v>
      </c>
      <c r="I415" s="3" t="s">
        <v>54</v>
      </c>
      <c r="J415" s="3">
        <v>12000</v>
      </c>
      <c r="K415" s="3" t="s">
        <v>20</v>
      </c>
      <c r="L415" s="3" t="s">
        <v>87</v>
      </c>
    </row>
    <row r="416" spans="1:12" ht="16.2" customHeight="1">
      <c r="A416" s="2" t="s">
        <v>1120</v>
      </c>
      <c r="B416" s="2" t="s">
        <v>993</v>
      </c>
      <c r="C416" s="2">
        <v>59</v>
      </c>
      <c r="D416" s="2" t="s">
        <v>32</v>
      </c>
      <c r="E416" s="2" t="s">
        <v>58</v>
      </c>
      <c r="F416" s="2" t="s">
        <v>16</v>
      </c>
      <c r="G416" s="2" t="s">
        <v>17</v>
      </c>
      <c r="H416" s="2" t="s">
        <v>110</v>
      </c>
      <c r="I416" s="2" t="s">
        <v>1121</v>
      </c>
      <c r="J416" s="2">
        <v>100000</v>
      </c>
      <c r="K416" s="2" t="s">
        <v>29</v>
      </c>
      <c r="L416" s="2"/>
    </row>
    <row r="417" spans="1:12" ht="16.2" customHeight="1">
      <c r="A417" s="3" t="s">
        <v>1122</v>
      </c>
      <c r="B417" s="3" t="s">
        <v>1123</v>
      </c>
      <c r="C417" s="3">
        <v>75</v>
      </c>
      <c r="D417" s="3" t="s">
        <v>32</v>
      </c>
      <c r="E417" s="3" t="s">
        <v>52</v>
      </c>
      <c r="F417" s="3" t="s">
        <v>25</v>
      </c>
      <c r="G417" s="3" t="s">
        <v>104</v>
      </c>
      <c r="H417" s="3" t="s">
        <v>159</v>
      </c>
      <c r="I417" s="3" t="s">
        <v>1124</v>
      </c>
      <c r="J417" s="3">
        <v>100000</v>
      </c>
      <c r="K417" s="3" t="s">
        <v>20</v>
      </c>
      <c r="L417" s="3" t="s">
        <v>55</v>
      </c>
    </row>
    <row r="418" spans="1:12" ht="16.2" customHeight="1">
      <c r="A418" s="2" t="s">
        <v>1125</v>
      </c>
      <c r="B418" s="2" t="s">
        <v>1126</v>
      </c>
      <c r="C418" s="2">
        <v>56</v>
      </c>
      <c r="D418" s="2" t="s">
        <v>299</v>
      </c>
      <c r="E418" s="2" t="s">
        <v>443</v>
      </c>
      <c r="F418" s="2" t="s">
        <v>132</v>
      </c>
      <c r="G418" s="2" t="s">
        <v>26</v>
      </c>
      <c r="H418" s="2" t="s">
        <v>172</v>
      </c>
      <c r="I418" s="2" t="s">
        <v>1127</v>
      </c>
      <c r="J418" s="2">
        <v>100000</v>
      </c>
      <c r="K418" s="2" t="s">
        <v>349</v>
      </c>
      <c r="L418" s="2" t="s">
        <v>87</v>
      </c>
    </row>
    <row r="419" spans="1:12" ht="16.2" customHeight="1">
      <c r="A419" s="3" t="s">
        <v>1128</v>
      </c>
      <c r="B419" s="3" t="s">
        <v>657</v>
      </c>
      <c r="C419" s="3">
        <v>37</v>
      </c>
      <c r="D419" s="3" t="s">
        <v>287</v>
      </c>
      <c r="E419" s="3" t="s">
        <v>15</v>
      </c>
      <c r="F419" s="3" t="s">
        <v>76</v>
      </c>
      <c r="G419" s="3" t="s">
        <v>35</v>
      </c>
      <c r="H419" s="3" t="s">
        <v>1129</v>
      </c>
      <c r="I419" s="3" t="s">
        <v>416</v>
      </c>
      <c r="J419" s="3">
        <v>5000</v>
      </c>
      <c r="K419" s="3" t="s">
        <v>37</v>
      </c>
      <c r="L419" s="3" t="s">
        <v>21</v>
      </c>
    </row>
    <row r="420" spans="1:12" ht="16.2" customHeight="1">
      <c r="A420" s="2" t="s">
        <v>1130</v>
      </c>
      <c r="B420" s="2" t="s">
        <v>1131</v>
      </c>
      <c r="C420" s="2">
        <v>29</v>
      </c>
      <c r="D420" s="2" t="s">
        <v>14</v>
      </c>
      <c r="E420" s="2" t="s">
        <v>52</v>
      </c>
      <c r="F420" s="2" t="s">
        <v>34</v>
      </c>
      <c r="G420" s="2" t="s">
        <v>48</v>
      </c>
      <c r="H420" s="2" t="s">
        <v>1132</v>
      </c>
      <c r="I420" s="2" t="s">
        <v>483</v>
      </c>
      <c r="J420" s="2">
        <v>8000</v>
      </c>
      <c r="K420" s="2"/>
      <c r="L420" s="2" t="s">
        <v>87</v>
      </c>
    </row>
    <row r="421" spans="1:12" ht="16.2" customHeight="1">
      <c r="A421" s="3" t="s">
        <v>1133</v>
      </c>
      <c r="B421" s="3" t="s">
        <v>1134</v>
      </c>
      <c r="C421" s="3">
        <v>34</v>
      </c>
      <c r="D421" s="3" t="s">
        <v>14</v>
      </c>
      <c r="E421" s="3" t="s">
        <v>33</v>
      </c>
      <c r="F421" s="3" t="s">
        <v>76</v>
      </c>
      <c r="G421" s="3" t="s">
        <v>35</v>
      </c>
      <c r="H421" s="3" t="s">
        <v>520</v>
      </c>
      <c r="I421" s="3" t="s">
        <v>237</v>
      </c>
      <c r="J421" s="3">
        <v>5000</v>
      </c>
      <c r="K421" s="3" t="s">
        <v>29</v>
      </c>
      <c r="L421" s="3" t="s">
        <v>87</v>
      </c>
    </row>
    <row r="422" spans="1:12" ht="16.2" customHeight="1">
      <c r="A422" s="2" t="s">
        <v>1135</v>
      </c>
      <c r="B422" s="2" t="s">
        <v>477</v>
      </c>
      <c r="C422" s="2">
        <v>5</v>
      </c>
      <c r="D422" s="2" t="s">
        <v>32</v>
      </c>
      <c r="E422" s="2" t="s">
        <v>58</v>
      </c>
      <c r="F422" s="2" t="s">
        <v>16</v>
      </c>
      <c r="G422" s="2" t="s">
        <v>17</v>
      </c>
      <c r="H422" s="2" t="s">
        <v>301</v>
      </c>
      <c r="I422" s="2" t="s">
        <v>91</v>
      </c>
      <c r="J422" s="2">
        <v>12000</v>
      </c>
      <c r="K422" s="2" t="s">
        <v>67</v>
      </c>
      <c r="L422" s="2" t="s">
        <v>38</v>
      </c>
    </row>
    <row r="423" spans="1:12" ht="16.2" customHeight="1">
      <c r="A423" s="3" t="s">
        <v>1136</v>
      </c>
      <c r="B423" s="3" t="s">
        <v>1137</v>
      </c>
      <c r="C423" s="3">
        <v>999</v>
      </c>
      <c r="D423" s="3" t="s">
        <v>14</v>
      </c>
      <c r="E423" s="3" t="s">
        <v>109</v>
      </c>
      <c r="F423" s="3" t="s">
        <v>132</v>
      </c>
      <c r="G423" s="3" t="s">
        <v>35</v>
      </c>
      <c r="H423" s="3" t="s">
        <v>18</v>
      </c>
      <c r="I423" s="3" t="s">
        <v>106</v>
      </c>
      <c r="J423" s="3">
        <v>25000</v>
      </c>
      <c r="K423" s="3" t="s">
        <v>29</v>
      </c>
      <c r="L423" s="3" t="s">
        <v>87</v>
      </c>
    </row>
    <row r="424" spans="1:12" ht="16.2" customHeight="1">
      <c r="A424" s="2" t="s">
        <v>1138</v>
      </c>
      <c r="B424" s="2" t="s">
        <v>1139</v>
      </c>
      <c r="C424" s="2">
        <v>15</v>
      </c>
      <c r="D424" s="2" t="s">
        <v>14</v>
      </c>
      <c r="E424" s="2" t="s">
        <v>15</v>
      </c>
      <c r="F424" s="2" t="s">
        <v>34</v>
      </c>
      <c r="G424" s="2" t="s">
        <v>53</v>
      </c>
      <c r="H424" s="2" t="s">
        <v>495</v>
      </c>
      <c r="I424" s="2" t="s">
        <v>878</v>
      </c>
      <c r="J424" s="2">
        <v>8000</v>
      </c>
      <c r="K424" s="2" t="s">
        <v>20</v>
      </c>
      <c r="L424" s="2" t="s">
        <v>21</v>
      </c>
    </row>
    <row r="425" spans="1:12" ht="16.2" customHeight="1">
      <c r="A425" s="3" t="s">
        <v>1140</v>
      </c>
      <c r="B425" s="3" t="s">
        <v>1141</v>
      </c>
      <c r="C425" s="3">
        <v>70</v>
      </c>
      <c r="D425" s="3" t="s">
        <v>32</v>
      </c>
      <c r="E425" s="3" t="s">
        <v>70</v>
      </c>
      <c r="F425" s="3" t="s">
        <v>76</v>
      </c>
      <c r="G425" s="3" t="s">
        <v>17</v>
      </c>
      <c r="H425" s="3" t="s">
        <v>715</v>
      </c>
      <c r="I425" s="3" t="s">
        <v>269</v>
      </c>
      <c r="J425" s="3">
        <v>15000</v>
      </c>
      <c r="K425" s="3" t="s">
        <v>37</v>
      </c>
      <c r="L425" s="3" t="s">
        <v>55</v>
      </c>
    </row>
    <row r="426" spans="1:12" ht="16.2" customHeight="1">
      <c r="A426" s="2" t="s">
        <v>1140</v>
      </c>
      <c r="B426" s="2" t="s">
        <v>1141</v>
      </c>
      <c r="C426" s="2">
        <v>70</v>
      </c>
      <c r="D426" s="2" t="s">
        <v>32</v>
      </c>
      <c r="E426" s="2" t="s">
        <v>70</v>
      </c>
      <c r="F426" s="2" t="s">
        <v>76</v>
      </c>
      <c r="G426" s="2" t="s">
        <v>17</v>
      </c>
      <c r="H426" s="2" t="s">
        <v>1142</v>
      </c>
      <c r="I426" s="2" t="s">
        <v>269</v>
      </c>
      <c r="J426" s="2">
        <v>15000</v>
      </c>
      <c r="K426" s="2" t="s">
        <v>37</v>
      </c>
      <c r="L426" s="2" t="s">
        <v>55</v>
      </c>
    </row>
    <row r="427" spans="1:12" ht="16.2" customHeight="1">
      <c r="A427" s="3" t="s">
        <v>1143</v>
      </c>
      <c r="B427" s="3" t="s">
        <v>1144</v>
      </c>
      <c r="C427" s="3">
        <v>4</v>
      </c>
      <c r="D427" s="3" t="s">
        <v>690</v>
      </c>
      <c r="E427" s="3" t="s">
        <v>70</v>
      </c>
      <c r="F427" s="3" t="s">
        <v>450</v>
      </c>
      <c r="G427" s="3" t="s">
        <v>104</v>
      </c>
      <c r="H427" s="3" t="s">
        <v>415</v>
      </c>
      <c r="I427" s="3" t="s">
        <v>159</v>
      </c>
      <c r="J427" s="3">
        <v>75000</v>
      </c>
      <c r="K427" s="3" t="s">
        <v>20</v>
      </c>
      <c r="L427" s="3" t="s">
        <v>38</v>
      </c>
    </row>
    <row r="428" spans="1:12" ht="16.2" customHeight="1">
      <c r="A428" s="2" t="s">
        <v>1145</v>
      </c>
      <c r="B428" s="2" t="s">
        <v>324</v>
      </c>
      <c r="C428" s="2">
        <v>82</v>
      </c>
      <c r="D428" s="2" t="s">
        <v>32</v>
      </c>
      <c r="E428" s="2" t="s">
        <v>15</v>
      </c>
      <c r="F428" s="2" t="s">
        <v>127</v>
      </c>
      <c r="G428" s="2" t="s">
        <v>35</v>
      </c>
      <c r="H428" s="2" t="s">
        <v>1146</v>
      </c>
      <c r="I428" s="2" t="s">
        <v>696</v>
      </c>
      <c r="J428" s="2">
        <v>100000</v>
      </c>
      <c r="K428" s="2" t="s">
        <v>29</v>
      </c>
      <c r="L428" s="2" t="s">
        <v>87</v>
      </c>
    </row>
    <row r="429" spans="1:12" ht="16.2" customHeight="1">
      <c r="A429" s="3" t="s">
        <v>1147</v>
      </c>
      <c r="B429" s="3" t="s">
        <v>1148</v>
      </c>
      <c r="C429" s="3">
        <v>22</v>
      </c>
      <c r="D429" s="3" t="s">
        <v>338</v>
      </c>
      <c r="E429" s="3" t="s">
        <v>52</v>
      </c>
      <c r="F429" s="3" t="s">
        <v>127</v>
      </c>
      <c r="G429" s="3" t="s">
        <v>35</v>
      </c>
      <c r="H429" s="3" t="s">
        <v>313</v>
      </c>
      <c r="I429" s="3" t="s">
        <v>118</v>
      </c>
      <c r="J429" s="3">
        <v>5000</v>
      </c>
      <c r="K429" s="3" t="s">
        <v>67</v>
      </c>
      <c r="L429" s="3" t="s">
        <v>21</v>
      </c>
    </row>
    <row r="430" spans="1:12" ht="16.2" customHeight="1">
      <c r="A430" s="2" t="s">
        <v>1149</v>
      </c>
      <c r="B430" s="2" t="s">
        <v>40</v>
      </c>
      <c r="C430" s="2">
        <v>58</v>
      </c>
      <c r="D430" s="2" t="s">
        <v>32</v>
      </c>
      <c r="E430" s="2" t="s">
        <v>52</v>
      </c>
      <c r="F430" s="2" t="s">
        <v>16</v>
      </c>
      <c r="G430" s="2" t="s">
        <v>48</v>
      </c>
      <c r="H430" s="2" t="s">
        <v>1027</v>
      </c>
      <c r="I430" s="2" t="s">
        <v>551</v>
      </c>
      <c r="J430" s="2">
        <v>8000</v>
      </c>
      <c r="K430" s="2" t="s">
        <v>37</v>
      </c>
      <c r="L430" s="2" t="s">
        <v>87</v>
      </c>
    </row>
    <row r="431" spans="1:12" ht="16.2" customHeight="1">
      <c r="A431" s="3" t="s">
        <v>1150</v>
      </c>
      <c r="B431" s="3" t="s">
        <v>1151</v>
      </c>
      <c r="C431" s="3">
        <v>70</v>
      </c>
      <c r="D431" s="3" t="s">
        <v>14</v>
      </c>
      <c r="E431" s="3" t="s">
        <v>70</v>
      </c>
      <c r="F431" s="3" t="s">
        <v>42</v>
      </c>
      <c r="G431" s="3" t="s">
        <v>48</v>
      </c>
      <c r="H431" s="3" t="s">
        <v>1132</v>
      </c>
      <c r="I431" s="3" t="s">
        <v>620</v>
      </c>
      <c r="J431" s="3">
        <v>15000</v>
      </c>
      <c r="K431" s="3" t="s">
        <v>29</v>
      </c>
      <c r="L431" s="3" t="s">
        <v>55</v>
      </c>
    </row>
    <row r="432" spans="1:12" ht="16.2" customHeight="1">
      <c r="A432" s="2" t="s">
        <v>1152</v>
      </c>
      <c r="B432" s="2" t="s">
        <v>1153</v>
      </c>
      <c r="C432" s="2">
        <v>47</v>
      </c>
      <c r="D432" s="2" t="s">
        <v>14</v>
      </c>
      <c r="E432" s="2" t="s">
        <v>33</v>
      </c>
      <c r="F432" s="2" t="s">
        <v>25</v>
      </c>
      <c r="G432" s="2" t="s">
        <v>53</v>
      </c>
      <c r="H432" s="2" t="s">
        <v>855</v>
      </c>
      <c r="I432" s="2" t="s">
        <v>438</v>
      </c>
      <c r="J432" s="2">
        <v>15000</v>
      </c>
      <c r="K432" s="2" t="s">
        <v>29</v>
      </c>
      <c r="L432" s="2" t="s">
        <v>21</v>
      </c>
    </row>
    <row r="433" spans="1:12" ht="16.2" customHeight="1">
      <c r="A433" s="3" t="s">
        <v>1154</v>
      </c>
      <c r="B433" s="3" t="s">
        <v>1155</v>
      </c>
      <c r="C433" s="3">
        <v>22</v>
      </c>
      <c r="D433" s="3" t="s">
        <v>32</v>
      </c>
      <c r="E433" s="3" t="s">
        <v>541</v>
      </c>
      <c r="F433" s="3" t="s">
        <v>76</v>
      </c>
      <c r="G433" s="3" t="s">
        <v>53</v>
      </c>
      <c r="H433" s="3" t="s">
        <v>1156</v>
      </c>
      <c r="I433" s="3" t="s">
        <v>179</v>
      </c>
      <c r="J433" s="3">
        <v>75000</v>
      </c>
      <c r="K433" s="3" t="s">
        <v>67</v>
      </c>
      <c r="L433" s="3" t="s">
        <v>87</v>
      </c>
    </row>
    <row r="434" spans="1:12" ht="16.2" customHeight="1">
      <c r="A434" s="2" t="s">
        <v>1157</v>
      </c>
      <c r="B434" s="2" t="s">
        <v>1078</v>
      </c>
      <c r="C434" s="2">
        <v>23</v>
      </c>
      <c r="D434" s="2" t="s">
        <v>690</v>
      </c>
      <c r="E434" s="2"/>
      <c r="F434" s="2" t="s">
        <v>34</v>
      </c>
      <c r="G434" s="2" t="s">
        <v>99</v>
      </c>
      <c r="H434" s="2" t="s">
        <v>159</v>
      </c>
      <c r="I434" s="2" t="s">
        <v>659</v>
      </c>
      <c r="J434" s="2">
        <v>12000</v>
      </c>
      <c r="K434" s="2" t="s">
        <v>29</v>
      </c>
      <c r="L434" s="2" t="s">
        <v>21</v>
      </c>
    </row>
    <row r="435" spans="1:12" ht="16.2" customHeight="1">
      <c r="A435" s="3" t="s">
        <v>1158</v>
      </c>
      <c r="B435" s="3" t="s">
        <v>1159</v>
      </c>
      <c r="C435" s="3">
        <v>22</v>
      </c>
      <c r="D435" s="3" t="s">
        <v>14</v>
      </c>
      <c r="E435" s="3" t="s">
        <v>33</v>
      </c>
      <c r="F435" s="3" t="s">
        <v>16</v>
      </c>
      <c r="G435" s="3" t="s">
        <v>53</v>
      </c>
      <c r="H435" s="3" t="s">
        <v>172</v>
      </c>
      <c r="I435" s="3" t="s">
        <v>353</v>
      </c>
      <c r="J435" s="3">
        <v>35000</v>
      </c>
      <c r="K435" s="3" t="s">
        <v>67</v>
      </c>
      <c r="L435" s="3" t="s">
        <v>21</v>
      </c>
    </row>
    <row r="436" spans="1:12" ht="16.2" customHeight="1">
      <c r="A436" s="2" t="s">
        <v>1158</v>
      </c>
      <c r="B436" s="2" t="s">
        <v>1159</v>
      </c>
      <c r="C436" s="2">
        <v>22</v>
      </c>
      <c r="D436" s="2" t="s">
        <v>14</v>
      </c>
      <c r="E436" s="2" t="s">
        <v>1060</v>
      </c>
      <c r="F436" s="2" t="s">
        <v>16</v>
      </c>
      <c r="G436" s="2" t="s">
        <v>53</v>
      </c>
      <c r="H436" s="2" t="s">
        <v>172</v>
      </c>
      <c r="I436" s="2" t="s">
        <v>353</v>
      </c>
      <c r="J436" s="2">
        <v>35000</v>
      </c>
      <c r="K436" s="2" t="s">
        <v>67</v>
      </c>
      <c r="L436" s="2" t="s">
        <v>21</v>
      </c>
    </row>
    <row r="437" spans="1:12" ht="16.2" customHeight="1">
      <c r="A437" s="3" t="s">
        <v>1160</v>
      </c>
      <c r="B437" s="3" t="s">
        <v>1161</v>
      </c>
      <c r="C437" s="3">
        <v>46</v>
      </c>
      <c r="D437" s="3" t="s">
        <v>14</v>
      </c>
      <c r="E437" s="3" t="s">
        <v>70</v>
      </c>
      <c r="F437" s="3" t="s">
        <v>132</v>
      </c>
      <c r="G437" s="3" t="s">
        <v>17</v>
      </c>
      <c r="H437" s="3" t="s">
        <v>72</v>
      </c>
      <c r="I437" s="3" t="s">
        <v>453</v>
      </c>
      <c r="J437" s="3">
        <v>35000</v>
      </c>
      <c r="K437" s="3" t="s">
        <v>20</v>
      </c>
      <c r="L437" s="3" t="s">
        <v>87</v>
      </c>
    </row>
    <row r="438" spans="1:12" ht="16.2" customHeight="1">
      <c r="A438" s="2" t="s">
        <v>1162</v>
      </c>
      <c r="B438" s="2" t="s">
        <v>1163</v>
      </c>
      <c r="C438" s="2">
        <v>24</v>
      </c>
      <c r="D438" s="2" t="s">
        <v>32</v>
      </c>
      <c r="E438" s="2" t="s">
        <v>15</v>
      </c>
      <c r="F438" s="2" t="s">
        <v>76</v>
      </c>
      <c r="G438" s="2" t="s">
        <v>17</v>
      </c>
      <c r="H438" s="2" t="s">
        <v>82</v>
      </c>
      <c r="I438" s="2" t="s">
        <v>128</v>
      </c>
      <c r="J438" s="2">
        <v>8000</v>
      </c>
      <c r="K438" s="2" t="s">
        <v>67</v>
      </c>
      <c r="L438" s="2" t="s">
        <v>87</v>
      </c>
    </row>
    <row r="439" spans="1:12" ht="16.2" customHeight="1">
      <c r="A439" s="3" t="s">
        <v>1164</v>
      </c>
      <c r="B439" s="3" t="s">
        <v>131</v>
      </c>
      <c r="C439" s="3">
        <v>85</v>
      </c>
      <c r="D439" s="3" t="s">
        <v>14</v>
      </c>
      <c r="E439" s="3" t="s">
        <v>58</v>
      </c>
      <c r="F439" s="3" t="s">
        <v>132</v>
      </c>
      <c r="G439" s="3" t="s">
        <v>48</v>
      </c>
      <c r="H439" s="3" t="s">
        <v>793</v>
      </c>
      <c r="I439" s="3" t="s">
        <v>520</v>
      </c>
      <c r="J439" s="3">
        <v>75000</v>
      </c>
      <c r="K439" s="3" t="s">
        <v>37</v>
      </c>
      <c r="L439" s="3" t="s">
        <v>55</v>
      </c>
    </row>
    <row r="440" spans="1:12" ht="16.2" customHeight="1">
      <c r="A440" s="2" t="s">
        <v>1165</v>
      </c>
      <c r="B440" s="2" t="s">
        <v>880</v>
      </c>
      <c r="C440" s="2">
        <v>29</v>
      </c>
      <c r="D440" s="2" t="s">
        <v>32</v>
      </c>
      <c r="E440" s="2" t="s">
        <v>109</v>
      </c>
      <c r="F440" s="2" t="s">
        <v>132</v>
      </c>
      <c r="G440" s="2" t="s">
        <v>48</v>
      </c>
      <c r="H440" s="2" t="s">
        <v>483</v>
      </c>
      <c r="I440" s="2" t="s">
        <v>438</v>
      </c>
      <c r="J440" s="2">
        <v>100000</v>
      </c>
      <c r="K440" s="2" t="s">
        <v>37</v>
      </c>
      <c r="L440" s="2" t="s">
        <v>87</v>
      </c>
    </row>
    <row r="441" spans="1:12" ht="16.2" customHeight="1">
      <c r="A441" s="3" t="s">
        <v>1166</v>
      </c>
      <c r="B441" s="3" t="s">
        <v>1167</v>
      </c>
      <c r="C441" s="3">
        <v>59</v>
      </c>
      <c r="D441" s="3" t="s">
        <v>32</v>
      </c>
      <c r="E441" s="3" t="s">
        <v>24</v>
      </c>
      <c r="F441" s="3" t="s">
        <v>16</v>
      </c>
      <c r="G441" s="3" t="s">
        <v>48</v>
      </c>
      <c r="H441" s="3" t="s">
        <v>520</v>
      </c>
      <c r="I441" s="3" t="s">
        <v>390</v>
      </c>
      <c r="J441" s="3">
        <v>15000</v>
      </c>
      <c r="K441" s="3" t="s">
        <v>37</v>
      </c>
      <c r="L441" s="3" t="s">
        <v>38</v>
      </c>
    </row>
    <row r="442" spans="1:12" ht="16.2" customHeight="1">
      <c r="A442" s="2" t="s">
        <v>1168</v>
      </c>
      <c r="B442" s="2" t="s">
        <v>1169</v>
      </c>
      <c r="C442" s="2"/>
      <c r="D442" s="2" t="s">
        <v>32</v>
      </c>
      <c r="E442" s="2" t="s">
        <v>15</v>
      </c>
      <c r="F442" s="2" t="s">
        <v>1170</v>
      </c>
      <c r="G442" s="2" t="s">
        <v>53</v>
      </c>
      <c r="H442" s="2" t="s">
        <v>453</v>
      </c>
      <c r="I442" s="2" t="s">
        <v>926</v>
      </c>
      <c r="J442" s="2">
        <v>35000</v>
      </c>
      <c r="K442" s="2" t="s">
        <v>20</v>
      </c>
      <c r="L442" s="2" t="s">
        <v>87</v>
      </c>
    </row>
    <row r="443" spans="1:12" ht="16.2" customHeight="1">
      <c r="A443" s="3" t="s">
        <v>1171</v>
      </c>
      <c r="B443" s="3" t="s">
        <v>1172</v>
      </c>
      <c r="C443" s="3">
        <v>71</v>
      </c>
      <c r="D443" s="3" t="s">
        <v>486</v>
      </c>
      <c r="E443" s="3" t="s">
        <v>122</v>
      </c>
      <c r="F443" s="3" t="s">
        <v>132</v>
      </c>
      <c r="G443" s="3" t="s">
        <v>99</v>
      </c>
      <c r="H443" s="3" t="s">
        <v>447</v>
      </c>
      <c r="I443" s="3" t="s">
        <v>94</v>
      </c>
      <c r="J443" s="3">
        <v>35000</v>
      </c>
      <c r="K443" s="3" t="s">
        <v>67</v>
      </c>
      <c r="L443" s="3" t="s">
        <v>87</v>
      </c>
    </row>
    <row r="444" spans="1:12" ht="16.2" customHeight="1">
      <c r="A444" s="2" t="s">
        <v>1173</v>
      </c>
      <c r="B444" s="2" t="s">
        <v>889</v>
      </c>
      <c r="C444" s="2">
        <v>42</v>
      </c>
      <c r="D444" s="2" t="s">
        <v>338</v>
      </c>
      <c r="E444" s="2" t="s">
        <v>58</v>
      </c>
      <c r="F444" s="2" t="s">
        <v>42</v>
      </c>
      <c r="G444" s="2" t="s">
        <v>17</v>
      </c>
      <c r="H444" s="2" t="s">
        <v>943</v>
      </c>
      <c r="I444" s="2" t="s">
        <v>725</v>
      </c>
      <c r="J444" s="2">
        <v>50000</v>
      </c>
      <c r="K444" s="2" t="s">
        <v>67</v>
      </c>
      <c r="L444" s="2" t="s">
        <v>21</v>
      </c>
    </row>
    <row r="445" spans="1:12" ht="16.2" customHeight="1">
      <c r="A445" s="3" t="s">
        <v>1174</v>
      </c>
      <c r="B445" s="3" t="s">
        <v>1175</v>
      </c>
      <c r="C445" s="3">
        <v>3</v>
      </c>
      <c r="D445" s="3" t="s">
        <v>14</v>
      </c>
      <c r="E445" s="3" t="s">
        <v>70</v>
      </c>
      <c r="F445" s="3" t="s">
        <v>25</v>
      </c>
      <c r="G445" s="3" t="s">
        <v>99</v>
      </c>
      <c r="H445" s="3" t="s">
        <v>974</v>
      </c>
      <c r="I445" s="3" t="s">
        <v>960</v>
      </c>
      <c r="J445" s="3">
        <v>25000</v>
      </c>
      <c r="K445" s="3" t="s">
        <v>67</v>
      </c>
      <c r="L445" s="3" t="s">
        <v>55</v>
      </c>
    </row>
    <row r="446" spans="1:12" ht="16.2" customHeight="1">
      <c r="A446" s="2" t="s">
        <v>1176</v>
      </c>
      <c r="B446" s="2" t="s">
        <v>1177</v>
      </c>
      <c r="C446" s="2">
        <v>68</v>
      </c>
      <c r="D446" s="2" t="s">
        <v>486</v>
      </c>
      <c r="E446" s="2" t="s">
        <v>52</v>
      </c>
      <c r="F446" s="2" t="s">
        <v>76</v>
      </c>
      <c r="G446" s="2" t="s">
        <v>26</v>
      </c>
      <c r="H446" s="2" t="s">
        <v>1178</v>
      </c>
      <c r="I446" s="2" t="s">
        <v>908</v>
      </c>
      <c r="J446" s="2">
        <v>8000</v>
      </c>
      <c r="K446" s="2" t="s">
        <v>20</v>
      </c>
      <c r="L446" s="2" t="s">
        <v>87</v>
      </c>
    </row>
    <row r="447" spans="1:12" ht="16.2" customHeight="1">
      <c r="A447" s="3" t="s">
        <v>1179</v>
      </c>
      <c r="B447" s="3" t="s">
        <v>1180</v>
      </c>
      <c r="C447" s="3">
        <v>66</v>
      </c>
      <c r="D447" s="3" t="s">
        <v>14</v>
      </c>
      <c r="E447" s="3" t="s">
        <v>649</v>
      </c>
      <c r="F447" s="3" t="s">
        <v>42</v>
      </c>
      <c r="G447" s="3" t="s">
        <v>104</v>
      </c>
      <c r="H447" s="3" t="s">
        <v>933</v>
      </c>
      <c r="I447" s="3" t="s">
        <v>151</v>
      </c>
      <c r="J447" s="3">
        <v>12000</v>
      </c>
      <c r="K447" s="3" t="s">
        <v>67</v>
      </c>
      <c r="L447" s="3" t="s">
        <v>21</v>
      </c>
    </row>
    <row r="448" spans="1:12" ht="16.2" customHeight="1">
      <c r="A448" s="2" t="s">
        <v>1181</v>
      </c>
      <c r="B448" s="2" t="s">
        <v>544</v>
      </c>
      <c r="C448" s="2">
        <v>43</v>
      </c>
      <c r="D448" s="2" t="s">
        <v>14</v>
      </c>
      <c r="E448" s="2" t="s">
        <v>109</v>
      </c>
      <c r="F448" s="2" t="s">
        <v>132</v>
      </c>
      <c r="G448" s="2" t="s">
        <v>48</v>
      </c>
      <c r="H448" s="2" t="s">
        <v>574</v>
      </c>
      <c r="I448" s="2" t="s">
        <v>457</v>
      </c>
      <c r="J448" s="2">
        <v>12000</v>
      </c>
      <c r="K448" s="2" t="s">
        <v>67</v>
      </c>
      <c r="L448" s="2" t="s">
        <v>87</v>
      </c>
    </row>
    <row r="449" spans="1:12" ht="16.2" customHeight="1">
      <c r="A449" s="3" t="s">
        <v>1182</v>
      </c>
      <c r="B449" s="3" t="s">
        <v>1112</v>
      </c>
      <c r="C449" s="3">
        <v>11</v>
      </c>
      <c r="D449" s="3" t="s">
        <v>321</v>
      </c>
      <c r="E449" s="3" t="s">
        <v>52</v>
      </c>
      <c r="F449" s="3" t="s">
        <v>76</v>
      </c>
      <c r="G449" s="3" t="s">
        <v>17</v>
      </c>
      <c r="H449" s="3" t="s">
        <v>1183</v>
      </c>
      <c r="I449" s="3" t="s">
        <v>495</v>
      </c>
      <c r="J449" s="3">
        <v>100000</v>
      </c>
      <c r="K449" s="3" t="s">
        <v>168</v>
      </c>
      <c r="L449" s="3" t="s">
        <v>21</v>
      </c>
    </row>
    <row r="450" spans="1:12" ht="16.2" customHeight="1">
      <c r="A450" s="2" t="s">
        <v>1184</v>
      </c>
      <c r="B450" s="2" t="s">
        <v>735</v>
      </c>
      <c r="C450" s="2">
        <v>66</v>
      </c>
      <c r="D450" s="2" t="s">
        <v>32</v>
      </c>
      <c r="E450" s="2" t="s">
        <v>443</v>
      </c>
      <c r="F450" s="2" t="s">
        <v>16</v>
      </c>
      <c r="G450" s="2" t="s">
        <v>26</v>
      </c>
      <c r="H450" s="2" t="s">
        <v>185</v>
      </c>
      <c r="I450" s="2" t="s">
        <v>206</v>
      </c>
      <c r="J450" s="2">
        <v>25000</v>
      </c>
      <c r="K450" s="2" t="s">
        <v>67</v>
      </c>
      <c r="L450" s="2" t="s">
        <v>87</v>
      </c>
    </row>
    <row r="451" spans="1:12" ht="16.2" customHeight="1">
      <c r="A451" s="3" t="s">
        <v>1185</v>
      </c>
      <c r="B451" s="3" t="s">
        <v>1186</v>
      </c>
      <c r="C451" s="3">
        <v>150</v>
      </c>
      <c r="D451" s="3" t="s">
        <v>32</v>
      </c>
      <c r="E451" s="3" t="s">
        <v>15</v>
      </c>
      <c r="F451" s="3" t="s">
        <v>127</v>
      </c>
      <c r="G451" s="3" t="s">
        <v>17</v>
      </c>
      <c r="H451" s="3" t="s">
        <v>1187</v>
      </c>
      <c r="I451" s="3" t="s">
        <v>659</v>
      </c>
      <c r="J451" s="3">
        <v>25000</v>
      </c>
      <c r="K451" s="3" t="s">
        <v>20</v>
      </c>
      <c r="L451" s="3" t="s">
        <v>38</v>
      </c>
    </row>
    <row r="452" spans="1:12" ht="16.2" customHeight="1">
      <c r="A452" s="2" t="s">
        <v>1188</v>
      </c>
      <c r="B452" s="2" t="s">
        <v>1189</v>
      </c>
      <c r="C452" s="2">
        <v>86</v>
      </c>
      <c r="D452" s="2" t="s">
        <v>32</v>
      </c>
      <c r="E452" s="2" t="s">
        <v>15</v>
      </c>
      <c r="F452" s="2" t="s">
        <v>25</v>
      </c>
      <c r="G452" s="2" t="s">
        <v>35</v>
      </c>
      <c r="H452" s="2" t="s">
        <v>419</v>
      </c>
      <c r="I452" s="2" t="s">
        <v>306</v>
      </c>
      <c r="J452" s="2">
        <v>50000</v>
      </c>
      <c r="K452" s="2" t="s">
        <v>37</v>
      </c>
      <c r="L452" s="2" t="s">
        <v>87</v>
      </c>
    </row>
    <row r="453" spans="1:12" ht="16.2" customHeight="1">
      <c r="A453" s="3" t="s">
        <v>1190</v>
      </c>
      <c r="B453" s="3" t="s">
        <v>1191</v>
      </c>
      <c r="C453" s="3"/>
      <c r="D453" s="3" t="s">
        <v>32</v>
      </c>
      <c r="E453" s="3" t="s">
        <v>58</v>
      </c>
      <c r="F453" s="3" t="s">
        <v>127</v>
      </c>
      <c r="G453" s="3" t="s">
        <v>48</v>
      </c>
      <c r="H453" s="3" t="s">
        <v>574</v>
      </c>
      <c r="I453" s="3" t="s">
        <v>347</v>
      </c>
      <c r="J453" s="3">
        <v>8000</v>
      </c>
      <c r="K453" s="3" t="s">
        <v>37</v>
      </c>
      <c r="L453" s="3" t="s">
        <v>87</v>
      </c>
    </row>
    <row r="454" spans="1:12" ht="16.2" customHeight="1">
      <c r="A454" s="2" t="s">
        <v>1192</v>
      </c>
      <c r="B454" s="2" t="s">
        <v>98</v>
      </c>
      <c r="C454" s="2">
        <v>6</v>
      </c>
      <c r="D454" s="2" t="s">
        <v>14</v>
      </c>
      <c r="E454" s="2" t="s">
        <v>466</v>
      </c>
      <c r="F454" s="2" t="s">
        <v>76</v>
      </c>
      <c r="G454" s="2" t="s">
        <v>48</v>
      </c>
      <c r="H454" s="2" t="s">
        <v>62</v>
      </c>
      <c r="I454" s="2" t="s">
        <v>512</v>
      </c>
      <c r="J454" s="2">
        <v>20000</v>
      </c>
      <c r="K454" s="2" t="s">
        <v>227</v>
      </c>
      <c r="L454" s="2" t="s">
        <v>38</v>
      </c>
    </row>
    <row r="455" spans="1:12" ht="16.2" customHeight="1">
      <c r="A455" s="3" t="s">
        <v>1193</v>
      </c>
      <c r="B455" s="3" t="s">
        <v>1194</v>
      </c>
      <c r="C455" s="3">
        <v>12</v>
      </c>
      <c r="D455" s="3" t="s">
        <v>14</v>
      </c>
      <c r="E455" s="3" t="s">
        <v>649</v>
      </c>
      <c r="F455" s="3" t="s">
        <v>76</v>
      </c>
      <c r="G455" s="3" t="s">
        <v>26</v>
      </c>
      <c r="H455" s="3" t="s">
        <v>296</v>
      </c>
      <c r="I455" s="3" t="s">
        <v>218</v>
      </c>
      <c r="J455" s="3">
        <v>35000</v>
      </c>
      <c r="K455" s="3" t="s">
        <v>96</v>
      </c>
      <c r="L455" s="3" t="s">
        <v>87</v>
      </c>
    </row>
    <row r="456" spans="1:12" ht="16.2" customHeight="1">
      <c r="A456" s="2" t="s">
        <v>1195</v>
      </c>
      <c r="B456" s="2" t="s">
        <v>404</v>
      </c>
      <c r="C456" s="2">
        <v>9</v>
      </c>
      <c r="D456" s="2" t="s">
        <v>32</v>
      </c>
      <c r="E456" s="2" t="s">
        <v>58</v>
      </c>
      <c r="F456" s="2" t="s">
        <v>34</v>
      </c>
      <c r="G456" s="2" t="s">
        <v>17</v>
      </c>
      <c r="H456" s="2" t="s">
        <v>166</v>
      </c>
      <c r="I456" s="2" t="s">
        <v>789</v>
      </c>
      <c r="J456" s="2">
        <v>75000</v>
      </c>
      <c r="K456" s="2" t="s">
        <v>20</v>
      </c>
      <c r="L456" s="2" t="s">
        <v>55</v>
      </c>
    </row>
    <row r="457" spans="1:12" ht="16.2" customHeight="1">
      <c r="A457" s="3" t="s">
        <v>1196</v>
      </c>
      <c r="B457" s="3" t="s">
        <v>234</v>
      </c>
      <c r="C457" s="3">
        <v>34</v>
      </c>
      <c r="D457" s="3" t="s">
        <v>32</v>
      </c>
      <c r="E457" s="3" t="s">
        <v>52</v>
      </c>
      <c r="F457" s="3" t="s">
        <v>132</v>
      </c>
      <c r="G457" s="3" t="s">
        <v>35</v>
      </c>
      <c r="H457" s="3" t="s">
        <v>498</v>
      </c>
      <c r="I457" s="3" t="s">
        <v>1019</v>
      </c>
      <c r="J457" s="3">
        <v>20000</v>
      </c>
      <c r="K457" s="3" t="s">
        <v>20</v>
      </c>
      <c r="L457" s="3" t="s">
        <v>38</v>
      </c>
    </row>
    <row r="458" spans="1:12" ht="16.2" customHeight="1">
      <c r="A458" s="2" t="s">
        <v>1197</v>
      </c>
      <c r="B458" s="2" t="s">
        <v>1096</v>
      </c>
      <c r="C458" s="2">
        <v>88</v>
      </c>
      <c r="D458" s="2" t="s">
        <v>32</v>
      </c>
      <c r="E458" s="2" t="s">
        <v>85</v>
      </c>
      <c r="F458" s="2" t="s">
        <v>76</v>
      </c>
      <c r="G458" s="2" t="s">
        <v>48</v>
      </c>
      <c r="H458" s="2" t="s">
        <v>185</v>
      </c>
      <c r="I458" s="2" t="s">
        <v>586</v>
      </c>
      <c r="J458" s="2">
        <v>20000</v>
      </c>
      <c r="K458" s="2" t="s">
        <v>29</v>
      </c>
      <c r="L458" s="2" t="s">
        <v>87</v>
      </c>
    </row>
    <row r="459" spans="1:12" ht="16.2" customHeight="1">
      <c r="A459" s="3" t="s">
        <v>1198</v>
      </c>
      <c r="B459" s="3" t="s">
        <v>857</v>
      </c>
      <c r="C459" s="3">
        <v>2</v>
      </c>
      <c r="D459" s="3" t="s">
        <v>32</v>
      </c>
      <c r="E459" s="3" t="s">
        <v>52</v>
      </c>
      <c r="F459" s="3" t="s">
        <v>76</v>
      </c>
      <c r="G459" s="3" t="s">
        <v>17</v>
      </c>
      <c r="H459" s="3" t="s">
        <v>842</v>
      </c>
      <c r="I459" s="3" t="s">
        <v>232</v>
      </c>
      <c r="J459" s="3">
        <v>35000</v>
      </c>
      <c r="K459" s="3" t="s">
        <v>37</v>
      </c>
      <c r="L459" s="3" t="s">
        <v>55</v>
      </c>
    </row>
    <row r="460" spans="1:12" ht="16.2" customHeight="1">
      <c r="A460" s="2" t="s">
        <v>1199</v>
      </c>
      <c r="B460" s="2" t="s">
        <v>1069</v>
      </c>
      <c r="C460" s="2">
        <v>41</v>
      </c>
      <c r="D460" s="2" t="s">
        <v>14</v>
      </c>
      <c r="E460" s="2" t="s">
        <v>987</v>
      </c>
      <c r="F460" s="2" t="s">
        <v>25</v>
      </c>
      <c r="G460" s="2" t="s">
        <v>99</v>
      </c>
      <c r="H460" s="2" t="s">
        <v>176</v>
      </c>
      <c r="I460" s="2" t="s">
        <v>114</v>
      </c>
      <c r="J460" s="2">
        <v>25000</v>
      </c>
      <c r="K460" s="2" t="s">
        <v>29</v>
      </c>
      <c r="L460" s="2" t="s">
        <v>87</v>
      </c>
    </row>
    <row r="461" spans="1:12" ht="16.2" customHeight="1">
      <c r="A461" s="3" t="s">
        <v>1200</v>
      </c>
      <c r="B461" s="3" t="s">
        <v>661</v>
      </c>
      <c r="C461" s="3">
        <v>5</v>
      </c>
      <c r="D461" s="3" t="s">
        <v>506</v>
      </c>
      <c r="E461" s="3" t="s">
        <v>58</v>
      </c>
      <c r="F461" s="3" t="s">
        <v>132</v>
      </c>
      <c r="G461" s="3" t="s">
        <v>99</v>
      </c>
      <c r="H461" s="3" t="s">
        <v>1042</v>
      </c>
      <c r="I461" s="3" t="s">
        <v>270</v>
      </c>
      <c r="J461" s="3">
        <v>20000</v>
      </c>
      <c r="K461" s="3" t="s">
        <v>37</v>
      </c>
      <c r="L461" s="3" t="s">
        <v>38</v>
      </c>
    </row>
    <row r="462" spans="1:12" ht="16.2" customHeight="1">
      <c r="A462" s="2" t="s">
        <v>1201</v>
      </c>
      <c r="B462" s="2" t="s">
        <v>392</v>
      </c>
      <c r="C462" s="2">
        <v>46</v>
      </c>
      <c r="D462" s="2" t="s">
        <v>14</v>
      </c>
      <c r="E462" s="2" t="s">
        <v>58</v>
      </c>
      <c r="F462" s="2" t="s">
        <v>76</v>
      </c>
      <c r="G462" s="2" t="s">
        <v>48</v>
      </c>
      <c r="H462" s="2" t="s">
        <v>741</v>
      </c>
      <c r="I462" s="2" t="s">
        <v>507</v>
      </c>
      <c r="J462" s="2">
        <v>100000</v>
      </c>
      <c r="K462" s="2" t="s">
        <v>20</v>
      </c>
      <c r="L462" s="2" t="s">
        <v>55</v>
      </c>
    </row>
    <row r="463" spans="1:12" ht="16.2" customHeight="1">
      <c r="A463" s="3" t="s">
        <v>1202</v>
      </c>
      <c r="B463" s="3" t="s">
        <v>1203</v>
      </c>
      <c r="C463" s="3">
        <v>39</v>
      </c>
      <c r="D463" s="3" t="s">
        <v>321</v>
      </c>
      <c r="E463" s="3" t="s">
        <v>70</v>
      </c>
      <c r="F463" s="3" t="s">
        <v>127</v>
      </c>
      <c r="G463" s="3" t="s">
        <v>26</v>
      </c>
      <c r="H463" s="3" t="s">
        <v>828</v>
      </c>
      <c r="I463" s="3" t="s">
        <v>616</v>
      </c>
      <c r="J463" s="3">
        <v>100000</v>
      </c>
      <c r="K463" s="3" t="s">
        <v>37</v>
      </c>
      <c r="L463" s="3" t="s">
        <v>38</v>
      </c>
    </row>
    <row r="464" spans="1:12" ht="16.2" customHeight="1">
      <c r="A464" s="2" t="s">
        <v>1204</v>
      </c>
      <c r="B464" s="2" t="s">
        <v>473</v>
      </c>
      <c r="C464" s="2"/>
      <c r="D464" s="2" t="s">
        <v>14</v>
      </c>
      <c r="E464" s="2" t="s">
        <v>140</v>
      </c>
      <c r="F464" s="2" t="s">
        <v>201</v>
      </c>
      <c r="G464" s="2" t="s">
        <v>48</v>
      </c>
      <c r="H464" s="2" t="s">
        <v>738</v>
      </c>
      <c r="I464" s="2" t="s">
        <v>245</v>
      </c>
      <c r="J464" s="2">
        <v>0</v>
      </c>
      <c r="K464" s="2" t="s">
        <v>29</v>
      </c>
      <c r="L464" s="2" t="s">
        <v>21</v>
      </c>
    </row>
    <row r="465" spans="1:12" ht="16.2" customHeight="1">
      <c r="A465" s="3" t="s">
        <v>1205</v>
      </c>
      <c r="B465" s="3" t="s">
        <v>549</v>
      </c>
      <c r="C465" s="3">
        <v>78</v>
      </c>
      <c r="D465" s="3" t="s">
        <v>14</v>
      </c>
      <c r="E465" s="3" t="s">
        <v>52</v>
      </c>
      <c r="F465" s="3" t="s">
        <v>42</v>
      </c>
      <c r="G465" s="3" t="s">
        <v>53</v>
      </c>
      <c r="H465" s="3" t="s">
        <v>1206</v>
      </c>
      <c r="I465" s="3" t="s">
        <v>49</v>
      </c>
      <c r="J465" s="3">
        <v>12000</v>
      </c>
      <c r="K465" s="3" t="s">
        <v>37</v>
      </c>
      <c r="L465" s="3" t="s">
        <v>21</v>
      </c>
    </row>
    <row r="466" spans="1:12" ht="16.2" customHeight="1">
      <c r="A466" s="2" t="s">
        <v>1207</v>
      </c>
      <c r="B466" s="2" t="s">
        <v>178</v>
      </c>
      <c r="C466" s="2">
        <v>35</v>
      </c>
      <c r="D466" s="2" t="s">
        <v>14</v>
      </c>
      <c r="E466" s="2" t="s">
        <v>15</v>
      </c>
      <c r="F466" s="2" t="s">
        <v>42</v>
      </c>
      <c r="G466" s="2" t="s">
        <v>99</v>
      </c>
      <c r="H466" s="2" t="s">
        <v>82</v>
      </c>
      <c r="I466" s="2" t="s">
        <v>520</v>
      </c>
      <c r="J466" s="2">
        <v>35000</v>
      </c>
      <c r="K466" s="2" t="s">
        <v>20</v>
      </c>
      <c r="L466" s="2" t="s">
        <v>38</v>
      </c>
    </row>
    <row r="467" spans="1:12" ht="16.2" customHeight="1">
      <c r="A467" s="3" t="s">
        <v>1208</v>
      </c>
      <c r="B467" s="3" t="s">
        <v>358</v>
      </c>
      <c r="C467" s="3">
        <v>25</v>
      </c>
      <c r="D467" s="3" t="s">
        <v>14</v>
      </c>
      <c r="E467" s="3" t="s">
        <v>58</v>
      </c>
      <c r="F467" s="3" t="s">
        <v>34</v>
      </c>
      <c r="G467" s="3" t="s">
        <v>53</v>
      </c>
      <c r="H467" s="3" t="s">
        <v>1209</v>
      </c>
      <c r="I467" s="3" t="s">
        <v>665</v>
      </c>
      <c r="J467" s="3">
        <v>8000</v>
      </c>
      <c r="K467" s="3" t="s">
        <v>67</v>
      </c>
      <c r="L467" s="3" t="s">
        <v>55</v>
      </c>
    </row>
    <row r="468" spans="1:12" ht="16.2" customHeight="1">
      <c r="A468" s="2" t="s">
        <v>1210</v>
      </c>
      <c r="B468" s="2" t="s">
        <v>774</v>
      </c>
      <c r="C468" s="2">
        <v>4</v>
      </c>
      <c r="D468" s="2" t="s">
        <v>32</v>
      </c>
      <c r="E468" s="2" t="s">
        <v>85</v>
      </c>
      <c r="F468" s="2" t="s">
        <v>42</v>
      </c>
      <c r="G468" s="2" t="s">
        <v>104</v>
      </c>
      <c r="H468" s="2" t="s">
        <v>62</v>
      </c>
      <c r="I468" s="2" t="s">
        <v>164</v>
      </c>
      <c r="J468" s="2">
        <v>8000</v>
      </c>
      <c r="K468" s="2" t="s">
        <v>29</v>
      </c>
      <c r="L468" s="2" t="s">
        <v>55</v>
      </c>
    </row>
    <row r="469" spans="1:12" ht="16.2" customHeight="1">
      <c r="A469" s="3" t="s">
        <v>1211</v>
      </c>
      <c r="B469" s="3" t="s">
        <v>1212</v>
      </c>
      <c r="C469" s="3">
        <v>53</v>
      </c>
      <c r="D469" s="3" t="s">
        <v>486</v>
      </c>
      <c r="E469" s="3" t="s">
        <v>52</v>
      </c>
      <c r="F469" s="3" t="s">
        <v>132</v>
      </c>
      <c r="G469" s="3" t="s">
        <v>17</v>
      </c>
      <c r="H469" s="3" t="s">
        <v>62</v>
      </c>
      <c r="I469" s="3" t="s">
        <v>63</v>
      </c>
      <c r="J469" s="3">
        <v>100000</v>
      </c>
      <c r="K469" s="3" t="s">
        <v>67</v>
      </c>
      <c r="L469" s="3" t="s">
        <v>21</v>
      </c>
    </row>
    <row r="470" spans="1:12" ht="16.2" customHeight="1">
      <c r="A470" s="2" t="s">
        <v>1213</v>
      </c>
      <c r="B470" s="2" t="s">
        <v>820</v>
      </c>
      <c r="C470" s="2">
        <v>58</v>
      </c>
      <c r="D470" s="2" t="s">
        <v>32</v>
      </c>
      <c r="E470" s="2" t="s">
        <v>58</v>
      </c>
      <c r="F470" s="2" t="s">
        <v>127</v>
      </c>
      <c r="G470" s="2" t="s">
        <v>53</v>
      </c>
      <c r="H470" s="2" t="s">
        <v>1048</v>
      </c>
      <c r="I470" s="2" t="s">
        <v>1214</v>
      </c>
      <c r="J470" s="2">
        <v>20000</v>
      </c>
      <c r="K470" s="2" t="s">
        <v>29</v>
      </c>
      <c r="L470" s="2" t="s">
        <v>21</v>
      </c>
    </row>
    <row r="471" spans="1:12" ht="16.2" customHeight="1">
      <c r="A471" s="3" t="s">
        <v>1215</v>
      </c>
      <c r="B471" s="3" t="s">
        <v>1216</v>
      </c>
      <c r="C471" s="3">
        <v>38</v>
      </c>
      <c r="D471" s="3" t="s">
        <v>32</v>
      </c>
      <c r="E471" s="3" t="s">
        <v>994</v>
      </c>
      <c r="F471" s="3" t="s">
        <v>16</v>
      </c>
      <c r="G471" s="3" t="s">
        <v>26</v>
      </c>
      <c r="H471" s="3" t="s">
        <v>545</v>
      </c>
      <c r="I471" s="3" t="s">
        <v>729</v>
      </c>
      <c r="J471" s="3">
        <v>999999999</v>
      </c>
      <c r="K471" s="3" t="s">
        <v>67</v>
      </c>
      <c r="L471" s="3" t="s">
        <v>87</v>
      </c>
    </row>
    <row r="472" spans="1:12" ht="16.2" customHeight="1">
      <c r="A472" s="2" t="s">
        <v>1217</v>
      </c>
      <c r="B472" s="2" t="s">
        <v>1218</v>
      </c>
      <c r="C472" s="2">
        <v>42</v>
      </c>
      <c r="D472" s="2" t="s">
        <v>14</v>
      </c>
      <c r="E472" s="2" t="s">
        <v>33</v>
      </c>
      <c r="F472" s="2" t="s">
        <v>16</v>
      </c>
      <c r="G472" s="2" t="s">
        <v>17</v>
      </c>
      <c r="H472" s="2" t="s">
        <v>302</v>
      </c>
      <c r="I472" s="2" t="s">
        <v>696</v>
      </c>
      <c r="J472" s="2">
        <v>20000</v>
      </c>
      <c r="K472" s="2" t="s">
        <v>29</v>
      </c>
      <c r="L472" s="2" t="s">
        <v>55</v>
      </c>
    </row>
    <row r="473" spans="1:12" ht="16.2" customHeight="1">
      <c r="A473" s="3" t="s">
        <v>1219</v>
      </c>
      <c r="B473" s="3" t="s">
        <v>1220</v>
      </c>
      <c r="C473" s="3">
        <v>62</v>
      </c>
      <c r="D473" s="3" t="s">
        <v>32</v>
      </c>
      <c r="E473" s="3" t="s">
        <v>52</v>
      </c>
      <c r="F473" s="3" t="s">
        <v>16</v>
      </c>
      <c r="G473" s="3" t="s">
        <v>48</v>
      </c>
      <c r="H473" s="3" t="s">
        <v>1221</v>
      </c>
      <c r="I473" s="3" t="s">
        <v>245</v>
      </c>
      <c r="J473" s="3">
        <v>5000</v>
      </c>
      <c r="K473" s="3" t="s">
        <v>37</v>
      </c>
      <c r="L473" s="3" t="s">
        <v>87</v>
      </c>
    </row>
    <row r="474" spans="1:12" ht="16.2" customHeight="1">
      <c r="A474" s="2" t="s">
        <v>1222</v>
      </c>
      <c r="B474" s="2" t="s">
        <v>278</v>
      </c>
      <c r="C474" s="2">
        <v>49</v>
      </c>
      <c r="D474" s="2" t="s">
        <v>506</v>
      </c>
      <c r="E474" s="2" t="s">
        <v>33</v>
      </c>
      <c r="F474" s="2" t="s">
        <v>42</v>
      </c>
      <c r="G474" s="2" t="s">
        <v>26</v>
      </c>
      <c r="H474" s="2" t="s">
        <v>274</v>
      </c>
      <c r="I474" s="2" t="s">
        <v>578</v>
      </c>
      <c r="J474" s="2">
        <v>5000</v>
      </c>
      <c r="K474" s="2" t="s">
        <v>20</v>
      </c>
      <c r="L474" s="2" t="s">
        <v>87</v>
      </c>
    </row>
    <row r="475" spans="1:12" ht="16.2" customHeight="1">
      <c r="A475" s="3" t="s">
        <v>1223</v>
      </c>
      <c r="B475" s="3" t="s">
        <v>721</v>
      </c>
      <c r="C475" s="3">
        <v>55</v>
      </c>
      <c r="D475" s="3" t="s">
        <v>321</v>
      </c>
      <c r="E475" s="3" t="s">
        <v>15</v>
      </c>
      <c r="F475" s="3" t="s">
        <v>42</v>
      </c>
      <c r="G475" s="3" t="s">
        <v>53</v>
      </c>
      <c r="H475" s="3" t="s">
        <v>1209</v>
      </c>
      <c r="I475" s="3" t="s">
        <v>265</v>
      </c>
      <c r="J475" s="3">
        <v>15000</v>
      </c>
      <c r="K475" s="3" t="s">
        <v>37</v>
      </c>
      <c r="L475" s="3" t="s">
        <v>55</v>
      </c>
    </row>
    <row r="476" spans="1:12" ht="16.2" customHeight="1">
      <c r="A476" s="2" t="s">
        <v>1224</v>
      </c>
      <c r="B476" s="2" t="s">
        <v>526</v>
      </c>
      <c r="C476" s="2">
        <v>72</v>
      </c>
      <c r="D476" s="2" t="s">
        <v>14</v>
      </c>
      <c r="E476" s="2" t="s">
        <v>33</v>
      </c>
      <c r="F476" s="2" t="s">
        <v>132</v>
      </c>
      <c r="G476" s="2" t="s">
        <v>104</v>
      </c>
      <c r="H476" s="2" t="s">
        <v>702</v>
      </c>
      <c r="I476" s="2" t="s">
        <v>562</v>
      </c>
      <c r="J476" s="2">
        <v>75000</v>
      </c>
      <c r="K476" s="2" t="s">
        <v>67</v>
      </c>
      <c r="L476" s="2" t="s">
        <v>38</v>
      </c>
    </row>
    <row r="477" spans="1:12" ht="16.2" customHeight="1">
      <c r="A477" s="3" t="s">
        <v>1225</v>
      </c>
      <c r="B477" s="3" t="s">
        <v>1226</v>
      </c>
      <c r="C477" s="3">
        <v>80</v>
      </c>
      <c r="D477" s="3" t="s">
        <v>32</v>
      </c>
      <c r="E477" s="3" t="s">
        <v>52</v>
      </c>
      <c r="F477" s="3" t="s">
        <v>25</v>
      </c>
      <c r="G477" s="3" t="s">
        <v>48</v>
      </c>
      <c r="H477" s="3" t="s">
        <v>463</v>
      </c>
      <c r="I477" s="3" t="s">
        <v>1227</v>
      </c>
      <c r="J477" s="3">
        <v>15000</v>
      </c>
      <c r="K477" s="3" t="s">
        <v>29</v>
      </c>
      <c r="L477" s="3" t="s">
        <v>38</v>
      </c>
    </row>
    <row r="478" spans="1:12" ht="16.2" customHeight="1">
      <c r="A478" s="2" t="s">
        <v>1228</v>
      </c>
      <c r="B478" s="2" t="s">
        <v>1229</v>
      </c>
      <c r="C478" s="2">
        <v>44</v>
      </c>
      <c r="D478" s="2" t="s">
        <v>14</v>
      </c>
      <c r="E478" s="2" t="s">
        <v>52</v>
      </c>
      <c r="F478" s="2" t="s">
        <v>76</v>
      </c>
      <c r="G478" s="2" t="s">
        <v>99</v>
      </c>
      <c r="H478" s="2" t="s">
        <v>353</v>
      </c>
      <c r="I478" s="2" t="s">
        <v>1042</v>
      </c>
      <c r="J478" s="2">
        <v>50000</v>
      </c>
      <c r="K478" s="2" t="s">
        <v>29</v>
      </c>
      <c r="L478" s="2" t="s">
        <v>38</v>
      </c>
    </row>
    <row r="479" spans="1:12" ht="16.2" customHeight="1">
      <c r="A479" s="3" t="s">
        <v>1230</v>
      </c>
      <c r="B479" s="3" t="s">
        <v>1231</v>
      </c>
      <c r="C479" s="3">
        <v>43</v>
      </c>
      <c r="D479" s="3" t="s">
        <v>32</v>
      </c>
      <c r="E479" s="3" t="s">
        <v>85</v>
      </c>
      <c r="F479" s="3" t="s">
        <v>34</v>
      </c>
      <c r="G479" s="3" t="s">
        <v>104</v>
      </c>
      <c r="H479" s="3" t="s">
        <v>248</v>
      </c>
      <c r="I479" s="3" t="s">
        <v>973</v>
      </c>
      <c r="J479" s="3">
        <v>35000</v>
      </c>
      <c r="K479" s="3" t="s">
        <v>29</v>
      </c>
      <c r="L479" s="3" t="s">
        <v>87</v>
      </c>
    </row>
    <row r="480" spans="1:12" ht="16.2" customHeight="1">
      <c r="A480" s="2" t="s">
        <v>1232</v>
      </c>
      <c r="B480" s="2" t="s">
        <v>866</v>
      </c>
      <c r="C480" s="2">
        <v>57</v>
      </c>
      <c r="D480" s="2" t="s">
        <v>32</v>
      </c>
      <c r="E480" s="2" t="s">
        <v>109</v>
      </c>
      <c r="F480" s="2" t="s">
        <v>25</v>
      </c>
      <c r="G480" s="2" t="s">
        <v>17</v>
      </c>
      <c r="H480" s="2" t="s">
        <v>785</v>
      </c>
      <c r="I480" s="2" t="s">
        <v>95</v>
      </c>
      <c r="J480" s="2">
        <v>12000</v>
      </c>
      <c r="K480" s="2" t="s">
        <v>67</v>
      </c>
      <c r="L480" s="2" t="s">
        <v>21</v>
      </c>
    </row>
    <row r="481" spans="1:12" ht="16.2" customHeight="1">
      <c r="A481" s="3" t="s">
        <v>1233</v>
      </c>
      <c r="B481" s="3" t="s">
        <v>814</v>
      </c>
      <c r="C481" s="3">
        <v>65</v>
      </c>
      <c r="D481" s="3" t="s">
        <v>14</v>
      </c>
      <c r="E481" s="3" t="s">
        <v>15</v>
      </c>
      <c r="F481" s="3" t="s">
        <v>25</v>
      </c>
      <c r="G481" s="3" t="s">
        <v>35</v>
      </c>
      <c r="H481" s="3" t="s">
        <v>28</v>
      </c>
      <c r="I481" s="3" t="s">
        <v>317</v>
      </c>
      <c r="J481" s="3">
        <v>35000</v>
      </c>
      <c r="K481" s="3" t="s">
        <v>29</v>
      </c>
      <c r="L481" s="3" t="s">
        <v>21</v>
      </c>
    </row>
    <row r="482" spans="1:12" ht="16.2" customHeight="1">
      <c r="A482" s="2" t="s">
        <v>1234</v>
      </c>
      <c r="B482" s="2" t="s">
        <v>529</v>
      </c>
      <c r="C482" s="2">
        <v>70</v>
      </c>
      <c r="D482" s="2" t="s">
        <v>338</v>
      </c>
      <c r="E482" s="2" t="s">
        <v>52</v>
      </c>
      <c r="F482" s="2" t="s">
        <v>34</v>
      </c>
      <c r="G482" s="2" t="s">
        <v>53</v>
      </c>
      <c r="H482" s="2" t="s">
        <v>184</v>
      </c>
      <c r="I482" s="2" t="s">
        <v>974</v>
      </c>
      <c r="J482" s="2">
        <v>25000</v>
      </c>
      <c r="K482" s="2" t="s">
        <v>37</v>
      </c>
      <c r="L482" s="2" t="s">
        <v>55</v>
      </c>
    </row>
    <row r="483" spans="1:12" ht="16.2" customHeight="1">
      <c r="A483" s="3" t="s">
        <v>1235</v>
      </c>
      <c r="B483" s="3" t="s">
        <v>1236</v>
      </c>
      <c r="C483" s="3">
        <v>34</v>
      </c>
      <c r="D483" s="3" t="s">
        <v>14</v>
      </c>
      <c r="E483" s="3" t="s">
        <v>70</v>
      </c>
      <c r="F483" s="3" t="s">
        <v>34</v>
      </c>
      <c r="G483" s="3" t="s">
        <v>48</v>
      </c>
      <c r="H483" s="3" t="s">
        <v>265</v>
      </c>
      <c r="I483" s="3" t="s">
        <v>926</v>
      </c>
      <c r="J483" s="3">
        <v>12000</v>
      </c>
      <c r="K483" s="3" t="s">
        <v>37</v>
      </c>
      <c r="L483" s="3" t="s">
        <v>55</v>
      </c>
    </row>
    <row r="484" spans="1:12" ht="16.2" customHeight="1">
      <c r="A484" s="2" t="s">
        <v>1237</v>
      </c>
      <c r="B484" s="2" t="s">
        <v>1238</v>
      </c>
      <c r="C484" s="2">
        <v>29</v>
      </c>
      <c r="D484" s="2" t="s">
        <v>32</v>
      </c>
      <c r="E484" s="2" t="s">
        <v>15</v>
      </c>
      <c r="F484" s="2" t="s">
        <v>34</v>
      </c>
      <c r="G484" s="2" t="s">
        <v>35</v>
      </c>
      <c r="H484" s="2" t="s">
        <v>511</v>
      </c>
      <c r="I484" s="2" t="s">
        <v>202</v>
      </c>
      <c r="J484" s="2">
        <v>8000</v>
      </c>
      <c r="K484" s="2" t="s">
        <v>20</v>
      </c>
      <c r="L484" s="2" t="s">
        <v>21</v>
      </c>
    </row>
    <row r="485" spans="1:12" ht="16.2" customHeight="1">
      <c r="A485" s="3" t="s">
        <v>1239</v>
      </c>
      <c r="B485" s="3" t="s">
        <v>1240</v>
      </c>
      <c r="C485" s="3">
        <v>37</v>
      </c>
      <c r="D485" s="3" t="s">
        <v>486</v>
      </c>
      <c r="E485" s="3" t="s">
        <v>85</v>
      </c>
      <c r="F485" s="3" t="s">
        <v>34</v>
      </c>
      <c r="G485" s="3" t="s">
        <v>17</v>
      </c>
      <c r="H485" s="3" t="s">
        <v>557</v>
      </c>
      <c r="I485" s="3" t="s">
        <v>273</v>
      </c>
      <c r="J485" s="3">
        <v>75000</v>
      </c>
      <c r="K485" s="3" t="s">
        <v>20</v>
      </c>
      <c r="L485" s="3" t="s">
        <v>87</v>
      </c>
    </row>
    <row r="486" spans="1:12" ht="16.2" customHeight="1">
      <c r="A486" s="2" t="s">
        <v>1239</v>
      </c>
      <c r="B486" s="2" t="s">
        <v>1240</v>
      </c>
      <c r="C486" s="2">
        <v>37</v>
      </c>
      <c r="D486" s="2" t="s">
        <v>14</v>
      </c>
      <c r="E486" s="2" t="s">
        <v>85</v>
      </c>
      <c r="F486" s="2" t="s">
        <v>34</v>
      </c>
      <c r="G486" s="2" t="s">
        <v>17</v>
      </c>
      <c r="H486" s="2" t="s">
        <v>557</v>
      </c>
      <c r="I486" s="2" t="s">
        <v>273</v>
      </c>
      <c r="J486" s="2">
        <v>75000</v>
      </c>
      <c r="K486" s="2" t="s">
        <v>20</v>
      </c>
      <c r="L486" s="2" t="s">
        <v>87</v>
      </c>
    </row>
    <row r="487" spans="1:12" ht="16.2" customHeight="1">
      <c r="A487" s="3" t="s">
        <v>1241</v>
      </c>
      <c r="B487" s="3" t="s">
        <v>1242</v>
      </c>
      <c r="C487" s="3">
        <v>69</v>
      </c>
      <c r="D487" s="3" t="s">
        <v>14</v>
      </c>
      <c r="E487" s="3" t="s">
        <v>109</v>
      </c>
      <c r="F487" s="3" t="s">
        <v>34</v>
      </c>
      <c r="G487" s="3" t="s">
        <v>99</v>
      </c>
      <c r="H487" s="3" t="s">
        <v>471</v>
      </c>
      <c r="I487" s="3" t="s">
        <v>498</v>
      </c>
      <c r="J487" s="3">
        <v>5000</v>
      </c>
      <c r="K487" s="3" t="s">
        <v>37</v>
      </c>
      <c r="L487" s="3" t="s">
        <v>55</v>
      </c>
    </row>
    <row r="488" spans="1:12" ht="16.2" customHeight="1">
      <c r="A488" s="2" t="s">
        <v>1243</v>
      </c>
      <c r="B488" s="2" t="s">
        <v>1244</v>
      </c>
      <c r="C488" s="2">
        <v>89</v>
      </c>
      <c r="D488" s="2" t="s">
        <v>32</v>
      </c>
      <c r="E488" s="2" t="s">
        <v>33</v>
      </c>
      <c r="F488" s="2" t="s">
        <v>42</v>
      </c>
      <c r="G488" s="2" t="s">
        <v>17</v>
      </c>
      <c r="H488" s="2" t="s">
        <v>607</v>
      </c>
      <c r="I488" s="2" t="s">
        <v>288</v>
      </c>
      <c r="J488" s="2">
        <v>8000</v>
      </c>
      <c r="K488" s="2" t="s">
        <v>20</v>
      </c>
      <c r="L488" s="2" t="s">
        <v>87</v>
      </c>
    </row>
    <row r="489" spans="1:12" ht="16.2" customHeight="1">
      <c r="A489" s="3" t="s">
        <v>1243</v>
      </c>
      <c r="B489" s="3" t="s">
        <v>1244</v>
      </c>
      <c r="C489" s="3">
        <v>89</v>
      </c>
      <c r="D489" s="3" t="s">
        <v>32</v>
      </c>
      <c r="E489" s="3" t="s">
        <v>33</v>
      </c>
      <c r="F489" s="3" t="s">
        <v>42</v>
      </c>
      <c r="G489" s="3" t="s">
        <v>17</v>
      </c>
      <c r="H489" s="3" t="s">
        <v>1245</v>
      </c>
      <c r="I489" s="3" t="s">
        <v>288</v>
      </c>
      <c r="J489" s="3">
        <v>8000</v>
      </c>
      <c r="K489" s="3" t="s">
        <v>20</v>
      </c>
      <c r="L489" s="3" t="s">
        <v>87</v>
      </c>
    </row>
    <row r="490" spans="1:12" ht="16.2" customHeight="1">
      <c r="A490" s="2" t="s">
        <v>1246</v>
      </c>
      <c r="B490" s="2" t="s">
        <v>866</v>
      </c>
      <c r="C490" s="2">
        <v>69</v>
      </c>
      <c r="D490" s="2"/>
      <c r="E490" s="2" t="s">
        <v>47</v>
      </c>
      <c r="F490" s="2" t="s">
        <v>34</v>
      </c>
      <c r="G490" s="2" t="s">
        <v>26</v>
      </c>
      <c r="H490" s="2" t="s">
        <v>373</v>
      </c>
      <c r="I490" s="2" t="s">
        <v>676</v>
      </c>
      <c r="J490" s="2">
        <v>25000</v>
      </c>
      <c r="K490" s="2" t="s">
        <v>20</v>
      </c>
      <c r="L490" s="2" t="s">
        <v>38</v>
      </c>
    </row>
    <row r="491" spans="1:12" ht="16.2" customHeight="1">
      <c r="A491" s="3" t="s">
        <v>1247</v>
      </c>
      <c r="B491" s="3" t="s">
        <v>1248</v>
      </c>
      <c r="C491" s="3">
        <v>69</v>
      </c>
      <c r="D491" s="3" t="s">
        <v>14</v>
      </c>
      <c r="E491" s="3" t="s">
        <v>58</v>
      </c>
      <c r="F491" s="3" t="s">
        <v>42</v>
      </c>
      <c r="G491" s="3" t="s">
        <v>48</v>
      </c>
      <c r="H491" s="3" t="s">
        <v>1249</v>
      </c>
      <c r="I491" s="3" t="s">
        <v>764</v>
      </c>
      <c r="J491" s="3">
        <v>100000</v>
      </c>
      <c r="K491" s="3" t="s">
        <v>37</v>
      </c>
      <c r="L491" s="3" t="s">
        <v>55</v>
      </c>
    </row>
    <row r="492" spans="1:12" ht="16.2" customHeight="1">
      <c r="A492" s="2" t="s">
        <v>1250</v>
      </c>
      <c r="B492" s="2" t="s">
        <v>1251</v>
      </c>
      <c r="C492" s="2">
        <v>6</v>
      </c>
      <c r="D492" s="2" t="s">
        <v>14</v>
      </c>
      <c r="E492" s="2" t="s">
        <v>15</v>
      </c>
      <c r="F492" s="2" t="s">
        <v>132</v>
      </c>
      <c r="G492" s="2" t="s">
        <v>99</v>
      </c>
      <c r="H492" s="2" t="s">
        <v>249</v>
      </c>
      <c r="I492" s="2" t="s">
        <v>171</v>
      </c>
      <c r="J492" s="2">
        <v>100000</v>
      </c>
      <c r="K492" s="2" t="s">
        <v>67</v>
      </c>
      <c r="L492" s="2" t="s">
        <v>87</v>
      </c>
    </row>
    <row r="493" spans="1:12" ht="16.2" customHeight="1">
      <c r="A493" s="3" t="s">
        <v>1252</v>
      </c>
      <c r="B493" s="3" t="s">
        <v>781</v>
      </c>
      <c r="C493" s="3">
        <v>27</v>
      </c>
      <c r="D493" s="3" t="s">
        <v>14</v>
      </c>
      <c r="E493" s="3" t="s">
        <v>443</v>
      </c>
      <c r="F493" s="3" t="s">
        <v>25</v>
      </c>
      <c r="G493" s="3" t="s">
        <v>35</v>
      </c>
      <c r="H493" s="3" t="s">
        <v>1253</v>
      </c>
      <c r="I493" s="3" t="s">
        <v>1254</v>
      </c>
      <c r="J493" s="3">
        <v>100000</v>
      </c>
      <c r="K493" s="3" t="s">
        <v>37</v>
      </c>
      <c r="L493" s="3" t="s">
        <v>87</v>
      </c>
    </row>
    <row r="494" spans="1:12" ht="16.2" customHeight="1">
      <c r="A494" s="2" t="s">
        <v>1255</v>
      </c>
      <c r="B494" s="2" t="s">
        <v>657</v>
      </c>
      <c r="C494" s="2">
        <v>48</v>
      </c>
      <c r="D494" s="2" t="s">
        <v>32</v>
      </c>
      <c r="E494" s="2" t="s">
        <v>70</v>
      </c>
      <c r="F494" s="2" t="s">
        <v>25</v>
      </c>
      <c r="G494" s="2" t="s">
        <v>53</v>
      </c>
      <c r="H494" s="2" t="s">
        <v>86</v>
      </c>
      <c r="I494" s="2" t="s">
        <v>423</v>
      </c>
      <c r="J494" s="2">
        <v>100000</v>
      </c>
      <c r="K494" s="2" t="s">
        <v>37</v>
      </c>
      <c r="L494" s="2" t="s">
        <v>55</v>
      </c>
    </row>
    <row r="495" spans="1:12" ht="16.2" customHeight="1">
      <c r="A495" s="3" t="s">
        <v>1256</v>
      </c>
      <c r="B495" s="3" t="s">
        <v>1257</v>
      </c>
      <c r="C495" s="3">
        <v>47</v>
      </c>
      <c r="D495" s="3" t="s">
        <v>14</v>
      </c>
      <c r="E495" s="3" t="s">
        <v>33</v>
      </c>
      <c r="F495" s="3" t="s">
        <v>76</v>
      </c>
      <c r="G495" s="3" t="s">
        <v>104</v>
      </c>
      <c r="H495" s="3" t="s">
        <v>1258</v>
      </c>
      <c r="I495" s="3" t="s">
        <v>905</v>
      </c>
      <c r="J495" s="3">
        <v>35000</v>
      </c>
      <c r="K495" s="3" t="s">
        <v>67</v>
      </c>
      <c r="L495" s="3" t="s">
        <v>21</v>
      </c>
    </row>
    <row r="496" spans="1:12" ht="16.2" customHeight="1">
      <c r="A496" s="2" t="s">
        <v>1259</v>
      </c>
      <c r="B496" s="2" t="s">
        <v>1260</v>
      </c>
      <c r="C496" s="2">
        <v>79</v>
      </c>
      <c r="D496" s="2" t="s">
        <v>32</v>
      </c>
      <c r="E496" s="2" t="s">
        <v>70</v>
      </c>
      <c r="F496" s="2" t="s">
        <v>16</v>
      </c>
      <c r="G496" s="2" t="s">
        <v>17</v>
      </c>
      <c r="H496" s="2" t="s">
        <v>618</v>
      </c>
      <c r="I496" s="2" t="s">
        <v>91</v>
      </c>
      <c r="J496" s="2">
        <v>8000</v>
      </c>
      <c r="K496" s="2" t="s">
        <v>37</v>
      </c>
      <c r="L496" s="2" t="s">
        <v>38</v>
      </c>
    </row>
    <row r="497" spans="1:12" ht="16.2" customHeight="1">
      <c r="A497" s="3" t="s">
        <v>1261</v>
      </c>
      <c r="B497" s="3" t="s">
        <v>1262</v>
      </c>
      <c r="C497" s="3">
        <v>65</v>
      </c>
      <c r="D497" s="3" t="s">
        <v>32</v>
      </c>
      <c r="E497" s="3" t="s">
        <v>58</v>
      </c>
      <c r="F497" s="3" t="s">
        <v>132</v>
      </c>
      <c r="G497" s="3" t="s">
        <v>17</v>
      </c>
      <c r="H497" s="3" t="s">
        <v>653</v>
      </c>
      <c r="I497" s="3" t="s">
        <v>714</v>
      </c>
      <c r="J497" s="3">
        <v>15000</v>
      </c>
      <c r="K497" s="3" t="s">
        <v>67</v>
      </c>
      <c r="L497" s="3" t="s">
        <v>55</v>
      </c>
    </row>
    <row r="498" spans="1:12" ht="16.2" customHeight="1">
      <c r="A498" s="2" t="s">
        <v>1263</v>
      </c>
      <c r="B498" s="2" t="s">
        <v>1203</v>
      </c>
      <c r="C498" s="2">
        <v>47</v>
      </c>
      <c r="D498" s="2" t="s">
        <v>32</v>
      </c>
      <c r="E498" s="2" t="s">
        <v>15</v>
      </c>
      <c r="F498" s="2" t="s">
        <v>132</v>
      </c>
      <c r="G498" s="2" t="s">
        <v>104</v>
      </c>
      <c r="H498" s="2" t="s">
        <v>433</v>
      </c>
      <c r="I498" s="2" t="s">
        <v>520</v>
      </c>
      <c r="J498" s="2">
        <v>5000</v>
      </c>
      <c r="K498" s="2" t="s">
        <v>67</v>
      </c>
      <c r="L498" s="2" t="s">
        <v>87</v>
      </c>
    </row>
    <row r="499" spans="1:12" ht="16.2" customHeight="1">
      <c r="A499" s="3" t="s">
        <v>1264</v>
      </c>
      <c r="B499" s="3" t="s">
        <v>1265</v>
      </c>
      <c r="C499" s="3">
        <v>23</v>
      </c>
      <c r="D499" s="3" t="s">
        <v>32</v>
      </c>
      <c r="E499" s="3" t="s">
        <v>1060</v>
      </c>
      <c r="F499" s="3" t="s">
        <v>132</v>
      </c>
      <c r="G499" s="3" t="s">
        <v>53</v>
      </c>
      <c r="H499" s="3" t="s">
        <v>393</v>
      </c>
      <c r="I499" s="3" t="s">
        <v>438</v>
      </c>
      <c r="J499" s="3">
        <v>20000</v>
      </c>
      <c r="K499" s="3" t="s">
        <v>67</v>
      </c>
      <c r="L499" s="3" t="s">
        <v>38</v>
      </c>
    </row>
    <row r="500" spans="1:12" ht="16.2" customHeight="1">
      <c r="A500" s="2" t="s">
        <v>1266</v>
      </c>
      <c r="B500" s="2" t="s">
        <v>1267</v>
      </c>
      <c r="C500" s="2">
        <v>85</v>
      </c>
      <c r="D500" s="2" t="s">
        <v>14</v>
      </c>
      <c r="E500" s="2" t="s">
        <v>109</v>
      </c>
      <c r="F500" s="2" t="s">
        <v>42</v>
      </c>
      <c r="G500" s="2" t="s">
        <v>17</v>
      </c>
      <c r="H500" s="2" t="s">
        <v>54</v>
      </c>
      <c r="I500" s="2" t="s">
        <v>377</v>
      </c>
      <c r="J500" s="2">
        <v>12000</v>
      </c>
      <c r="K500" s="2" t="s">
        <v>20</v>
      </c>
      <c r="L500" s="2" t="s">
        <v>87</v>
      </c>
    </row>
    <row r="501" spans="1:12" ht="16.2" customHeight="1">
      <c r="A501" s="3" t="s">
        <v>1268</v>
      </c>
      <c r="B501" s="3" t="s">
        <v>674</v>
      </c>
      <c r="C501" s="3">
        <v>13</v>
      </c>
      <c r="D501" s="3" t="s">
        <v>14</v>
      </c>
      <c r="E501" s="3" t="s">
        <v>15</v>
      </c>
      <c r="F501" s="3" t="s">
        <v>42</v>
      </c>
      <c r="G501" s="3" t="s">
        <v>99</v>
      </c>
      <c r="H501" s="3" t="s">
        <v>1269</v>
      </c>
      <c r="I501" s="3" t="s">
        <v>483</v>
      </c>
      <c r="J501" s="3">
        <v>100000</v>
      </c>
      <c r="K501" s="3" t="s">
        <v>29</v>
      </c>
      <c r="L501" s="3" t="s">
        <v>55</v>
      </c>
    </row>
    <row r="502" spans="1:12" ht="16.2" customHeight="1">
      <c r="A502" s="2" t="s">
        <v>1270</v>
      </c>
      <c r="B502" s="2" t="s">
        <v>1271</v>
      </c>
      <c r="C502" s="2">
        <v>47</v>
      </c>
      <c r="D502" s="2" t="s">
        <v>321</v>
      </c>
      <c r="E502" s="2" t="s">
        <v>58</v>
      </c>
      <c r="F502" s="2" t="s">
        <v>34</v>
      </c>
      <c r="G502" s="2" t="s">
        <v>17</v>
      </c>
      <c r="H502" s="2" t="s">
        <v>59</v>
      </c>
      <c r="I502" s="2" t="s">
        <v>719</v>
      </c>
      <c r="J502" s="2">
        <v>100000</v>
      </c>
      <c r="K502" s="2" t="s">
        <v>20</v>
      </c>
      <c r="L502" s="2" t="s">
        <v>55</v>
      </c>
    </row>
    <row r="503" spans="1:12" ht="16.2" customHeight="1">
      <c r="A503" s="3" t="s">
        <v>1272</v>
      </c>
      <c r="B503" s="3" t="s">
        <v>1191</v>
      </c>
      <c r="C503" s="3">
        <v>71</v>
      </c>
      <c r="D503" s="3" t="s">
        <v>32</v>
      </c>
      <c r="E503" s="3" t="s">
        <v>15</v>
      </c>
      <c r="F503" s="3" t="s">
        <v>25</v>
      </c>
      <c r="G503" s="3" t="s">
        <v>104</v>
      </c>
      <c r="H503" s="3" t="s">
        <v>114</v>
      </c>
      <c r="I503" s="3" t="s">
        <v>878</v>
      </c>
      <c r="J503" s="3">
        <v>75000</v>
      </c>
      <c r="K503" s="3" t="s">
        <v>37</v>
      </c>
      <c r="L503" s="3" t="s">
        <v>55</v>
      </c>
    </row>
    <row r="504" spans="1:12" ht="16.2" customHeight="1">
      <c r="A504" s="2" t="s">
        <v>1273</v>
      </c>
      <c r="B504" s="2" t="s">
        <v>845</v>
      </c>
      <c r="C504" s="2">
        <v>43</v>
      </c>
      <c r="D504" s="2" t="s">
        <v>32</v>
      </c>
      <c r="E504" s="2" t="s">
        <v>85</v>
      </c>
      <c r="F504" s="2" t="s">
        <v>42</v>
      </c>
      <c r="G504" s="2" t="s">
        <v>99</v>
      </c>
      <c r="H504" s="2" t="s">
        <v>777</v>
      </c>
      <c r="I504" s="2" t="s">
        <v>305</v>
      </c>
      <c r="J504" s="2">
        <v>35000</v>
      </c>
      <c r="K504" s="2" t="s">
        <v>20</v>
      </c>
      <c r="L504" s="2" t="s">
        <v>87</v>
      </c>
    </row>
    <row r="505" spans="1:12" ht="16.2" customHeight="1">
      <c r="A505" s="3" t="s">
        <v>1274</v>
      </c>
      <c r="B505" s="3" t="s">
        <v>1275</v>
      </c>
      <c r="C505" s="3">
        <v>42</v>
      </c>
      <c r="D505" s="3" t="s">
        <v>506</v>
      </c>
      <c r="E505" s="3" t="s">
        <v>52</v>
      </c>
      <c r="F505" s="3" t="s">
        <v>16</v>
      </c>
      <c r="G505" s="3" t="s">
        <v>48</v>
      </c>
      <c r="H505" s="3" t="s">
        <v>806</v>
      </c>
      <c r="I505" s="3" t="s">
        <v>620</v>
      </c>
      <c r="J505" s="3">
        <v>100000</v>
      </c>
      <c r="K505" s="3" t="s">
        <v>37</v>
      </c>
      <c r="L505" s="3" t="s">
        <v>55</v>
      </c>
    </row>
    <row r="506" spans="1:12" ht="16.2" customHeight="1">
      <c r="A506" s="2" t="s">
        <v>1276</v>
      </c>
      <c r="B506" s="2" t="s">
        <v>1194</v>
      </c>
      <c r="C506" s="2">
        <v>32</v>
      </c>
      <c r="D506" s="2" t="s">
        <v>32</v>
      </c>
      <c r="E506" s="2" t="s">
        <v>24</v>
      </c>
      <c r="F506" s="2" t="s">
        <v>132</v>
      </c>
      <c r="G506" s="2" t="s">
        <v>104</v>
      </c>
      <c r="H506" s="2" t="s">
        <v>715</v>
      </c>
      <c r="I506" s="2" t="s">
        <v>1277</v>
      </c>
      <c r="J506" s="2">
        <v>75000</v>
      </c>
      <c r="K506" s="2" t="s">
        <v>29</v>
      </c>
      <c r="L506" s="2" t="s">
        <v>87</v>
      </c>
    </row>
    <row r="507" spans="1:12" ht="16.2" customHeight="1">
      <c r="A507" s="3" t="s">
        <v>1278</v>
      </c>
      <c r="B507" s="3" t="s">
        <v>1279</v>
      </c>
      <c r="C507" s="3">
        <v>45</v>
      </c>
      <c r="D507" s="3" t="s">
        <v>14</v>
      </c>
      <c r="E507" s="3" t="s">
        <v>140</v>
      </c>
      <c r="F507" s="3" t="s">
        <v>76</v>
      </c>
      <c r="G507" s="3" t="s">
        <v>17</v>
      </c>
      <c r="H507" s="3" t="s">
        <v>852</v>
      </c>
      <c r="I507" s="3" t="s">
        <v>194</v>
      </c>
      <c r="J507" s="3">
        <v>50000</v>
      </c>
      <c r="K507" s="3" t="s">
        <v>37</v>
      </c>
      <c r="L507" s="3" t="s">
        <v>55</v>
      </c>
    </row>
    <row r="508" spans="1:12" ht="16.2" customHeight="1">
      <c r="A508" s="2" t="s">
        <v>1280</v>
      </c>
      <c r="B508" s="2" t="s">
        <v>1281</v>
      </c>
      <c r="C508" s="2">
        <v>90</v>
      </c>
      <c r="D508" s="2" t="s">
        <v>14</v>
      </c>
      <c r="E508" s="2" t="s">
        <v>109</v>
      </c>
      <c r="F508" s="2" t="s">
        <v>42</v>
      </c>
      <c r="G508" s="2" t="s">
        <v>99</v>
      </c>
      <c r="H508" s="2" t="s">
        <v>426</v>
      </c>
      <c r="I508" s="2" t="s">
        <v>495</v>
      </c>
      <c r="J508" s="2">
        <v>35000</v>
      </c>
      <c r="K508" s="2" t="s">
        <v>37</v>
      </c>
      <c r="L508" s="2" t="s">
        <v>21</v>
      </c>
    </row>
    <row r="509" spans="1:12" ht="16.2" customHeight="1">
      <c r="A509" s="3" t="s">
        <v>1282</v>
      </c>
      <c r="B509" s="3" t="s">
        <v>1283</v>
      </c>
      <c r="C509" s="3">
        <v>-5</v>
      </c>
      <c r="D509" s="3" t="s">
        <v>14</v>
      </c>
      <c r="E509" s="3" t="s">
        <v>33</v>
      </c>
      <c r="F509" s="3" t="s">
        <v>127</v>
      </c>
      <c r="G509" s="3" t="s">
        <v>53</v>
      </c>
      <c r="H509" s="3" t="s">
        <v>1284</v>
      </c>
      <c r="I509" s="3" t="s">
        <v>426</v>
      </c>
      <c r="J509" s="3">
        <v>35000</v>
      </c>
      <c r="K509" s="3" t="s">
        <v>29</v>
      </c>
      <c r="L509" s="3" t="s">
        <v>55</v>
      </c>
    </row>
    <row r="510" spans="1:12" ht="16.2" customHeight="1">
      <c r="A510" s="2" t="s">
        <v>1285</v>
      </c>
      <c r="B510" s="2" t="s">
        <v>1286</v>
      </c>
      <c r="C510" s="2">
        <v>62</v>
      </c>
      <c r="D510" s="2" t="s">
        <v>506</v>
      </c>
      <c r="E510" s="2" t="s">
        <v>33</v>
      </c>
      <c r="F510" s="2" t="s">
        <v>132</v>
      </c>
      <c r="G510" s="2" t="s">
        <v>99</v>
      </c>
      <c r="H510" s="2" t="s">
        <v>511</v>
      </c>
      <c r="I510" s="2" t="s">
        <v>430</v>
      </c>
      <c r="J510" s="2">
        <v>8000</v>
      </c>
      <c r="K510" s="2" t="s">
        <v>20</v>
      </c>
      <c r="L510" s="2" t="s">
        <v>21</v>
      </c>
    </row>
    <row r="511" spans="1:12" ht="16.2" customHeight="1">
      <c r="A511" s="3" t="s">
        <v>1287</v>
      </c>
      <c r="B511" s="3" t="s">
        <v>916</v>
      </c>
      <c r="C511" s="3">
        <v>63</v>
      </c>
      <c r="D511" s="3" t="s">
        <v>14</v>
      </c>
      <c r="E511" s="3" t="s">
        <v>85</v>
      </c>
      <c r="F511" s="3" t="s">
        <v>42</v>
      </c>
      <c r="G511" s="3" t="s">
        <v>35</v>
      </c>
      <c r="H511" s="3" t="s">
        <v>816</v>
      </c>
      <c r="I511" s="3" t="s">
        <v>492</v>
      </c>
      <c r="J511" s="3">
        <v>25000</v>
      </c>
      <c r="K511" s="3" t="s">
        <v>37</v>
      </c>
      <c r="L511" s="3" t="s">
        <v>55</v>
      </c>
    </row>
    <row r="512" spans="1:12" ht="16.2" customHeight="1">
      <c r="A512" s="2" t="s">
        <v>1288</v>
      </c>
      <c r="B512" s="2" t="s">
        <v>744</v>
      </c>
      <c r="C512" s="2">
        <v>38</v>
      </c>
      <c r="D512" s="2" t="s">
        <v>14</v>
      </c>
      <c r="E512" s="2" t="s">
        <v>1086</v>
      </c>
      <c r="F512" s="2" t="s">
        <v>76</v>
      </c>
      <c r="G512" s="2" t="s">
        <v>104</v>
      </c>
      <c r="H512" s="2" t="s">
        <v>1289</v>
      </c>
      <c r="I512" s="2" t="s">
        <v>270</v>
      </c>
      <c r="J512" s="2">
        <v>35000</v>
      </c>
      <c r="K512" s="2" t="s">
        <v>67</v>
      </c>
      <c r="L512" s="2" t="s">
        <v>38</v>
      </c>
    </row>
    <row r="513" spans="1:12" ht="16.2" customHeight="1">
      <c r="A513" s="3" t="s">
        <v>1290</v>
      </c>
      <c r="B513" s="3" t="s">
        <v>278</v>
      </c>
      <c r="C513" s="3">
        <v>6</v>
      </c>
      <c r="D513" s="3" t="s">
        <v>32</v>
      </c>
      <c r="E513" s="3" t="s">
        <v>52</v>
      </c>
      <c r="F513" s="3" t="s">
        <v>222</v>
      </c>
      <c r="G513" s="3" t="s">
        <v>17</v>
      </c>
      <c r="H513" s="3" t="s">
        <v>1291</v>
      </c>
      <c r="I513" s="3" t="s">
        <v>1292</v>
      </c>
      <c r="J513" s="3">
        <v>12000</v>
      </c>
      <c r="K513" s="3" t="s">
        <v>37</v>
      </c>
      <c r="L513" s="3" t="s">
        <v>55</v>
      </c>
    </row>
    <row r="514" spans="1:12" ht="16.2" customHeight="1">
      <c r="A514" s="2" t="s">
        <v>1293</v>
      </c>
      <c r="B514" s="2" t="s">
        <v>630</v>
      </c>
      <c r="C514" s="2">
        <v>56</v>
      </c>
      <c r="D514" s="2" t="s">
        <v>32</v>
      </c>
      <c r="E514" s="2" t="s">
        <v>85</v>
      </c>
      <c r="F514" s="2" t="s">
        <v>42</v>
      </c>
      <c r="G514" s="2" t="s">
        <v>26</v>
      </c>
      <c r="H514" s="2" t="s">
        <v>851</v>
      </c>
      <c r="I514" s="2" t="s">
        <v>54</v>
      </c>
      <c r="J514" s="2">
        <v>100000</v>
      </c>
      <c r="K514" s="2" t="s">
        <v>37</v>
      </c>
      <c r="L514" s="2" t="s">
        <v>21</v>
      </c>
    </row>
    <row r="515" spans="1:12" ht="16.2" customHeight="1">
      <c r="A515" s="3" t="s">
        <v>1294</v>
      </c>
      <c r="B515" s="3" t="s">
        <v>1295</v>
      </c>
      <c r="C515" s="3">
        <v>66</v>
      </c>
      <c r="D515" s="3" t="s">
        <v>41</v>
      </c>
      <c r="E515" s="3" t="s">
        <v>85</v>
      </c>
      <c r="F515" s="3" t="s">
        <v>25</v>
      </c>
      <c r="G515" s="3" t="s">
        <v>17</v>
      </c>
      <c r="H515" s="3" t="s">
        <v>1017</v>
      </c>
      <c r="I515" s="3" t="s">
        <v>512</v>
      </c>
      <c r="J515" s="3">
        <v>75000</v>
      </c>
      <c r="K515" s="3" t="s">
        <v>20</v>
      </c>
      <c r="L515" s="3" t="s">
        <v>87</v>
      </c>
    </row>
    <row r="516" spans="1:12" ht="16.2" customHeight="1">
      <c r="A516" s="2" t="s">
        <v>1296</v>
      </c>
      <c r="B516" s="2" t="s">
        <v>1297</v>
      </c>
      <c r="C516" s="2">
        <v>29</v>
      </c>
      <c r="D516" s="2" t="s">
        <v>32</v>
      </c>
      <c r="E516" s="2" t="s">
        <v>33</v>
      </c>
      <c r="F516" s="2" t="s">
        <v>132</v>
      </c>
      <c r="G516" s="2" t="s">
        <v>35</v>
      </c>
      <c r="H516" s="2" t="s">
        <v>374</v>
      </c>
      <c r="I516" s="2" t="s">
        <v>578</v>
      </c>
      <c r="J516" s="2">
        <v>35000</v>
      </c>
      <c r="K516" s="2" t="s">
        <v>20</v>
      </c>
      <c r="L516" s="2" t="s">
        <v>55</v>
      </c>
    </row>
    <row r="517" spans="1:12" ht="16.2" customHeight="1">
      <c r="A517" s="3" t="s">
        <v>1298</v>
      </c>
      <c r="B517" s="3" t="s">
        <v>1148</v>
      </c>
      <c r="C517" s="3">
        <v>14</v>
      </c>
      <c r="D517" s="3" t="s">
        <v>41</v>
      </c>
      <c r="E517" s="3" t="s">
        <v>441</v>
      </c>
      <c r="F517" s="3" t="s">
        <v>132</v>
      </c>
      <c r="G517" s="3" t="s">
        <v>26</v>
      </c>
      <c r="H517" s="3" t="s">
        <v>852</v>
      </c>
      <c r="I517" s="3" t="s">
        <v>542</v>
      </c>
      <c r="J517" s="3">
        <v>12000</v>
      </c>
      <c r="K517" s="3" t="s">
        <v>37</v>
      </c>
      <c r="L517" s="3" t="s">
        <v>87</v>
      </c>
    </row>
    <row r="518" spans="1:12" ht="16.2" customHeight="1">
      <c r="A518" s="2" t="s">
        <v>1299</v>
      </c>
      <c r="B518" s="2" t="s">
        <v>534</v>
      </c>
      <c r="C518" s="2">
        <v>75</v>
      </c>
      <c r="D518" s="2" t="s">
        <v>32</v>
      </c>
      <c r="E518" s="2" t="s">
        <v>85</v>
      </c>
      <c r="F518" s="2" t="s">
        <v>42</v>
      </c>
      <c r="G518" s="2" t="s">
        <v>48</v>
      </c>
      <c r="H518" s="2" t="s">
        <v>317</v>
      </c>
      <c r="I518" s="2" t="s">
        <v>124</v>
      </c>
      <c r="J518" s="2">
        <v>8000</v>
      </c>
      <c r="K518" s="2" t="s">
        <v>96</v>
      </c>
      <c r="L518" s="2" t="s">
        <v>38</v>
      </c>
    </row>
    <row r="519" spans="1:12" ht="16.2" customHeight="1">
      <c r="A519" s="3" t="s">
        <v>1300</v>
      </c>
      <c r="B519" s="3" t="s">
        <v>162</v>
      </c>
      <c r="C519" s="3">
        <v>54</v>
      </c>
      <c r="D519" s="3" t="s">
        <v>14</v>
      </c>
      <c r="E519" s="3" t="s">
        <v>85</v>
      </c>
      <c r="F519" s="3" t="s">
        <v>42</v>
      </c>
      <c r="G519" s="3" t="s">
        <v>104</v>
      </c>
      <c r="H519" s="3" t="s">
        <v>650</v>
      </c>
      <c r="I519" s="3" t="s">
        <v>283</v>
      </c>
      <c r="J519" s="3">
        <v>20000</v>
      </c>
      <c r="K519" s="3" t="s">
        <v>37</v>
      </c>
      <c r="L519" s="3" t="s">
        <v>87</v>
      </c>
    </row>
    <row r="520" spans="1:12" ht="16.2" customHeight="1">
      <c r="A520" s="2" t="s">
        <v>1301</v>
      </c>
      <c r="B520" s="2" t="s">
        <v>1286</v>
      </c>
      <c r="C520" s="2">
        <v>58</v>
      </c>
      <c r="D520" s="2" t="s">
        <v>32</v>
      </c>
      <c r="E520" s="2" t="s">
        <v>85</v>
      </c>
      <c r="F520" s="2" t="s">
        <v>16</v>
      </c>
      <c r="G520" s="2" t="s">
        <v>35</v>
      </c>
      <c r="H520" s="2" t="s">
        <v>273</v>
      </c>
      <c r="I520" s="2" t="s">
        <v>498</v>
      </c>
      <c r="J520" s="2">
        <v>25000</v>
      </c>
      <c r="K520" s="2" t="s">
        <v>20</v>
      </c>
      <c r="L520" s="2" t="s">
        <v>38</v>
      </c>
    </row>
    <row r="521" spans="1:12" ht="16.2" customHeight="1">
      <c r="A521" s="3" t="s">
        <v>1302</v>
      </c>
      <c r="B521" s="3" t="s">
        <v>1303</v>
      </c>
      <c r="C521" s="3">
        <v>17</v>
      </c>
      <c r="D521" s="3" t="s">
        <v>14</v>
      </c>
      <c r="E521" s="3" t="s">
        <v>24</v>
      </c>
      <c r="F521" s="3" t="s">
        <v>34</v>
      </c>
      <c r="G521" s="3" t="s">
        <v>104</v>
      </c>
      <c r="H521" s="3" t="s">
        <v>1209</v>
      </c>
      <c r="I521" s="3" t="s">
        <v>715</v>
      </c>
      <c r="J521" s="3">
        <v>25000</v>
      </c>
      <c r="K521" s="3" t="s">
        <v>29</v>
      </c>
      <c r="L521" s="3" t="s">
        <v>21</v>
      </c>
    </row>
    <row r="522" spans="1:12" ht="16.2" customHeight="1">
      <c r="A522" s="2" t="s">
        <v>1304</v>
      </c>
      <c r="B522" s="2" t="s">
        <v>582</v>
      </c>
      <c r="C522" s="2">
        <v>59</v>
      </c>
      <c r="D522" s="2" t="s">
        <v>32</v>
      </c>
      <c r="E522" s="2" t="s">
        <v>109</v>
      </c>
      <c r="F522" s="2" t="s">
        <v>76</v>
      </c>
      <c r="G522" s="2" t="s">
        <v>17</v>
      </c>
      <c r="H522" s="2" t="s">
        <v>810</v>
      </c>
      <c r="I522" s="2" t="s">
        <v>1305</v>
      </c>
      <c r="J522" s="2">
        <v>50000</v>
      </c>
      <c r="K522" s="2" t="s">
        <v>350</v>
      </c>
      <c r="L522" s="2" t="s">
        <v>87</v>
      </c>
    </row>
    <row r="523" spans="1:12" ht="16.2" customHeight="1">
      <c r="A523" s="3" t="s">
        <v>1306</v>
      </c>
      <c r="B523" s="3" t="s">
        <v>1307</v>
      </c>
      <c r="C523" s="3">
        <v>35</v>
      </c>
      <c r="D523" s="3" t="s">
        <v>14</v>
      </c>
      <c r="E523" s="3" t="s">
        <v>109</v>
      </c>
      <c r="F523" s="3" t="s">
        <v>34</v>
      </c>
      <c r="G523" s="3" t="s">
        <v>35</v>
      </c>
      <c r="H523" s="3" t="s">
        <v>612</v>
      </c>
      <c r="I523" s="3" t="s">
        <v>1039</v>
      </c>
      <c r="J523" s="3">
        <v>8000</v>
      </c>
      <c r="K523" s="3" t="s">
        <v>37</v>
      </c>
      <c r="L523" s="3" t="s">
        <v>55</v>
      </c>
    </row>
    <row r="524" spans="1:12" ht="16.2" customHeight="1">
      <c r="A524" s="2" t="s">
        <v>1308</v>
      </c>
      <c r="B524" s="2" t="s">
        <v>1281</v>
      </c>
      <c r="C524" s="2">
        <v>6</v>
      </c>
      <c r="D524" s="2" t="s">
        <v>338</v>
      </c>
      <c r="E524" s="2" t="s">
        <v>15</v>
      </c>
      <c r="F524" s="2" t="s">
        <v>16</v>
      </c>
      <c r="G524" s="2" t="s">
        <v>35</v>
      </c>
      <c r="H524" s="2" t="s">
        <v>789</v>
      </c>
      <c r="I524" s="2" t="s">
        <v>1309</v>
      </c>
      <c r="J524" s="2">
        <v>0</v>
      </c>
      <c r="K524" s="2" t="s">
        <v>29</v>
      </c>
      <c r="L524" s="2" t="s">
        <v>21</v>
      </c>
    </row>
    <row r="525" spans="1:12" ht="16.2" customHeight="1">
      <c r="A525" s="3" t="s">
        <v>1310</v>
      </c>
      <c r="B525" s="3" t="s">
        <v>1311</v>
      </c>
      <c r="C525" s="3">
        <v>77</v>
      </c>
      <c r="D525" s="3" t="s">
        <v>32</v>
      </c>
      <c r="E525" s="3" t="s">
        <v>70</v>
      </c>
      <c r="F525" s="3" t="s">
        <v>34</v>
      </c>
      <c r="G525" s="3" t="s">
        <v>35</v>
      </c>
      <c r="H525" s="3" t="s">
        <v>715</v>
      </c>
      <c r="I525" s="3" t="s">
        <v>1312</v>
      </c>
      <c r="J525" s="3"/>
      <c r="K525" s="3" t="s">
        <v>67</v>
      </c>
      <c r="L525" s="3" t="s">
        <v>55</v>
      </c>
    </row>
    <row r="526" spans="1:12" ht="16.2" customHeight="1">
      <c r="A526" s="2" t="s">
        <v>1313</v>
      </c>
      <c r="B526" s="2" t="s">
        <v>1314</v>
      </c>
      <c r="C526" s="2">
        <v>80</v>
      </c>
      <c r="D526" s="2" t="s">
        <v>32</v>
      </c>
      <c r="E526" s="2" t="s">
        <v>85</v>
      </c>
      <c r="F526" s="2" t="s">
        <v>127</v>
      </c>
      <c r="G526" s="2" t="s">
        <v>26</v>
      </c>
      <c r="H526" s="2" t="s">
        <v>206</v>
      </c>
      <c r="I526" s="2" t="s">
        <v>259</v>
      </c>
      <c r="J526" s="2">
        <v>20000</v>
      </c>
      <c r="K526" s="2" t="s">
        <v>20</v>
      </c>
      <c r="L526" s="2" t="s">
        <v>55</v>
      </c>
    </row>
    <row r="527" spans="1:12" ht="16.2" customHeight="1">
      <c r="A527" s="3" t="s">
        <v>1315</v>
      </c>
      <c r="B527" s="3" t="s">
        <v>1316</v>
      </c>
      <c r="C527" s="3">
        <v>33</v>
      </c>
      <c r="D527" s="3" t="s">
        <v>32</v>
      </c>
      <c r="E527" s="3" t="s">
        <v>109</v>
      </c>
      <c r="F527" s="3" t="s">
        <v>76</v>
      </c>
      <c r="G527" s="3" t="s">
        <v>48</v>
      </c>
      <c r="H527" s="3" t="s">
        <v>310</v>
      </c>
      <c r="I527" s="3" t="s">
        <v>855</v>
      </c>
      <c r="J527" s="3">
        <v>20000</v>
      </c>
      <c r="K527" s="3" t="s">
        <v>67</v>
      </c>
      <c r="L527" s="3" t="s">
        <v>87</v>
      </c>
    </row>
    <row r="528" spans="1:12" ht="16.2" customHeight="1">
      <c r="A528" s="2" t="s">
        <v>1317</v>
      </c>
      <c r="B528" s="2" t="s">
        <v>1203</v>
      </c>
      <c r="C528" s="2">
        <v>2</v>
      </c>
      <c r="D528" s="2" t="s">
        <v>41</v>
      </c>
      <c r="E528" s="2" t="s">
        <v>945</v>
      </c>
      <c r="F528" s="2" t="s">
        <v>76</v>
      </c>
      <c r="G528" s="2" t="s">
        <v>48</v>
      </c>
      <c r="H528" s="2" t="s">
        <v>662</v>
      </c>
      <c r="I528" s="2" t="s">
        <v>406</v>
      </c>
      <c r="J528" s="2">
        <v>50000</v>
      </c>
      <c r="K528" s="2" t="s">
        <v>29</v>
      </c>
      <c r="L528" s="2" t="s">
        <v>21</v>
      </c>
    </row>
    <row r="529" spans="1:12" ht="16.2" customHeight="1">
      <c r="A529" s="3" t="s">
        <v>1318</v>
      </c>
      <c r="B529" s="3" t="s">
        <v>240</v>
      </c>
      <c r="C529" s="3">
        <v>25</v>
      </c>
      <c r="D529" s="3" t="s">
        <v>14</v>
      </c>
      <c r="E529" s="3" t="s">
        <v>52</v>
      </c>
      <c r="F529" s="3" t="s">
        <v>16</v>
      </c>
      <c r="G529" s="3" t="s">
        <v>26</v>
      </c>
      <c r="H529" s="3" t="s">
        <v>1319</v>
      </c>
      <c r="I529" s="3" t="s">
        <v>1320</v>
      </c>
      <c r="J529" s="3">
        <v>100000</v>
      </c>
      <c r="K529" s="3" t="s">
        <v>168</v>
      </c>
      <c r="L529" s="3" t="s">
        <v>55</v>
      </c>
    </row>
    <row r="530" spans="1:12" ht="16.2" customHeight="1">
      <c r="A530" s="2" t="s">
        <v>1321</v>
      </c>
      <c r="B530" s="2" t="s">
        <v>700</v>
      </c>
      <c r="C530" s="2">
        <v>30</v>
      </c>
      <c r="D530" s="2"/>
      <c r="E530" s="2" t="s">
        <v>70</v>
      </c>
      <c r="F530" s="2" t="s">
        <v>76</v>
      </c>
      <c r="G530" s="2" t="s">
        <v>48</v>
      </c>
      <c r="H530" s="2" t="s">
        <v>1320</v>
      </c>
      <c r="I530" s="2" t="s">
        <v>542</v>
      </c>
      <c r="J530" s="2">
        <v>100000</v>
      </c>
      <c r="K530" s="2" t="s">
        <v>37</v>
      </c>
      <c r="L530" s="2" t="s">
        <v>38</v>
      </c>
    </row>
    <row r="531" spans="1:12" ht="16.2" customHeight="1">
      <c r="A531" s="3" t="s">
        <v>1322</v>
      </c>
      <c r="B531" s="3" t="s">
        <v>1323</v>
      </c>
      <c r="C531" s="3">
        <v>66</v>
      </c>
      <c r="D531" s="3" t="s">
        <v>32</v>
      </c>
      <c r="E531" s="3" t="s">
        <v>15</v>
      </c>
      <c r="F531" s="3" t="s">
        <v>34</v>
      </c>
      <c r="G531" s="3" t="s">
        <v>104</v>
      </c>
      <c r="H531" s="3" t="s">
        <v>105</v>
      </c>
      <c r="I531" s="3" t="s">
        <v>738</v>
      </c>
      <c r="J531" s="3">
        <v>20000</v>
      </c>
      <c r="K531" s="3" t="s">
        <v>37</v>
      </c>
      <c r="L531" s="3" t="s">
        <v>55</v>
      </c>
    </row>
    <row r="532" spans="1:12" ht="16.2" customHeight="1">
      <c r="A532" s="2" t="s">
        <v>1324</v>
      </c>
      <c r="B532" s="2" t="s">
        <v>1325</v>
      </c>
      <c r="C532" s="2">
        <v>28</v>
      </c>
      <c r="D532" s="2" t="s">
        <v>14</v>
      </c>
      <c r="E532" s="2" t="s">
        <v>24</v>
      </c>
      <c r="F532" s="2" t="s">
        <v>76</v>
      </c>
      <c r="G532" s="2" t="s">
        <v>99</v>
      </c>
      <c r="H532" s="2" t="s">
        <v>145</v>
      </c>
      <c r="I532" s="2" t="s">
        <v>138</v>
      </c>
      <c r="J532" s="2">
        <v>100000</v>
      </c>
      <c r="K532" s="2" t="s">
        <v>29</v>
      </c>
      <c r="L532" s="2" t="s">
        <v>38</v>
      </c>
    </row>
    <row r="533" spans="1:12" ht="16.2" customHeight="1">
      <c r="A533" s="3" t="s">
        <v>1326</v>
      </c>
      <c r="B533" s="3" t="s">
        <v>912</v>
      </c>
      <c r="C533" s="3">
        <v>90</v>
      </c>
      <c r="D533" s="3" t="s">
        <v>32</v>
      </c>
      <c r="E533" s="3" t="s">
        <v>52</v>
      </c>
      <c r="F533" s="3" t="s">
        <v>25</v>
      </c>
      <c r="G533" s="3" t="s">
        <v>26</v>
      </c>
      <c r="H533" s="3" t="s">
        <v>437</v>
      </c>
      <c r="I533" s="3" t="s">
        <v>322</v>
      </c>
      <c r="J533" s="3">
        <v>15000</v>
      </c>
      <c r="K533" s="3" t="s">
        <v>20</v>
      </c>
      <c r="L533" s="3" t="s">
        <v>21</v>
      </c>
    </row>
    <row r="534" spans="1:12" ht="16.2" customHeight="1">
      <c r="A534" s="2" t="s">
        <v>1327</v>
      </c>
      <c r="B534" s="2" t="s">
        <v>661</v>
      </c>
      <c r="C534" s="2">
        <v>44</v>
      </c>
      <c r="D534" s="2" t="s">
        <v>32</v>
      </c>
      <c r="E534" s="2" t="s">
        <v>70</v>
      </c>
      <c r="F534" s="2" t="s">
        <v>42</v>
      </c>
      <c r="G534" s="2" t="s">
        <v>104</v>
      </c>
      <c r="H534" s="2" t="s">
        <v>1328</v>
      </c>
      <c r="I534" s="2" t="s">
        <v>1084</v>
      </c>
      <c r="J534" s="2">
        <v>12000</v>
      </c>
      <c r="K534" s="2" t="s">
        <v>20</v>
      </c>
      <c r="L534" s="2"/>
    </row>
    <row r="535" spans="1:12" ht="16.2" customHeight="1">
      <c r="A535" s="3" t="s">
        <v>1329</v>
      </c>
      <c r="B535" s="3" t="s">
        <v>272</v>
      </c>
      <c r="C535" s="3">
        <v>58</v>
      </c>
      <c r="D535" s="3" t="s">
        <v>14</v>
      </c>
      <c r="E535" s="3" t="s">
        <v>70</v>
      </c>
      <c r="F535" s="3" t="s">
        <v>127</v>
      </c>
      <c r="G535" s="3" t="s">
        <v>48</v>
      </c>
      <c r="H535" s="3" t="s">
        <v>828</v>
      </c>
      <c r="I535" s="3" t="s">
        <v>1330</v>
      </c>
      <c r="J535" s="3">
        <v>75000</v>
      </c>
      <c r="K535" s="3" t="s">
        <v>67</v>
      </c>
      <c r="L535" s="3" t="s">
        <v>87</v>
      </c>
    </row>
    <row r="536" spans="1:12" ht="16.2" customHeight="1">
      <c r="A536" s="2" t="s">
        <v>1331</v>
      </c>
      <c r="B536" s="2" t="s">
        <v>1332</v>
      </c>
      <c r="C536" s="2">
        <v>62</v>
      </c>
      <c r="D536" s="2"/>
      <c r="E536" s="2" t="s">
        <v>58</v>
      </c>
      <c r="F536" s="2" t="s">
        <v>34</v>
      </c>
      <c r="G536" s="2" t="s">
        <v>104</v>
      </c>
      <c r="H536" s="2" t="s">
        <v>210</v>
      </c>
      <c r="I536" s="2" t="s">
        <v>624</v>
      </c>
      <c r="J536" s="2">
        <v>100000</v>
      </c>
      <c r="K536" s="2" t="s">
        <v>20</v>
      </c>
      <c r="L536" s="2" t="s">
        <v>38</v>
      </c>
    </row>
    <row r="537" spans="1:12" ht="16.2" customHeight="1">
      <c r="A537" s="3" t="s">
        <v>1333</v>
      </c>
      <c r="B537" s="3" t="s">
        <v>1334</v>
      </c>
      <c r="C537" s="3">
        <v>30</v>
      </c>
      <c r="D537" s="3" t="s">
        <v>14</v>
      </c>
      <c r="E537" s="3" t="s">
        <v>945</v>
      </c>
      <c r="F537" s="3" t="s">
        <v>16</v>
      </c>
      <c r="G537" s="3" t="s">
        <v>104</v>
      </c>
      <c r="H537" s="3" t="s">
        <v>106</v>
      </c>
      <c r="I537" s="3" t="s">
        <v>1335</v>
      </c>
      <c r="J537" s="3">
        <v>20000</v>
      </c>
      <c r="K537" s="3" t="s">
        <v>37</v>
      </c>
      <c r="L537" s="3" t="s">
        <v>87</v>
      </c>
    </row>
    <row r="538" spans="1:12" ht="16.2" customHeight="1">
      <c r="A538" s="2" t="s">
        <v>1336</v>
      </c>
      <c r="B538" s="2" t="s">
        <v>1337</v>
      </c>
      <c r="C538" s="2">
        <v>44</v>
      </c>
      <c r="D538" s="2" t="s">
        <v>14</v>
      </c>
      <c r="E538" s="2" t="s">
        <v>15</v>
      </c>
      <c r="F538" s="2" t="s">
        <v>132</v>
      </c>
      <c r="G538" s="2" t="s">
        <v>35</v>
      </c>
      <c r="H538" s="2" t="s">
        <v>610</v>
      </c>
      <c r="I538" s="2" t="s">
        <v>175</v>
      </c>
      <c r="J538" s="2">
        <v>8000</v>
      </c>
      <c r="K538" s="2" t="s">
        <v>37</v>
      </c>
      <c r="L538" s="2" t="s">
        <v>55</v>
      </c>
    </row>
    <row r="539" spans="1:12" ht="16.2" customHeight="1">
      <c r="A539" s="3" t="s">
        <v>1338</v>
      </c>
      <c r="B539" s="3" t="s">
        <v>1339</v>
      </c>
      <c r="C539" s="3">
        <v>78</v>
      </c>
      <c r="D539" s="3" t="s">
        <v>32</v>
      </c>
      <c r="E539" s="3" t="s">
        <v>109</v>
      </c>
      <c r="F539" s="3" t="s">
        <v>34</v>
      </c>
      <c r="G539" s="3" t="s">
        <v>53</v>
      </c>
      <c r="H539" s="3" t="s">
        <v>296</v>
      </c>
      <c r="I539" s="3" t="s">
        <v>128</v>
      </c>
      <c r="J539" s="3">
        <v>50000</v>
      </c>
      <c r="K539" s="3" t="s">
        <v>37</v>
      </c>
      <c r="L539" s="3" t="s">
        <v>21</v>
      </c>
    </row>
    <row r="540" spans="1:12" ht="16.2" customHeight="1">
      <c r="A540" s="2" t="s">
        <v>1340</v>
      </c>
      <c r="B540" s="2" t="s">
        <v>1052</v>
      </c>
      <c r="C540" s="2">
        <v>52</v>
      </c>
      <c r="D540" s="2" t="s">
        <v>14</v>
      </c>
      <c r="E540" s="2" t="s">
        <v>85</v>
      </c>
      <c r="F540" s="2" t="s">
        <v>25</v>
      </c>
      <c r="G540" s="2" t="s">
        <v>26</v>
      </c>
      <c r="H540" s="2" t="s">
        <v>1341</v>
      </c>
      <c r="I540" s="2" t="s">
        <v>266</v>
      </c>
      <c r="J540" s="2">
        <v>75000</v>
      </c>
      <c r="K540" s="2" t="s">
        <v>37</v>
      </c>
      <c r="L540" s="2" t="s">
        <v>21</v>
      </c>
    </row>
    <row r="541" spans="1:12" ht="16.2" customHeight="1">
      <c r="A541" s="3" t="s">
        <v>1342</v>
      </c>
      <c r="B541" s="3" t="s">
        <v>875</v>
      </c>
      <c r="C541" s="3">
        <v>28</v>
      </c>
      <c r="D541" s="3" t="s">
        <v>14</v>
      </c>
      <c r="E541" s="3" t="s">
        <v>52</v>
      </c>
      <c r="F541" s="3" t="s">
        <v>132</v>
      </c>
      <c r="G541" s="3" t="s">
        <v>35</v>
      </c>
      <c r="H541" s="3" t="s">
        <v>1343</v>
      </c>
      <c r="I541" s="3" t="s">
        <v>317</v>
      </c>
      <c r="J541" s="3">
        <v>100000</v>
      </c>
      <c r="K541" s="3" t="s">
        <v>20</v>
      </c>
      <c r="L541" s="3" t="s">
        <v>55</v>
      </c>
    </row>
    <row r="542" spans="1:12" ht="16.2" customHeight="1">
      <c r="A542" s="2" t="s">
        <v>1344</v>
      </c>
      <c r="B542" s="2" t="s">
        <v>294</v>
      </c>
      <c r="C542" s="2">
        <v>70</v>
      </c>
      <c r="D542" s="2" t="s">
        <v>14</v>
      </c>
      <c r="E542" s="2" t="s">
        <v>85</v>
      </c>
      <c r="F542" s="2" t="s">
        <v>76</v>
      </c>
      <c r="G542" s="2" t="s">
        <v>53</v>
      </c>
      <c r="H542" s="2" t="s">
        <v>665</v>
      </c>
      <c r="I542" s="2" t="s">
        <v>386</v>
      </c>
      <c r="J542" s="2">
        <v>100000</v>
      </c>
      <c r="K542" s="2" t="s">
        <v>67</v>
      </c>
      <c r="L542" s="2" t="s">
        <v>87</v>
      </c>
    </row>
    <row r="543" spans="1:12" ht="16.2" customHeight="1">
      <c r="A543" s="3" t="s">
        <v>1345</v>
      </c>
      <c r="B543" s="3" t="s">
        <v>1346</v>
      </c>
      <c r="C543" s="3">
        <v>71</v>
      </c>
      <c r="D543" s="3" t="s">
        <v>32</v>
      </c>
      <c r="E543" s="3" t="s">
        <v>70</v>
      </c>
      <c r="F543" s="3" t="s">
        <v>16</v>
      </c>
      <c r="G543" s="3" t="s">
        <v>99</v>
      </c>
      <c r="H543" s="3" t="s">
        <v>164</v>
      </c>
      <c r="I543" s="3" t="s">
        <v>105</v>
      </c>
      <c r="J543" s="3">
        <v>12000</v>
      </c>
      <c r="K543" s="3" t="s">
        <v>20</v>
      </c>
      <c r="L543" s="3" t="s">
        <v>21</v>
      </c>
    </row>
    <row r="544" spans="1:12" ht="16.2" customHeight="1">
      <c r="A544" s="2" t="s">
        <v>1347</v>
      </c>
      <c r="B544" s="2" t="s">
        <v>1151</v>
      </c>
      <c r="C544" s="2">
        <v>70</v>
      </c>
      <c r="D544" s="2" t="s">
        <v>338</v>
      </c>
      <c r="E544" s="2" t="s">
        <v>85</v>
      </c>
      <c r="F544" s="2" t="s">
        <v>16</v>
      </c>
      <c r="G544" s="2" t="s">
        <v>48</v>
      </c>
      <c r="H544" s="2" t="s">
        <v>789</v>
      </c>
      <c r="I544" s="2" t="s">
        <v>873</v>
      </c>
      <c r="J544" s="2">
        <v>15000</v>
      </c>
      <c r="K544" s="2" t="s">
        <v>37</v>
      </c>
      <c r="L544" s="2" t="s">
        <v>21</v>
      </c>
    </row>
    <row r="545" spans="1:12" ht="16.2" customHeight="1">
      <c r="A545" s="3" t="s">
        <v>1348</v>
      </c>
      <c r="B545" s="3" t="s">
        <v>1349</v>
      </c>
      <c r="C545" s="3">
        <v>51</v>
      </c>
      <c r="D545" s="3" t="s">
        <v>32</v>
      </c>
      <c r="E545" s="3" t="s">
        <v>15</v>
      </c>
      <c r="F545" s="3" t="s">
        <v>76</v>
      </c>
      <c r="G545" s="3" t="s">
        <v>48</v>
      </c>
      <c r="H545" s="3" t="s">
        <v>615</v>
      </c>
      <c r="I545" s="3" t="s">
        <v>511</v>
      </c>
      <c r="J545" s="3">
        <v>75000</v>
      </c>
      <c r="K545" s="3" t="s">
        <v>20</v>
      </c>
      <c r="L545" s="3" t="s">
        <v>21</v>
      </c>
    </row>
    <row r="546" spans="1:12" ht="16.2" customHeight="1">
      <c r="A546" s="2" t="s">
        <v>1350</v>
      </c>
      <c r="B546" s="2" t="s">
        <v>887</v>
      </c>
      <c r="C546" s="2">
        <v>36</v>
      </c>
      <c r="D546" s="2" t="s">
        <v>14</v>
      </c>
      <c r="E546" s="2" t="s">
        <v>58</v>
      </c>
      <c r="F546" s="2" t="s">
        <v>16</v>
      </c>
      <c r="G546" s="2" t="s">
        <v>26</v>
      </c>
      <c r="H546" s="2" t="s">
        <v>1351</v>
      </c>
      <c r="I546" s="2" t="s">
        <v>719</v>
      </c>
      <c r="J546" s="2">
        <v>5000</v>
      </c>
      <c r="K546" s="2" t="s">
        <v>37</v>
      </c>
      <c r="L546" s="2" t="s">
        <v>38</v>
      </c>
    </row>
    <row r="547" spans="1:12" ht="16.2" customHeight="1">
      <c r="A547" s="3" t="s">
        <v>1352</v>
      </c>
      <c r="B547" s="3" t="s">
        <v>652</v>
      </c>
      <c r="C547" s="3">
        <v>38</v>
      </c>
      <c r="D547" s="3" t="s">
        <v>14</v>
      </c>
      <c r="E547" s="3" t="s">
        <v>109</v>
      </c>
      <c r="F547" s="3" t="s">
        <v>264</v>
      </c>
      <c r="G547" s="3" t="s">
        <v>26</v>
      </c>
      <c r="H547" s="3" t="s">
        <v>1227</v>
      </c>
      <c r="I547" s="3" t="s">
        <v>545</v>
      </c>
      <c r="J547" s="3">
        <v>100000</v>
      </c>
      <c r="K547" s="3" t="s">
        <v>67</v>
      </c>
      <c r="L547" s="3" t="s">
        <v>87</v>
      </c>
    </row>
    <row r="548" spans="1:12" ht="16.2" customHeight="1">
      <c r="A548" s="2" t="s">
        <v>1353</v>
      </c>
      <c r="B548" s="2" t="s">
        <v>475</v>
      </c>
      <c r="C548" s="2" t="s">
        <v>519</v>
      </c>
      <c r="D548" s="2" t="s">
        <v>32</v>
      </c>
      <c r="E548" s="2" t="s">
        <v>109</v>
      </c>
      <c r="F548" s="2" t="s">
        <v>76</v>
      </c>
      <c r="G548" s="2" t="s">
        <v>99</v>
      </c>
      <c r="H548" s="2" t="s">
        <v>236</v>
      </c>
      <c r="I548" s="2" t="s">
        <v>325</v>
      </c>
      <c r="J548" s="2">
        <v>35000</v>
      </c>
      <c r="K548" s="2" t="s">
        <v>20</v>
      </c>
      <c r="L548" s="2" t="s">
        <v>21</v>
      </c>
    </row>
    <row r="549" spans="1:12" ht="16.2" customHeight="1">
      <c r="A549" s="3" t="s">
        <v>1354</v>
      </c>
      <c r="B549" s="3" t="s">
        <v>889</v>
      </c>
      <c r="C549" s="3">
        <v>79</v>
      </c>
      <c r="D549" s="3" t="s">
        <v>14</v>
      </c>
      <c r="E549" s="3" t="s">
        <v>572</v>
      </c>
      <c r="F549" s="3" t="s">
        <v>25</v>
      </c>
      <c r="G549" s="3" t="s">
        <v>17</v>
      </c>
      <c r="H549" s="3" t="s">
        <v>171</v>
      </c>
      <c r="I549" s="3" t="s">
        <v>416</v>
      </c>
      <c r="J549" s="3">
        <v>50000</v>
      </c>
      <c r="K549" s="3" t="s">
        <v>67</v>
      </c>
      <c r="L549" s="3" t="s">
        <v>21</v>
      </c>
    </row>
    <row r="550" spans="1:12" ht="16.2" customHeight="1">
      <c r="A550" s="2" t="s">
        <v>1355</v>
      </c>
      <c r="B550" s="2" t="s">
        <v>23</v>
      </c>
      <c r="C550" s="2">
        <v>2</v>
      </c>
      <c r="D550" s="2" t="s">
        <v>32</v>
      </c>
      <c r="E550" s="2" t="s">
        <v>85</v>
      </c>
      <c r="F550" s="2" t="s">
        <v>25</v>
      </c>
      <c r="G550" s="2" t="s">
        <v>104</v>
      </c>
      <c r="H550" s="2" t="s">
        <v>266</v>
      </c>
      <c r="I550" s="2" t="s">
        <v>419</v>
      </c>
      <c r="J550" s="2">
        <v>8000</v>
      </c>
      <c r="K550" s="2" t="s">
        <v>37</v>
      </c>
      <c r="L550" s="2" t="s">
        <v>21</v>
      </c>
    </row>
    <row r="551" spans="1:12" ht="16.2" customHeight="1">
      <c r="A551" s="3" t="s">
        <v>1356</v>
      </c>
      <c r="B551" s="3" t="s">
        <v>1177</v>
      </c>
      <c r="C551" s="3">
        <v>47</v>
      </c>
      <c r="D551" s="3" t="s">
        <v>14</v>
      </c>
      <c r="E551" s="3" t="s">
        <v>15</v>
      </c>
      <c r="F551" s="3" t="s">
        <v>76</v>
      </c>
      <c r="G551" s="3" t="s">
        <v>48</v>
      </c>
      <c r="H551" s="3" t="s">
        <v>59</v>
      </c>
      <c r="I551" s="3" t="s">
        <v>1121</v>
      </c>
      <c r="J551" s="3"/>
      <c r="K551" s="3" t="s">
        <v>67</v>
      </c>
      <c r="L551" s="3" t="s">
        <v>55</v>
      </c>
    </row>
    <row r="552" spans="1:12" ht="16.2" customHeight="1">
      <c r="A552" s="2" t="s">
        <v>1357</v>
      </c>
      <c r="B552" s="2" t="s">
        <v>868</v>
      </c>
      <c r="C552" s="2">
        <v>43</v>
      </c>
      <c r="D552" s="2" t="s">
        <v>32</v>
      </c>
      <c r="E552" s="2" t="s">
        <v>70</v>
      </c>
      <c r="F552" s="2" t="s">
        <v>132</v>
      </c>
      <c r="G552" s="2" t="s">
        <v>99</v>
      </c>
      <c r="H552" s="2" t="s">
        <v>722</v>
      </c>
      <c r="I552" s="2" t="s">
        <v>613</v>
      </c>
      <c r="J552" s="2">
        <v>25000</v>
      </c>
      <c r="K552" s="2" t="s">
        <v>331</v>
      </c>
      <c r="L552" s="2" t="s">
        <v>21</v>
      </c>
    </row>
    <row r="553" spans="1:12" ht="16.2" customHeight="1">
      <c r="A553" s="3" t="s">
        <v>1358</v>
      </c>
      <c r="B553" s="3" t="s">
        <v>1279</v>
      </c>
      <c r="C553" s="3">
        <v>21</v>
      </c>
      <c r="D553" s="3" t="s">
        <v>32</v>
      </c>
      <c r="E553" s="3" t="s">
        <v>541</v>
      </c>
      <c r="F553" s="3" t="s">
        <v>132</v>
      </c>
      <c r="G553" s="3" t="s">
        <v>48</v>
      </c>
      <c r="H553" s="3" t="s">
        <v>719</v>
      </c>
      <c r="I553" s="3" t="s">
        <v>662</v>
      </c>
      <c r="J553" s="3">
        <v>25000</v>
      </c>
      <c r="K553" s="3" t="s">
        <v>20</v>
      </c>
      <c r="L553" s="3" t="s">
        <v>87</v>
      </c>
    </row>
    <row r="554" spans="1:12" ht="16.2" customHeight="1">
      <c r="A554" s="2" t="s">
        <v>1359</v>
      </c>
      <c r="B554" s="2" t="s">
        <v>1360</v>
      </c>
      <c r="C554" s="2">
        <v>21</v>
      </c>
      <c r="D554" s="2" t="s">
        <v>321</v>
      </c>
      <c r="E554" s="2" t="s">
        <v>1086</v>
      </c>
      <c r="F554" s="2" t="s">
        <v>76</v>
      </c>
      <c r="G554" s="2" t="s">
        <v>104</v>
      </c>
      <c r="H554" s="2" t="s">
        <v>511</v>
      </c>
      <c r="I554" s="2" t="s">
        <v>279</v>
      </c>
      <c r="J554" s="2">
        <v>35000</v>
      </c>
      <c r="K554" s="2" t="s">
        <v>67</v>
      </c>
      <c r="L554" s="2" t="s">
        <v>87</v>
      </c>
    </row>
    <row r="555" spans="1:12" ht="16.2" customHeight="1">
      <c r="A555" s="3" t="s">
        <v>1361</v>
      </c>
      <c r="B555" s="3" t="s">
        <v>1362</v>
      </c>
      <c r="C555" s="3">
        <v>33</v>
      </c>
      <c r="D555" s="3" t="s">
        <v>14</v>
      </c>
      <c r="E555" s="3" t="s">
        <v>85</v>
      </c>
      <c r="F555" s="3" t="s">
        <v>42</v>
      </c>
      <c r="G555" s="3" t="s">
        <v>17</v>
      </c>
      <c r="H555" s="3" t="s">
        <v>203</v>
      </c>
      <c r="I555" s="3" t="s">
        <v>650</v>
      </c>
      <c r="J555" s="3">
        <v>25000</v>
      </c>
      <c r="K555" s="3" t="s">
        <v>331</v>
      </c>
      <c r="L555" s="3" t="s">
        <v>21</v>
      </c>
    </row>
    <row r="556" spans="1:12" ht="16.2" customHeight="1">
      <c r="A556" s="2" t="s">
        <v>1363</v>
      </c>
      <c r="B556" s="2" t="s">
        <v>783</v>
      </c>
      <c r="C556" s="2">
        <v>46</v>
      </c>
      <c r="D556" s="2" t="s">
        <v>14</v>
      </c>
      <c r="E556" s="2" t="s">
        <v>15</v>
      </c>
      <c r="F556" s="2" t="s">
        <v>34</v>
      </c>
      <c r="G556" s="2" t="s">
        <v>99</v>
      </c>
      <c r="H556" s="2" t="s">
        <v>105</v>
      </c>
      <c r="I556" s="2" t="s">
        <v>86</v>
      </c>
      <c r="J556" s="2">
        <v>15000</v>
      </c>
      <c r="K556" s="2" t="s">
        <v>29</v>
      </c>
      <c r="L556" s="2" t="s">
        <v>87</v>
      </c>
    </row>
    <row r="557" spans="1:12" ht="16.2" customHeight="1">
      <c r="A557" s="3" t="s">
        <v>1364</v>
      </c>
      <c r="B557" s="3" t="s">
        <v>887</v>
      </c>
      <c r="C557" s="3">
        <v>73</v>
      </c>
      <c r="D557" s="3" t="s">
        <v>14</v>
      </c>
      <c r="E557" s="3" t="s">
        <v>70</v>
      </c>
      <c r="F557" s="3" t="s">
        <v>127</v>
      </c>
      <c r="G557" s="3" t="s">
        <v>104</v>
      </c>
      <c r="H557" s="3" t="s">
        <v>134</v>
      </c>
      <c r="I557" s="3" t="s">
        <v>306</v>
      </c>
      <c r="J557" s="3">
        <v>75000</v>
      </c>
      <c r="K557" s="3" t="s">
        <v>37</v>
      </c>
      <c r="L557" s="3" t="s">
        <v>38</v>
      </c>
    </row>
    <row r="558" spans="1:12" ht="16.2" customHeight="1">
      <c r="A558" s="2" t="s">
        <v>1365</v>
      </c>
      <c r="B558" s="2" t="s">
        <v>1366</v>
      </c>
      <c r="C558" s="2">
        <v>18</v>
      </c>
      <c r="D558" s="2" t="s">
        <v>506</v>
      </c>
      <c r="E558" s="2" t="s">
        <v>109</v>
      </c>
      <c r="F558" s="2" t="s">
        <v>42</v>
      </c>
      <c r="G558" s="2" t="s">
        <v>35</v>
      </c>
      <c r="H558" s="2" t="s">
        <v>101</v>
      </c>
      <c r="I558" s="2" t="s">
        <v>612</v>
      </c>
      <c r="J558" s="2">
        <v>20000</v>
      </c>
      <c r="K558" s="2" t="s">
        <v>29</v>
      </c>
      <c r="L558" s="2" t="s">
        <v>38</v>
      </c>
    </row>
    <row r="559" spans="1:12" ht="16.2" customHeight="1">
      <c r="A559" s="3" t="s">
        <v>1367</v>
      </c>
      <c r="B559" s="3" t="s">
        <v>324</v>
      </c>
      <c r="C559" s="3">
        <v>80</v>
      </c>
      <c r="D559" s="3" t="s">
        <v>14</v>
      </c>
      <c r="E559" s="3" t="s">
        <v>52</v>
      </c>
      <c r="F559" s="3" t="s">
        <v>34</v>
      </c>
      <c r="G559" s="3" t="s">
        <v>48</v>
      </c>
      <c r="H559" s="3" t="s">
        <v>507</v>
      </c>
      <c r="I559" s="3" t="s">
        <v>198</v>
      </c>
      <c r="J559" s="3">
        <v>25000</v>
      </c>
      <c r="K559" s="3" t="s">
        <v>67</v>
      </c>
      <c r="L559" s="3" t="s">
        <v>87</v>
      </c>
    </row>
    <row r="560" spans="1:12" ht="16.2" customHeight="1">
      <c r="A560" s="2" t="s">
        <v>1368</v>
      </c>
      <c r="B560" s="2" t="s">
        <v>1369</v>
      </c>
      <c r="C560" s="2">
        <v>37</v>
      </c>
      <c r="D560" s="2" t="s">
        <v>14</v>
      </c>
      <c r="E560" s="2" t="s">
        <v>58</v>
      </c>
      <c r="F560" s="2" t="s">
        <v>132</v>
      </c>
      <c r="G560" s="2" t="s">
        <v>99</v>
      </c>
      <c r="H560" s="2" t="s">
        <v>249</v>
      </c>
      <c r="I560" s="2" t="s">
        <v>415</v>
      </c>
      <c r="J560" s="2">
        <v>8000</v>
      </c>
      <c r="K560" s="2" t="s">
        <v>67</v>
      </c>
      <c r="L560" s="2" t="s">
        <v>55</v>
      </c>
    </row>
    <row r="561" spans="1:12" ht="16.2" customHeight="1">
      <c r="A561" s="3" t="s">
        <v>1370</v>
      </c>
      <c r="B561" s="3" t="s">
        <v>1371</v>
      </c>
      <c r="C561" s="3">
        <v>86</v>
      </c>
      <c r="D561" s="3" t="s">
        <v>14</v>
      </c>
      <c r="E561" s="3" t="s">
        <v>109</v>
      </c>
      <c r="F561" s="3" t="s">
        <v>76</v>
      </c>
      <c r="G561" s="3" t="s">
        <v>26</v>
      </c>
      <c r="H561" s="3" t="s">
        <v>1372</v>
      </c>
      <c r="I561" s="3" t="s">
        <v>370</v>
      </c>
      <c r="J561" s="3">
        <v>25000</v>
      </c>
      <c r="K561" s="3" t="s">
        <v>37</v>
      </c>
      <c r="L561" s="3" t="s">
        <v>21</v>
      </c>
    </row>
    <row r="562" spans="1:12" ht="16.2" customHeight="1">
      <c r="A562" s="2" t="s">
        <v>1373</v>
      </c>
      <c r="B562" s="2" t="s">
        <v>1078</v>
      </c>
      <c r="C562" s="2">
        <v>72</v>
      </c>
      <c r="D562" s="2" t="s">
        <v>14</v>
      </c>
      <c r="E562" s="2" t="s">
        <v>85</v>
      </c>
      <c r="F562" s="2" t="s">
        <v>76</v>
      </c>
      <c r="G562" s="2" t="s">
        <v>48</v>
      </c>
      <c r="H562" s="2" t="s">
        <v>511</v>
      </c>
      <c r="I562" s="2" t="s">
        <v>242</v>
      </c>
      <c r="J562" s="2">
        <v>5000</v>
      </c>
      <c r="K562" s="2" t="s">
        <v>67</v>
      </c>
      <c r="L562" s="2" t="s">
        <v>87</v>
      </c>
    </row>
    <row r="563" spans="1:12" ht="16.2" customHeight="1">
      <c r="A563" s="3" t="s">
        <v>1374</v>
      </c>
      <c r="B563" s="3" t="s">
        <v>131</v>
      </c>
      <c r="C563" s="3">
        <v>9</v>
      </c>
      <c r="D563" s="3" t="s">
        <v>32</v>
      </c>
      <c r="E563" s="3" t="s">
        <v>109</v>
      </c>
      <c r="F563" s="3" t="s">
        <v>16</v>
      </c>
      <c r="G563" s="3" t="s">
        <v>99</v>
      </c>
      <c r="H563" s="3" t="s">
        <v>159</v>
      </c>
      <c r="I563" s="3" t="s">
        <v>137</v>
      </c>
      <c r="J563" s="3">
        <v>75000</v>
      </c>
      <c r="K563" s="3" t="s">
        <v>29</v>
      </c>
      <c r="L563" s="3" t="s">
        <v>21</v>
      </c>
    </row>
    <row r="564" spans="1:12" ht="16.2" customHeight="1">
      <c r="A564" s="2" t="s">
        <v>1375</v>
      </c>
      <c r="B564" s="2" t="s">
        <v>1376</v>
      </c>
      <c r="C564" s="2">
        <v>27</v>
      </c>
      <c r="D564" s="2" t="s">
        <v>32</v>
      </c>
      <c r="E564" s="2" t="s">
        <v>75</v>
      </c>
      <c r="F564" s="2" t="s">
        <v>25</v>
      </c>
      <c r="G564" s="2" t="s">
        <v>48</v>
      </c>
      <c r="H564" s="2" t="s">
        <v>616</v>
      </c>
      <c r="I564" s="2" t="s">
        <v>562</v>
      </c>
      <c r="J564" s="2">
        <v>20000</v>
      </c>
      <c r="K564" s="2" t="s">
        <v>67</v>
      </c>
      <c r="L564" s="2" t="s">
        <v>38</v>
      </c>
    </row>
    <row r="565" spans="1:12" ht="16.2" customHeight="1">
      <c r="A565" s="3" t="s">
        <v>1377</v>
      </c>
      <c r="B565" s="3" t="s">
        <v>601</v>
      </c>
      <c r="C565" s="3">
        <v>65</v>
      </c>
      <c r="D565" s="3" t="s">
        <v>14</v>
      </c>
      <c r="E565" s="3" t="s">
        <v>33</v>
      </c>
      <c r="F565" s="3" t="s">
        <v>76</v>
      </c>
      <c r="G565" s="3" t="s">
        <v>53</v>
      </c>
      <c r="H565" s="3" t="s">
        <v>974</v>
      </c>
      <c r="I565" s="3" t="s">
        <v>142</v>
      </c>
      <c r="J565" s="3">
        <v>25000</v>
      </c>
      <c r="K565" s="3" t="s">
        <v>67</v>
      </c>
      <c r="L565" s="3" t="s">
        <v>55</v>
      </c>
    </row>
    <row r="566" spans="1:12" ht="16.2" customHeight="1">
      <c r="A566" s="2" t="s">
        <v>1378</v>
      </c>
      <c r="B566" s="2" t="s">
        <v>1123</v>
      </c>
      <c r="C566" s="2">
        <v>90</v>
      </c>
      <c r="D566" s="2" t="s">
        <v>14</v>
      </c>
      <c r="E566" s="2" t="s">
        <v>85</v>
      </c>
      <c r="F566" s="2" t="s">
        <v>16</v>
      </c>
      <c r="G566" s="2" t="s">
        <v>99</v>
      </c>
      <c r="H566" s="2" t="s">
        <v>785</v>
      </c>
      <c r="I566" s="2" t="s">
        <v>325</v>
      </c>
      <c r="J566" s="2">
        <v>100000</v>
      </c>
      <c r="K566" s="2" t="s">
        <v>67</v>
      </c>
      <c r="L566" s="2" t="s">
        <v>38</v>
      </c>
    </row>
    <row r="567" spans="1:12" ht="16.2" customHeight="1">
      <c r="A567" s="3" t="s">
        <v>1379</v>
      </c>
      <c r="B567" s="3" t="s">
        <v>966</v>
      </c>
      <c r="C567" s="3">
        <v>69</v>
      </c>
      <c r="D567" s="3" t="s">
        <v>32</v>
      </c>
      <c r="E567" s="3" t="s">
        <v>15</v>
      </c>
      <c r="F567" s="3" t="s">
        <v>127</v>
      </c>
      <c r="G567" s="3" t="s">
        <v>17</v>
      </c>
      <c r="H567" s="3" t="s">
        <v>676</v>
      </c>
      <c r="I567" s="3" t="s">
        <v>175</v>
      </c>
      <c r="J567" s="3">
        <v>100000</v>
      </c>
      <c r="K567" s="3" t="s">
        <v>20</v>
      </c>
      <c r="L567" s="3" t="s">
        <v>38</v>
      </c>
    </row>
    <row r="568" spans="1:12" ht="16.2" customHeight="1">
      <c r="A568" s="2" t="s">
        <v>1380</v>
      </c>
      <c r="B568" s="2" t="s">
        <v>89</v>
      </c>
      <c r="C568" s="2">
        <v>999</v>
      </c>
      <c r="D568" s="2" t="s">
        <v>486</v>
      </c>
      <c r="E568" s="2" t="s">
        <v>15</v>
      </c>
      <c r="F568" s="2" t="s">
        <v>25</v>
      </c>
      <c r="G568" s="2" t="s">
        <v>99</v>
      </c>
      <c r="H568" s="2" t="s">
        <v>682</v>
      </c>
      <c r="I568" s="2" t="s">
        <v>1258</v>
      </c>
      <c r="J568" s="2">
        <v>100000</v>
      </c>
      <c r="K568" s="2" t="s">
        <v>67</v>
      </c>
      <c r="L568" s="2" t="s">
        <v>55</v>
      </c>
    </row>
    <row r="569" spans="1:12" ht="16.2" customHeight="1">
      <c r="A569" s="3" t="s">
        <v>1381</v>
      </c>
      <c r="B569" s="3" t="s">
        <v>1382</v>
      </c>
      <c r="C569" s="3">
        <v>55</v>
      </c>
      <c r="D569" s="3" t="s">
        <v>14</v>
      </c>
      <c r="E569" s="3" t="s">
        <v>466</v>
      </c>
      <c r="F569" s="3" t="s">
        <v>34</v>
      </c>
      <c r="G569" s="3" t="s">
        <v>17</v>
      </c>
      <c r="H569" s="3" t="s">
        <v>1227</v>
      </c>
      <c r="I569" s="3" t="s">
        <v>729</v>
      </c>
      <c r="J569" s="3">
        <v>20000</v>
      </c>
      <c r="K569" s="3" t="s">
        <v>37</v>
      </c>
      <c r="L569" s="3" t="s">
        <v>55</v>
      </c>
    </row>
    <row r="570" spans="1:12" ht="16.2" customHeight="1">
      <c r="A570" s="2" t="s">
        <v>1383</v>
      </c>
      <c r="B570" s="2" t="s">
        <v>1384</v>
      </c>
      <c r="C570" s="2">
        <v>20</v>
      </c>
      <c r="D570" s="2" t="s">
        <v>14</v>
      </c>
      <c r="E570" s="2" t="s">
        <v>58</v>
      </c>
      <c r="F570" s="2" t="s">
        <v>76</v>
      </c>
      <c r="G570" s="2" t="s">
        <v>48</v>
      </c>
      <c r="H570" s="2" t="s">
        <v>457</v>
      </c>
      <c r="I570" s="2" t="s">
        <v>1385</v>
      </c>
      <c r="J570" s="2">
        <v>50000</v>
      </c>
      <c r="K570" s="2" t="s">
        <v>37</v>
      </c>
      <c r="L570" s="2" t="s">
        <v>38</v>
      </c>
    </row>
    <row r="571" spans="1:12" ht="16.2" customHeight="1">
      <c r="A571" s="3" t="s">
        <v>1386</v>
      </c>
      <c r="B571" s="3" t="s">
        <v>1387</v>
      </c>
      <c r="C571" s="3">
        <v>8</v>
      </c>
      <c r="D571" s="3" t="s">
        <v>338</v>
      </c>
      <c r="E571" s="3" t="s">
        <v>52</v>
      </c>
      <c r="F571" s="3" t="s">
        <v>25</v>
      </c>
      <c r="G571" s="3" t="s">
        <v>35</v>
      </c>
      <c r="H571" s="3" t="s">
        <v>426</v>
      </c>
      <c r="I571" s="3" t="s">
        <v>936</v>
      </c>
      <c r="J571" s="3">
        <v>20000</v>
      </c>
      <c r="K571" s="3" t="s">
        <v>983</v>
      </c>
      <c r="L571" s="3" t="s">
        <v>21</v>
      </c>
    </row>
    <row r="572" spans="1:12" ht="16.2" customHeight="1">
      <c r="A572" s="2" t="s">
        <v>1388</v>
      </c>
      <c r="B572" s="2" t="s">
        <v>372</v>
      </c>
      <c r="C572" s="2">
        <v>65</v>
      </c>
      <c r="D572" s="2" t="s">
        <v>14</v>
      </c>
      <c r="E572" s="2" t="s">
        <v>70</v>
      </c>
      <c r="F572" s="2" t="s">
        <v>132</v>
      </c>
      <c r="G572" s="2" t="s">
        <v>35</v>
      </c>
      <c r="H572" s="2" t="s">
        <v>1389</v>
      </c>
      <c r="I572" s="2" t="s">
        <v>612</v>
      </c>
      <c r="J572" s="2">
        <v>5000</v>
      </c>
      <c r="K572" s="2" t="s">
        <v>37</v>
      </c>
      <c r="L572" s="2" t="s">
        <v>21</v>
      </c>
    </row>
    <row r="573" spans="1:12" ht="16.2" customHeight="1">
      <c r="A573" s="3" t="s">
        <v>1390</v>
      </c>
      <c r="B573" s="3" t="s">
        <v>1391</v>
      </c>
      <c r="C573" s="3">
        <v>88</v>
      </c>
      <c r="D573" s="3" t="s">
        <v>32</v>
      </c>
      <c r="E573" s="3"/>
      <c r="F573" s="3" t="s">
        <v>34</v>
      </c>
      <c r="G573" s="3" t="s">
        <v>99</v>
      </c>
      <c r="H573" s="3" t="s">
        <v>974</v>
      </c>
      <c r="I573" s="3" t="s">
        <v>185</v>
      </c>
      <c r="J573" s="3">
        <v>12000</v>
      </c>
      <c r="K573" s="3" t="s">
        <v>67</v>
      </c>
      <c r="L573" s="3" t="s">
        <v>87</v>
      </c>
    </row>
    <row r="574" spans="1:12" ht="16.2" customHeight="1">
      <c r="A574" s="2" t="s">
        <v>1392</v>
      </c>
      <c r="B574" s="2" t="s">
        <v>623</v>
      </c>
      <c r="C574" s="2">
        <v>6</v>
      </c>
      <c r="D574" s="2" t="s">
        <v>32</v>
      </c>
      <c r="E574" s="2" t="s">
        <v>15</v>
      </c>
      <c r="F574" s="2" t="s">
        <v>42</v>
      </c>
      <c r="G574" s="2" t="s">
        <v>53</v>
      </c>
      <c r="H574" s="2" t="s">
        <v>163</v>
      </c>
      <c r="I574" s="2" t="s">
        <v>283</v>
      </c>
      <c r="J574" s="2">
        <v>8000</v>
      </c>
      <c r="K574" s="2" t="s">
        <v>67</v>
      </c>
      <c r="L574" s="2" t="s">
        <v>21</v>
      </c>
    </row>
    <row r="575" spans="1:12" ht="16.2" customHeight="1">
      <c r="A575" s="3" t="s">
        <v>1393</v>
      </c>
      <c r="B575" s="3" t="s">
        <v>74</v>
      </c>
      <c r="C575" s="3">
        <v>28</v>
      </c>
      <c r="D575" s="3" t="s">
        <v>14</v>
      </c>
      <c r="E575" s="3" t="s">
        <v>85</v>
      </c>
      <c r="F575" s="3" t="s">
        <v>132</v>
      </c>
      <c r="G575" s="3" t="s">
        <v>48</v>
      </c>
      <c r="H575" s="3" t="s">
        <v>719</v>
      </c>
      <c r="I575" s="3" t="s">
        <v>448</v>
      </c>
      <c r="J575" s="3">
        <v>8000</v>
      </c>
      <c r="K575" s="3" t="s">
        <v>37</v>
      </c>
      <c r="L575" s="3" t="s">
        <v>21</v>
      </c>
    </row>
    <row r="576" spans="1:12" ht="16.2" customHeight="1">
      <c r="A576" s="2" t="s">
        <v>1394</v>
      </c>
      <c r="B576" s="2" t="s">
        <v>253</v>
      </c>
      <c r="C576" s="2">
        <v>14</v>
      </c>
      <c r="D576" s="2" t="s">
        <v>32</v>
      </c>
      <c r="E576" s="2" t="s">
        <v>58</v>
      </c>
      <c r="F576" s="2" t="s">
        <v>132</v>
      </c>
      <c r="G576" s="2" t="s">
        <v>104</v>
      </c>
      <c r="H576" s="2" t="s">
        <v>809</v>
      </c>
      <c r="I576" s="2" t="s">
        <v>685</v>
      </c>
      <c r="J576" s="2">
        <v>5000</v>
      </c>
      <c r="K576" s="2" t="s">
        <v>29</v>
      </c>
      <c r="L576" s="2" t="s">
        <v>38</v>
      </c>
    </row>
    <row r="577" spans="1:12" ht="16.2" customHeight="1">
      <c r="A577" s="3" t="s">
        <v>1395</v>
      </c>
      <c r="B577" s="3" t="s">
        <v>1396</v>
      </c>
      <c r="C577" s="3">
        <v>0</v>
      </c>
      <c r="D577" s="3" t="s">
        <v>32</v>
      </c>
      <c r="E577" s="3" t="s">
        <v>33</v>
      </c>
      <c r="F577" s="3" t="s">
        <v>76</v>
      </c>
      <c r="G577" s="3" t="s">
        <v>35</v>
      </c>
      <c r="H577" s="3" t="s">
        <v>111</v>
      </c>
      <c r="I577" s="3" t="s">
        <v>310</v>
      </c>
      <c r="J577" s="3">
        <v>25000</v>
      </c>
      <c r="K577" s="3" t="s">
        <v>37</v>
      </c>
      <c r="L577" s="3" t="s">
        <v>87</v>
      </c>
    </row>
    <row r="578" spans="1:12" ht="16.2" customHeight="1">
      <c r="A578" s="2" t="s">
        <v>1397</v>
      </c>
      <c r="B578" s="2" t="s">
        <v>1101</v>
      </c>
      <c r="C578" s="2">
        <v>33</v>
      </c>
      <c r="D578" s="2" t="s">
        <v>14</v>
      </c>
      <c r="E578" s="2" t="s">
        <v>109</v>
      </c>
      <c r="F578" s="2" t="s">
        <v>34</v>
      </c>
      <c r="G578" s="2" t="s">
        <v>26</v>
      </c>
      <c r="H578" s="2" t="s">
        <v>397</v>
      </c>
      <c r="I578" s="2" t="s">
        <v>668</v>
      </c>
      <c r="J578" s="2">
        <v>35000</v>
      </c>
      <c r="K578" s="2" t="s">
        <v>37</v>
      </c>
      <c r="L578" s="2" t="s">
        <v>55</v>
      </c>
    </row>
    <row r="579" spans="1:12" ht="16.2" customHeight="1">
      <c r="A579" s="3" t="s">
        <v>1398</v>
      </c>
      <c r="B579" s="3" t="s">
        <v>971</v>
      </c>
      <c r="C579" s="3">
        <v>12</v>
      </c>
      <c r="D579" s="3" t="s">
        <v>32</v>
      </c>
      <c r="E579" s="3" t="s">
        <v>85</v>
      </c>
      <c r="F579" s="3" t="s">
        <v>42</v>
      </c>
      <c r="G579" s="3" t="s">
        <v>35</v>
      </c>
      <c r="H579" s="3" t="s">
        <v>265</v>
      </c>
      <c r="I579" s="3" t="s">
        <v>158</v>
      </c>
      <c r="J579" s="3">
        <v>12000</v>
      </c>
      <c r="K579" s="3" t="s">
        <v>20</v>
      </c>
      <c r="L579" s="3" t="s">
        <v>87</v>
      </c>
    </row>
    <row r="580" spans="1:12" ht="16.2" customHeight="1">
      <c r="A580" s="2" t="s">
        <v>1399</v>
      </c>
      <c r="B580" s="2" t="s">
        <v>731</v>
      </c>
      <c r="C580" s="2">
        <v>17</v>
      </c>
      <c r="D580" s="2" t="s">
        <v>14</v>
      </c>
      <c r="E580" s="2" t="s">
        <v>70</v>
      </c>
      <c r="F580" s="2" t="s">
        <v>25</v>
      </c>
      <c r="G580" s="2" t="s">
        <v>53</v>
      </c>
      <c r="H580" s="2" t="s">
        <v>151</v>
      </c>
      <c r="I580" s="2" t="s">
        <v>1035</v>
      </c>
      <c r="J580" s="2">
        <v>75000</v>
      </c>
      <c r="K580" s="2" t="s">
        <v>29</v>
      </c>
      <c r="L580" s="2" t="s">
        <v>38</v>
      </c>
    </row>
    <row r="581" spans="1:12" ht="16.2" customHeight="1">
      <c r="A581" s="3" t="s">
        <v>1400</v>
      </c>
      <c r="B581" s="3" t="s">
        <v>1337</v>
      </c>
      <c r="C581" s="3">
        <v>28</v>
      </c>
      <c r="D581" s="3" t="s">
        <v>32</v>
      </c>
      <c r="E581" s="3" t="s">
        <v>52</v>
      </c>
      <c r="F581" s="3" t="s">
        <v>132</v>
      </c>
      <c r="G581" s="3" t="s">
        <v>26</v>
      </c>
      <c r="H581" s="3" t="s">
        <v>245</v>
      </c>
      <c r="I581" s="3" t="s">
        <v>974</v>
      </c>
      <c r="J581" s="3">
        <v>0</v>
      </c>
      <c r="K581" s="3" t="s">
        <v>67</v>
      </c>
      <c r="L581" s="3" t="s">
        <v>21</v>
      </c>
    </row>
    <row r="582" spans="1:12" ht="16.2" customHeight="1">
      <c r="A582" s="2" t="s">
        <v>1401</v>
      </c>
      <c r="B582" s="2" t="s">
        <v>1203</v>
      </c>
      <c r="C582" s="2">
        <v>50</v>
      </c>
      <c r="D582" s="2" t="s">
        <v>32</v>
      </c>
      <c r="E582" s="2" t="s">
        <v>33</v>
      </c>
      <c r="F582" s="2" t="s">
        <v>42</v>
      </c>
      <c r="G582" s="2" t="s">
        <v>99</v>
      </c>
      <c r="H582" s="2" t="s">
        <v>1402</v>
      </c>
      <c r="I582" s="2" t="s">
        <v>119</v>
      </c>
      <c r="J582" s="2">
        <v>8000</v>
      </c>
      <c r="K582" s="2" t="s">
        <v>67</v>
      </c>
      <c r="L582" s="2" t="s">
        <v>21</v>
      </c>
    </row>
    <row r="583" spans="1:12" ht="16.2" customHeight="1">
      <c r="A583" s="3" t="s">
        <v>1403</v>
      </c>
      <c r="B583" s="3" t="s">
        <v>291</v>
      </c>
      <c r="C583" s="3">
        <v>24</v>
      </c>
      <c r="D583" s="3" t="s">
        <v>486</v>
      </c>
      <c r="E583" s="3" t="s">
        <v>52</v>
      </c>
      <c r="F583" s="3" t="s">
        <v>132</v>
      </c>
      <c r="G583" s="3" t="s">
        <v>99</v>
      </c>
      <c r="H583" s="3" t="s">
        <v>616</v>
      </c>
      <c r="I583" s="3" t="s">
        <v>676</v>
      </c>
      <c r="J583" s="3">
        <v>5000</v>
      </c>
      <c r="K583" s="3" t="s">
        <v>29</v>
      </c>
      <c r="L583" s="3" t="s">
        <v>55</v>
      </c>
    </row>
    <row r="584" spans="1:12" ht="16.2" customHeight="1">
      <c r="A584" s="2" t="s">
        <v>1404</v>
      </c>
      <c r="B584" s="2" t="s">
        <v>1405</v>
      </c>
      <c r="C584" s="2">
        <v>15</v>
      </c>
      <c r="D584" s="2" t="s">
        <v>14</v>
      </c>
      <c r="E584" s="2" t="s">
        <v>109</v>
      </c>
      <c r="F584" s="2" t="s">
        <v>127</v>
      </c>
      <c r="G584" s="2" t="s">
        <v>35</v>
      </c>
      <c r="H584" s="2" t="s">
        <v>382</v>
      </c>
      <c r="I584" s="2" t="s">
        <v>142</v>
      </c>
      <c r="J584" s="2">
        <v>20000</v>
      </c>
      <c r="K584" s="2" t="s">
        <v>37</v>
      </c>
      <c r="L584" s="2" t="s">
        <v>55</v>
      </c>
    </row>
    <row r="585" spans="1:12" ht="16.2" customHeight="1">
      <c r="A585" s="3" t="s">
        <v>1406</v>
      </c>
      <c r="B585" s="3" t="s">
        <v>1014</v>
      </c>
      <c r="C585" s="3">
        <v>52</v>
      </c>
      <c r="D585" s="3" t="s">
        <v>32</v>
      </c>
      <c r="E585" s="3" t="s">
        <v>70</v>
      </c>
      <c r="F585" s="3" t="s">
        <v>16</v>
      </c>
      <c r="G585" s="3" t="s">
        <v>26</v>
      </c>
      <c r="H585" s="3" t="s">
        <v>1407</v>
      </c>
      <c r="I585" s="3" t="s">
        <v>933</v>
      </c>
      <c r="J585" s="3">
        <v>50000</v>
      </c>
      <c r="K585" s="3" t="s">
        <v>29</v>
      </c>
      <c r="L585" s="3" t="s">
        <v>87</v>
      </c>
    </row>
    <row r="586" spans="1:12" ht="16.2" customHeight="1">
      <c r="A586" s="2" t="s">
        <v>1408</v>
      </c>
      <c r="B586" s="2" t="s">
        <v>1409</v>
      </c>
      <c r="C586" s="2">
        <v>53</v>
      </c>
      <c r="D586" s="2" t="s">
        <v>41</v>
      </c>
      <c r="E586" s="2" t="s">
        <v>109</v>
      </c>
      <c r="F586" s="2" t="s">
        <v>132</v>
      </c>
      <c r="G586" s="2" t="s">
        <v>53</v>
      </c>
      <c r="H586" s="2" t="s">
        <v>873</v>
      </c>
      <c r="I586" s="2" t="s">
        <v>448</v>
      </c>
      <c r="J586" s="2">
        <v>25000</v>
      </c>
      <c r="K586" s="2" t="s">
        <v>37</v>
      </c>
      <c r="L586" s="2" t="s">
        <v>21</v>
      </c>
    </row>
    <row r="587" spans="1:12" ht="16.2" customHeight="1">
      <c r="A587" s="3" t="s">
        <v>1410</v>
      </c>
      <c r="B587" s="3" t="s">
        <v>1411</v>
      </c>
      <c r="C587" s="3">
        <v>55</v>
      </c>
      <c r="D587" s="3" t="s">
        <v>32</v>
      </c>
      <c r="E587" s="3" t="s">
        <v>109</v>
      </c>
      <c r="F587" s="3" t="s">
        <v>42</v>
      </c>
      <c r="G587" s="3" t="s">
        <v>35</v>
      </c>
      <c r="H587" s="3" t="s">
        <v>574</v>
      </c>
      <c r="I587" s="3" t="s">
        <v>804</v>
      </c>
      <c r="J587" s="3">
        <v>100000</v>
      </c>
      <c r="K587" s="3" t="s">
        <v>37</v>
      </c>
      <c r="L587" s="3" t="s">
        <v>21</v>
      </c>
    </row>
    <row r="588" spans="1:12" ht="16.2" customHeight="1">
      <c r="A588" s="2" t="s">
        <v>1412</v>
      </c>
      <c r="B588" s="2" t="s">
        <v>312</v>
      </c>
      <c r="C588" s="2">
        <v>7</v>
      </c>
      <c r="D588" s="2" t="s">
        <v>14</v>
      </c>
      <c r="E588" s="2" t="s">
        <v>85</v>
      </c>
      <c r="F588" s="2" t="s">
        <v>34</v>
      </c>
      <c r="G588" s="2" t="s">
        <v>99</v>
      </c>
      <c r="H588" s="2" t="s">
        <v>438</v>
      </c>
      <c r="I588" s="2" t="s">
        <v>1254</v>
      </c>
      <c r="J588" s="2">
        <v>20000</v>
      </c>
      <c r="K588" s="2" t="s">
        <v>29</v>
      </c>
      <c r="L588" s="2" t="s">
        <v>55</v>
      </c>
    </row>
    <row r="589" spans="1:12" ht="16.2" customHeight="1">
      <c r="A589" s="3" t="s">
        <v>1413</v>
      </c>
      <c r="B589" s="3" t="s">
        <v>1384</v>
      </c>
      <c r="C589" s="3">
        <v>24</v>
      </c>
      <c r="D589" s="3" t="s">
        <v>14</v>
      </c>
      <c r="E589" s="3" t="s">
        <v>58</v>
      </c>
      <c r="F589" s="3" t="s">
        <v>76</v>
      </c>
      <c r="G589" s="3" t="s">
        <v>26</v>
      </c>
      <c r="H589" s="3" t="s">
        <v>1042</v>
      </c>
      <c r="I589" s="3" t="s">
        <v>256</v>
      </c>
      <c r="J589" s="3">
        <v>15000</v>
      </c>
      <c r="K589" s="3" t="s">
        <v>29</v>
      </c>
      <c r="L589" s="3" t="s">
        <v>87</v>
      </c>
    </row>
    <row r="590" spans="1:12" ht="16.2" customHeight="1">
      <c r="A590" s="2" t="s">
        <v>1414</v>
      </c>
      <c r="B590" s="2" t="s">
        <v>1323</v>
      </c>
      <c r="C590" s="2">
        <v>85</v>
      </c>
      <c r="D590" s="2" t="s">
        <v>14</v>
      </c>
      <c r="E590" s="2" t="s">
        <v>33</v>
      </c>
      <c r="F590" s="2" t="s">
        <v>76</v>
      </c>
      <c r="G590" s="2" t="s">
        <v>35</v>
      </c>
      <c r="H590" s="2" t="s">
        <v>265</v>
      </c>
      <c r="I590" s="2" t="s">
        <v>715</v>
      </c>
      <c r="J590" s="2">
        <v>75000</v>
      </c>
      <c r="K590" s="2" t="s">
        <v>20</v>
      </c>
      <c r="L590" s="2" t="s">
        <v>38</v>
      </c>
    </row>
    <row r="591" spans="1:12" ht="16.2" customHeight="1">
      <c r="A591" s="3" t="s">
        <v>1415</v>
      </c>
      <c r="B591" s="3" t="s">
        <v>1416</v>
      </c>
      <c r="C591" s="3">
        <v>30</v>
      </c>
      <c r="D591" s="3" t="s">
        <v>14</v>
      </c>
      <c r="E591" s="3" t="s">
        <v>52</v>
      </c>
      <c r="F591" s="3" t="s">
        <v>127</v>
      </c>
      <c r="G591" s="3" t="s">
        <v>35</v>
      </c>
      <c r="H591" s="3" t="s">
        <v>301</v>
      </c>
      <c r="I591" s="3" t="s">
        <v>905</v>
      </c>
      <c r="J591" s="3">
        <v>75000</v>
      </c>
      <c r="K591" s="3" t="s">
        <v>67</v>
      </c>
      <c r="L591" s="3" t="s">
        <v>21</v>
      </c>
    </row>
    <row r="592" spans="1:12" ht="16.2" customHeight="1">
      <c r="A592" s="2" t="s">
        <v>1417</v>
      </c>
      <c r="B592" s="2" t="s">
        <v>1078</v>
      </c>
      <c r="C592" s="2">
        <v>57</v>
      </c>
      <c r="D592" s="2" t="s">
        <v>14</v>
      </c>
      <c r="E592" s="2" t="s">
        <v>85</v>
      </c>
      <c r="F592" s="2" t="s">
        <v>132</v>
      </c>
      <c r="G592" s="2" t="s">
        <v>53</v>
      </c>
      <c r="H592" s="2" t="s">
        <v>100</v>
      </c>
      <c r="I592" s="2" t="s">
        <v>973</v>
      </c>
      <c r="J592" s="2">
        <v>35000</v>
      </c>
      <c r="K592" s="2" t="s">
        <v>20</v>
      </c>
      <c r="L592" s="2" t="s">
        <v>21</v>
      </c>
    </row>
    <row r="593" spans="1:12" ht="16.2" customHeight="1">
      <c r="A593" s="3" t="s">
        <v>1418</v>
      </c>
      <c r="B593" s="3" t="s">
        <v>286</v>
      </c>
      <c r="C593" s="3">
        <v>28</v>
      </c>
      <c r="D593" s="3" t="s">
        <v>14</v>
      </c>
      <c r="E593" s="3" t="s">
        <v>70</v>
      </c>
      <c r="F593" s="3" t="s">
        <v>132</v>
      </c>
      <c r="G593" s="3" t="s">
        <v>53</v>
      </c>
      <c r="H593" s="3" t="s">
        <v>1132</v>
      </c>
      <c r="I593" s="3" t="s">
        <v>1253</v>
      </c>
      <c r="J593" s="3">
        <v>35000</v>
      </c>
      <c r="K593" s="3" t="s">
        <v>37</v>
      </c>
      <c r="L593" s="3" t="s">
        <v>38</v>
      </c>
    </row>
    <row r="594" spans="1:12" ht="16.2" customHeight="1">
      <c r="A594" s="2" t="s">
        <v>1419</v>
      </c>
      <c r="B594" s="2" t="s">
        <v>1069</v>
      </c>
      <c r="C594" s="2">
        <v>73</v>
      </c>
      <c r="D594" s="2" t="s">
        <v>14</v>
      </c>
      <c r="E594" s="2" t="s">
        <v>33</v>
      </c>
      <c r="F594" s="2" t="s">
        <v>16</v>
      </c>
      <c r="G594" s="2" t="s">
        <v>104</v>
      </c>
      <c r="H594" s="2" t="s">
        <v>283</v>
      </c>
      <c r="I594" s="2" t="s">
        <v>176</v>
      </c>
      <c r="J594" s="2">
        <v>0</v>
      </c>
      <c r="K594" s="2"/>
      <c r="L594" s="2" t="s">
        <v>55</v>
      </c>
    </row>
    <row r="595" spans="1:12" ht="16.2" customHeight="1">
      <c r="A595" s="3" t="s">
        <v>1420</v>
      </c>
      <c r="B595" s="3" t="s">
        <v>13</v>
      </c>
      <c r="C595" s="3">
        <v>44</v>
      </c>
      <c r="D595" s="3" t="s">
        <v>14</v>
      </c>
      <c r="E595" s="3" t="s">
        <v>85</v>
      </c>
      <c r="F595" s="3" t="s">
        <v>16</v>
      </c>
      <c r="G595" s="3" t="s">
        <v>35</v>
      </c>
      <c r="H595" s="3" t="s">
        <v>1206</v>
      </c>
      <c r="I595" s="3" t="s">
        <v>1214</v>
      </c>
      <c r="J595" s="3">
        <v>50000</v>
      </c>
      <c r="K595" s="3" t="s">
        <v>37</v>
      </c>
      <c r="L595" s="3" t="s">
        <v>38</v>
      </c>
    </row>
    <row r="596" spans="1:12" ht="16.2" customHeight="1">
      <c r="A596" s="2" t="s">
        <v>1421</v>
      </c>
      <c r="B596" s="2" t="s">
        <v>958</v>
      </c>
      <c r="C596" s="2">
        <v>43</v>
      </c>
      <c r="D596" s="2" t="s">
        <v>32</v>
      </c>
      <c r="E596" s="2" t="s">
        <v>109</v>
      </c>
      <c r="F596" s="2" t="s">
        <v>42</v>
      </c>
      <c r="G596" s="2" t="s">
        <v>17</v>
      </c>
      <c r="H596" s="2" t="s">
        <v>676</v>
      </c>
      <c r="I596" s="2" t="s">
        <v>44</v>
      </c>
      <c r="J596" s="2">
        <v>75000</v>
      </c>
      <c r="K596" s="2" t="s">
        <v>29</v>
      </c>
      <c r="L596" s="2" t="s">
        <v>87</v>
      </c>
    </row>
    <row r="597" spans="1:12" ht="16.2" customHeight="1">
      <c r="A597" s="3" t="s">
        <v>1422</v>
      </c>
      <c r="B597" s="3" t="s">
        <v>1231</v>
      </c>
      <c r="C597" s="3">
        <v>81</v>
      </c>
      <c r="D597" s="3" t="s">
        <v>32</v>
      </c>
      <c r="E597" s="3" t="s">
        <v>987</v>
      </c>
      <c r="F597" s="3" t="s">
        <v>16</v>
      </c>
      <c r="G597" s="3" t="s">
        <v>17</v>
      </c>
      <c r="H597" s="3" t="s">
        <v>1206</v>
      </c>
      <c r="I597" s="3" t="s">
        <v>226</v>
      </c>
      <c r="J597" s="3">
        <v>25000</v>
      </c>
      <c r="K597" s="3" t="s">
        <v>67</v>
      </c>
      <c r="L597" s="3" t="s">
        <v>38</v>
      </c>
    </row>
    <row r="598" spans="1:12" ht="16.2" customHeight="1">
      <c r="A598" s="2" t="s">
        <v>1423</v>
      </c>
      <c r="B598" s="2" t="s">
        <v>639</v>
      </c>
      <c r="C598" s="2">
        <v>12</v>
      </c>
      <c r="D598" s="2" t="s">
        <v>32</v>
      </c>
      <c r="E598" s="2" t="s">
        <v>33</v>
      </c>
      <c r="F598" s="2" t="s">
        <v>16</v>
      </c>
      <c r="G598" s="2" t="s">
        <v>48</v>
      </c>
      <c r="H598" s="2" t="s">
        <v>1187</v>
      </c>
      <c r="I598" s="2" t="s">
        <v>305</v>
      </c>
      <c r="J598" s="2">
        <v>8000</v>
      </c>
      <c r="K598" s="2" t="s">
        <v>29</v>
      </c>
      <c r="L598" s="2" t="s">
        <v>87</v>
      </c>
    </row>
    <row r="599" spans="1:12" ht="16.2" customHeight="1">
      <c r="A599" s="3" t="s">
        <v>1424</v>
      </c>
      <c r="B599" s="3" t="s">
        <v>768</v>
      </c>
      <c r="C599" s="3">
        <v>67</v>
      </c>
      <c r="D599" s="3" t="s">
        <v>14</v>
      </c>
      <c r="E599" s="3" t="s">
        <v>15</v>
      </c>
      <c r="F599" s="3" t="s">
        <v>127</v>
      </c>
      <c r="G599" s="3" t="s">
        <v>48</v>
      </c>
      <c r="H599" s="3" t="s">
        <v>167</v>
      </c>
      <c r="I599" s="3" t="s">
        <v>1227</v>
      </c>
      <c r="J599" s="3">
        <v>12000</v>
      </c>
      <c r="K599" s="3" t="s">
        <v>29</v>
      </c>
      <c r="L599" s="3" t="s">
        <v>38</v>
      </c>
    </row>
    <row r="600" spans="1:12" ht="16.2" customHeight="1">
      <c r="A600" s="2" t="s">
        <v>1425</v>
      </c>
      <c r="B600" s="2" t="s">
        <v>1426</v>
      </c>
      <c r="C600" s="2">
        <v>84</v>
      </c>
      <c r="D600" s="2" t="s">
        <v>486</v>
      </c>
      <c r="E600" s="2" t="s">
        <v>85</v>
      </c>
      <c r="F600" s="2" t="s">
        <v>342</v>
      </c>
      <c r="G600" s="2" t="s">
        <v>48</v>
      </c>
      <c r="H600" s="2" t="s">
        <v>1209</v>
      </c>
      <c r="I600" s="2" t="s">
        <v>334</v>
      </c>
      <c r="J600" s="2">
        <v>5000</v>
      </c>
      <c r="K600" s="2" t="s">
        <v>20</v>
      </c>
      <c r="L600" s="2" t="s">
        <v>87</v>
      </c>
    </row>
    <row r="601" spans="1:12" ht="16.2" customHeight="1">
      <c r="A601" s="3" t="s">
        <v>1427</v>
      </c>
      <c r="B601" s="3" t="s">
        <v>193</v>
      </c>
      <c r="C601" s="3">
        <v>9</v>
      </c>
      <c r="D601" s="3" t="s">
        <v>14</v>
      </c>
      <c r="E601" s="3" t="s">
        <v>15</v>
      </c>
      <c r="F601" s="3" t="s">
        <v>132</v>
      </c>
      <c r="G601" s="3" t="s">
        <v>17</v>
      </c>
      <c r="H601" s="3" t="s">
        <v>824</v>
      </c>
      <c r="I601" s="3" t="s">
        <v>560</v>
      </c>
      <c r="J601" s="3">
        <v>12000</v>
      </c>
      <c r="K601" s="3" t="s">
        <v>238</v>
      </c>
      <c r="L601" s="3" t="s">
        <v>87</v>
      </c>
    </row>
    <row r="602" spans="1:12" ht="16.2" customHeight="1">
      <c r="A602" s="2" t="s">
        <v>1428</v>
      </c>
      <c r="B602" s="2" t="s">
        <v>687</v>
      </c>
      <c r="C602" s="2"/>
      <c r="D602" s="2" t="s">
        <v>14</v>
      </c>
      <c r="E602" s="2" t="s">
        <v>15</v>
      </c>
      <c r="F602" s="2" t="s">
        <v>34</v>
      </c>
      <c r="G602" s="2" t="s">
        <v>99</v>
      </c>
      <c r="H602" s="2" t="s">
        <v>715</v>
      </c>
      <c r="I602" s="2" t="s">
        <v>145</v>
      </c>
      <c r="J602" s="2">
        <v>75000</v>
      </c>
      <c r="K602" s="2" t="s">
        <v>29</v>
      </c>
      <c r="L602" s="2" t="s">
        <v>87</v>
      </c>
    </row>
    <row r="603" spans="1:12" ht="16.2" customHeight="1">
      <c r="A603" s="3" t="s">
        <v>1429</v>
      </c>
      <c r="B603" s="3" t="s">
        <v>516</v>
      </c>
      <c r="C603" s="3">
        <v>30</v>
      </c>
      <c r="D603" s="3" t="s">
        <v>14</v>
      </c>
      <c r="E603" s="3" t="s">
        <v>572</v>
      </c>
      <c r="F603" s="3" t="s">
        <v>132</v>
      </c>
      <c r="G603" s="3" t="s">
        <v>104</v>
      </c>
      <c r="H603" s="3" t="s">
        <v>36</v>
      </c>
      <c r="I603" s="3" t="s">
        <v>114</v>
      </c>
      <c r="J603" s="3">
        <v>75000</v>
      </c>
      <c r="K603" s="3"/>
      <c r="L603" s="3" t="s">
        <v>87</v>
      </c>
    </row>
    <row r="604" spans="1:12" ht="16.2" customHeight="1">
      <c r="A604" s="2" t="s">
        <v>1430</v>
      </c>
      <c r="B604" s="2" t="s">
        <v>1431</v>
      </c>
      <c r="C604" s="2">
        <v>9</v>
      </c>
      <c r="D604" s="2" t="s">
        <v>14</v>
      </c>
      <c r="E604" s="2" t="s">
        <v>15</v>
      </c>
      <c r="F604" s="2" t="s">
        <v>42</v>
      </c>
      <c r="G604" s="2" t="s">
        <v>48</v>
      </c>
      <c r="H604" s="2" t="s">
        <v>908</v>
      </c>
      <c r="I604" s="2" t="s">
        <v>685</v>
      </c>
      <c r="J604" s="2">
        <v>25000</v>
      </c>
      <c r="K604" s="2" t="s">
        <v>37</v>
      </c>
      <c r="L604" s="2" t="s">
        <v>55</v>
      </c>
    </row>
    <row r="605" spans="1:12" ht="16.2" customHeight="1">
      <c r="A605" s="3" t="s">
        <v>1432</v>
      </c>
      <c r="B605" s="3" t="s">
        <v>1433</v>
      </c>
      <c r="C605" s="3">
        <v>19</v>
      </c>
      <c r="D605" s="3" t="s">
        <v>14</v>
      </c>
      <c r="E605" s="3" t="s">
        <v>58</v>
      </c>
      <c r="F605" s="3" t="s">
        <v>76</v>
      </c>
      <c r="G605" s="3" t="s">
        <v>104</v>
      </c>
      <c r="H605" s="3" t="s">
        <v>738</v>
      </c>
      <c r="I605" s="3" t="s">
        <v>377</v>
      </c>
      <c r="J605" s="3">
        <v>15000</v>
      </c>
      <c r="K605" s="3" t="s">
        <v>29</v>
      </c>
      <c r="L605" s="3" t="s">
        <v>38</v>
      </c>
    </row>
    <row r="606" spans="1:12" ht="16.2" customHeight="1">
      <c r="A606" s="2" t="s">
        <v>1434</v>
      </c>
      <c r="B606" s="2" t="s">
        <v>346</v>
      </c>
      <c r="C606" s="2">
        <v>87</v>
      </c>
      <c r="D606" s="2" t="s">
        <v>32</v>
      </c>
      <c r="E606" s="2" t="s">
        <v>70</v>
      </c>
      <c r="F606" s="2" t="s">
        <v>25</v>
      </c>
      <c r="G606" s="2" t="s">
        <v>104</v>
      </c>
      <c r="H606" s="2" t="s">
        <v>167</v>
      </c>
      <c r="I606" s="2" t="s">
        <v>669</v>
      </c>
      <c r="J606" s="2">
        <v>5000</v>
      </c>
      <c r="K606" s="2" t="s">
        <v>20</v>
      </c>
      <c r="L606" s="2" t="s">
        <v>55</v>
      </c>
    </row>
    <row r="607" spans="1:12" ht="16.2" customHeight="1">
      <c r="A607" s="3" t="s">
        <v>1435</v>
      </c>
      <c r="B607" s="3" t="s">
        <v>298</v>
      </c>
      <c r="C607" s="3">
        <v>63</v>
      </c>
      <c r="D607" s="3" t="s">
        <v>14</v>
      </c>
      <c r="E607" s="3" t="s">
        <v>58</v>
      </c>
      <c r="F607" s="3" t="s">
        <v>76</v>
      </c>
      <c r="G607" s="3" t="s">
        <v>104</v>
      </c>
      <c r="H607" s="3" t="s">
        <v>110</v>
      </c>
      <c r="I607" s="3" t="s">
        <v>49</v>
      </c>
      <c r="J607" s="3">
        <v>50000</v>
      </c>
      <c r="K607" s="3" t="s">
        <v>67</v>
      </c>
      <c r="L607" s="3" t="s">
        <v>21</v>
      </c>
    </row>
    <row r="608" spans="1:12" ht="16.2" customHeight="1">
      <c r="A608" s="2" t="s">
        <v>1436</v>
      </c>
      <c r="B608" s="2" t="s">
        <v>958</v>
      </c>
      <c r="C608" s="2">
        <v>70</v>
      </c>
      <c r="D608" s="2" t="s">
        <v>32</v>
      </c>
      <c r="E608" s="2" t="s">
        <v>85</v>
      </c>
      <c r="F608" s="2" t="s">
        <v>34</v>
      </c>
      <c r="G608" s="2" t="s">
        <v>104</v>
      </c>
      <c r="H608" s="2" t="s">
        <v>111</v>
      </c>
      <c r="I608" s="2" t="s">
        <v>684</v>
      </c>
      <c r="J608" s="2">
        <v>8000</v>
      </c>
      <c r="K608" s="2" t="s">
        <v>29</v>
      </c>
      <c r="L608" s="2" t="s">
        <v>38</v>
      </c>
    </row>
    <row r="609" spans="1:12" ht="16.2" customHeight="1">
      <c r="A609" s="3" t="s">
        <v>1437</v>
      </c>
      <c r="B609" s="3" t="s">
        <v>1236</v>
      </c>
      <c r="C609" s="3">
        <v>26</v>
      </c>
      <c r="D609" s="3" t="s">
        <v>299</v>
      </c>
      <c r="E609" s="3" t="s">
        <v>85</v>
      </c>
      <c r="F609" s="3" t="s">
        <v>127</v>
      </c>
      <c r="G609" s="3" t="s">
        <v>104</v>
      </c>
      <c r="H609" s="3" t="s">
        <v>339</v>
      </c>
      <c r="I609" s="3" t="s">
        <v>95</v>
      </c>
      <c r="J609" s="3">
        <v>100000</v>
      </c>
      <c r="K609" s="3" t="s">
        <v>37</v>
      </c>
      <c r="L609" s="3" t="s">
        <v>38</v>
      </c>
    </row>
    <row r="610" spans="1:12" ht="16.2" customHeight="1">
      <c r="A610" s="2" t="s">
        <v>1438</v>
      </c>
      <c r="B610" s="2" t="s">
        <v>1439</v>
      </c>
      <c r="C610" s="2">
        <v>39</v>
      </c>
      <c r="D610" s="2" t="s">
        <v>14</v>
      </c>
      <c r="E610" s="2" t="s">
        <v>15</v>
      </c>
      <c r="F610" s="2" t="s">
        <v>42</v>
      </c>
      <c r="G610" s="2" t="s">
        <v>48</v>
      </c>
      <c r="H610" s="2" t="s">
        <v>1440</v>
      </c>
      <c r="I610" s="2" t="s">
        <v>393</v>
      </c>
      <c r="J610" s="2">
        <v>20000</v>
      </c>
      <c r="K610" s="2" t="s">
        <v>29</v>
      </c>
      <c r="L610" s="2" t="s">
        <v>87</v>
      </c>
    </row>
    <row r="611" spans="1:12" ht="16.2" customHeight="1">
      <c r="A611" s="3" t="s">
        <v>1441</v>
      </c>
      <c r="B611" s="3" t="s">
        <v>51</v>
      </c>
      <c r="C611" s="3">
        <v>35</v>
      </c>
      <c r="D611" s="3" t="s">
        <v>14</v>
      </c>
      <c r="E611" s="3" t="s">
        <v>33</v>
      </c>
      <c r="F611" s="3" t="s">
        <v>132</v>
      </c>
      <c r="G611" s="3" t="s">
        <v>35</v>
      </c>
      <c r="H611" s="3" t="s">
        <v>344</v>
      </c>
      <c r="I611" s="3" t="s">
        <v>1402</v>
      </c>
      <c r="J611" s="3">
        <v>20000</v>
      </c>
      <c r="K611" s="3" t="s">
        <v>20</v>
      </c>
      <c r="L611" s="3" t="s">
        <v>87</v>
      </c>
    </row>
    <row r="612" spans="1:12" ht="16.2" customHeight="1">
      <c r="A612" s="2" t="s">
        <v>1442</v>
      </c>
      <c r="B612" s="2" t="s">
        <v>1443</v>
      </c>
      <c r="C612" s="2">
        <v>-5</v>
      </c>
      <c r="D612" s="2" t="s">
        <v>338</v>
      </c>
      <c r="E612" s="2" t="s">
        <v>70</v>
      </c>
      <c r="F612" s="2" t="s">
        <v>42</v>
      </c>
      <c r="G612" s="2" t="s">
        <v>104</v>
      </c>
      <c r="H612" s="2" t="s">
        <v>1187</v>
      </c>
      <c r="I612" s="2" t="s">
        <v>306</v>
      </c>
      <c r="J612" s="2">
        <v>8000</v>
      </c>
      <c r="K612" s="2" t="s">
        <v>37</v>
      </c>
      <c r="L612" s="2" t="s">
        <v>38</v>
      </c>
    </row>
    <row r="613" spans="1:12" ht="16.2" customHeight="1">
      <c r="A613" s="3" t="s">
        <v>1444</v>
      </c>
      <c r="B613" s="3" t="s">
        <v>1445</v>
      </c>
      <c r="C613" s="3">
        <v>70</v>
      </c>
      <c r="D613" s="3" t="s">
        <v>14</v>
      </c>
      <c r="E613" s="3" t="s">
        <v>15</v>
      </c>
      <c r="F613" s="3" t="s">
        <v>127</v>
      </c>
      <c r="G613" s="3" t="s">
        <v>53</v>
      </c>
      <c r="H613" s="3" t="s">
        <v>612</v>
      </c>
      <c r="I613" s="3" t="s">
        <v>613</v>
      </c>
      <c r="J613" s="3">
        <v>75000</v>
      </c>
      <c r="K613" s="3" t="s">
        <v>67</v>
      </c>
      <c r="L613" s="3" t="s">
        <v>21</v>
      </c>
    </row>
    <row r="614" spans="1:12" ht="16.2" customHeight="1">
      <c r="A614" s="2" t="s">
        <v>1446</v>
      </c>
      <c r="B614" s="2" t="s">
        <v>841</v>
      </c>
      <c r="C614" s="2">
        <v>86</v>
      </c>
      <c r="D614" s="2" t="s">
        <v>14</v>
      </c>
      <c r="E614" s="2" t="s">
        <v>70</v>
      </c>
      <c r="F614" s="2" t="s">
        <v>127</v>
      </c>
      <c r="G614" s="2" t="s">
        <v>104</v>
      </c>
      <c r="H614" s="2" t="s">
        <v>616</v>
      </c>
      <c r="I614" s="2" t="s">
        <v>538</v>
      </c>
      <c r="J614" s="2">
        <v>15000</v>
      </c>
      <c r="K614" s="2" t="s">
        <v>29</v>
      </c>
      <c r="L614" s="2" t="s">
        <v>55</v>
      </c>
    </row>
    <row r="615" spans="1:12" ht="16.2" customHeight="1">
      <c r="A615" s="3" t="s">
        <v>1447</v>
      </c>
      <c r="B615" s="3" t="s">
        <v>1448</v>
      </c>
      <c r="C615" s="3">
        <v>58</v>
      </c>
      <c r="D615" s="3" t="s">
        <v>32</v>
      </c>
      <c r="E615" s="3" t="s">
        <v>1060</v>
      </c>
      <c r="F615" s="3" t="s">
        <v>76</v>
      </c>
      <c r="G615" s="3" t="s">
        <v>26</v>
      </c>
      <c r="H615" s="3" t="s">
        <v>453</v>
      </c>
      <c r="I615" s="3" t="s">
        <v>265</v>
      </c>
      <c r="J615" s="3">
        <v>35000</v>
      </c>
      <c r="K615" s="3" t="s">
        <v>37</v>
      </c>
      <c r="L615" s="3" t="s">
        <v>55</v>
      </c>
    </row>
    <row r="616" spans="1:12" ht="16.2" customHeight="1">
      <c r="A616" s="2" t="s">
        <v>1449</v>
      </c>
      <c r="B616" s="2" t="s">
        <v>1450</v>
      </c>
      <c r="C616" s="2" t="s">
        <v>519</v>
      </c>
      <c r="D616" s="2" t="s">
        <v>32</v>
      </c>
      <c r="E616" s="2" t="s">
        <v>52</v>
      </c>
      <c r="F616" s="2" t="s">
        <v>34</v>
      </c>
      <c r="G616" s="2" t="s">
        <v>53</v>
      </c>
      <c r="H616" s="2" t="s">
        <v>105</v>
      </c>
      <c r="I616" s="2" t="s">
        <v>738</v>
      </c>
      <c r="J616" s="2">
        <v>100000</v>
      </c>
      <c r="K616" s="2" t="s">
        <v>67</v>
      </c>
      <c r="L616" s="2" t="s">
        <v>21</v>
      </c>
    </row>
    <row r="617" spans="1:12" ht="16.2" customHeight="1">
      <c r="A617" s="3" t="s">
        <v>1451</v>
      </c>
      <c r="B617" s="3" t="s">
        <v>392</v>
      </c>
      <c r="C617" s="3">
        <v>74</v>
      </c>
      <c r="D617" s="3" t="s">
        <v>32</v>
      </c>
      <c r="E617" s="3" t="s">
        <v>33</v>
      </c>
      <c r="F617" s="3" t="s">
        <v>25</v>
      </c>
      <c r="G617" s="3" t="s">
        <v>99</v>
      </c>
      <c r="H617" s="3" t="s">
        <v>702</v>
      </c>
      <c r="I617" s="3" t="s">
        <v>163</v>
      </c>
      <c r="J617" s="3">
        <v>75000</v>
      </c>
      <c r="K617" s="3" t="s">
        <v>20</v>
      </c>
      <c r="L617" s="3" t="s">
        <v>87</v>
      </c>
    </row>
    <row r="618" spans="1:12" ht="16.2" customHeight="1">
      <c r="A618" s="2" t="s">
        <v>1452</v>
      </c>
      <c r="B618" s="2" t="s">
        <v>985</v>
      </c>
      <c r="C618" s="2">
        <v>6</v>
      </c>
      <c r="D618" s="2" t="s">
        <v>14</v>
      </c>
      <c r="E618" s="2" t="s">
        <v>52</v>
      </c>
      <c r="F618" s="2" t="s">
        <v>42</v>
      </c>
      <c r="G618" s="2" t="s">
        <v>48</v>
      </c>
      <c r="H618" s="2" t="s">
        <v>777</v>
      </c>
      <c r="I618" s="2" t="s">
        <v>520</v>
      </c>
      <c r="J618" s="2">
        <v>12000</v>
      </c>
      <c r="K618" s="2" t="s">
        <v>20</v>
      </c>
      <c r="L618" s="2" t="s">
        <v>21</v>
      </c>
    </row>
    <row r="619" spans="1:12" ht="16.2" customHeight="1">
      <c r="A619" s="3" t="s">
        <v>1453</v>
      </c>
      <c r="B619" s="3" t="s">
        <v>1163</v>
      </c>
      <c r="C619" s="3">
        <v>50</v>
      </c>
      <c r="D619" s="3" t="s">
        <v>14</v>
      </c>
      <c r="E619" s="3" t="s">
        <v>58</v>
      </c>
      <c r="F619" s="3" t="s">
        <v>16</v>
      </c>
      <c r="G619" s="3" t="s">
        <v>26</v>
      </c>
      <c r="H619" s="3" t="s">
        <v>1292</v>
      </c>
      <c r="I619" s="3" t="s">
        <v>163</v>
      </c>
      <c r="J619" s="3">
        <v>8000</v>
      </c>
      <c r="K619" s="3" t="s">
        <v>37</v>
      </c>
      <c r="L619" s="3" t="s">
        <v>87</v>
      </c>
    </row>
    <row r="620" spans="1:12" ht="16.2" customHeight="1">
      <c r="A620" s="2" t="s">
        <v>1454</v>
      </c>
      <c r="B620" s="2" t="s">
        <v>768</v>
      </c>
      <c r="C620" s="2">
        <v>4</v>
      </c>
      <c r="D620" s="2" t="s">
        <v>14</v>
      </c>
      <c r="E620" s="2" t="s">
        <v>70</v>
      </c>
      <c r="F620" s="2" t="s">
        <v>76</v>
      </c>
      <c r="G620" s="2" t="s">
        <v>104</v>
      </c>
      <c r="H620" s="2" t="s">
        <v>588</v>
      </c>
      <c r="I620" s="2" t="s">
        <v>714</v>
      </c>
      <c r="J620" s="2">
        <v>75000</v>
      </c>
      <c r="K620" s="2" t="s">
        <v>67</v>
      </c>
      <c r="L620" s="2" t="s">
        <v>38</v>
      </c>
    </row>
    <row r="621" spans="1:12" ht="16.2" customHeight="1">
      <c r="A621" s="3" t="s">
        <v>1455</v>
      </c>
      <c r="B621" s="3" t="s">
        <v>731</v>
      </c>
      <c r="C621" s="3" t="s">
        <v>530</v>
      </c>
      <c r="D621" s="3" t="s">
        <v>14</v>
      </c>
      <c r="E621" s="3" t="s">
        <v>47</v>
      </c>
      <c r="F621" s="3" t="s">
        <v>422</v>
      </c>
      <c r="G621" s="3" t="s">
        <v>53</v>
      </c>
      <c r="H621" s="3" t="s">
        <v>457</v>
      </c>
      <c r="I621" s="3" t="s">
        <v>118</v>
      </c>
      <c r="J621" s="3">
        <v>15000</v>
      </c>
      <c r="K621" s="3" t="s">
        <v>29</v>
      </c>
      <c r="L621" s="3" t="s">
        <v>38</v>
      </c>
    </row>
    <row r="622" spans="1:12" ht="16.2" customHeight="1">
      <c r="A622" s="2" t="s">
        <v>1456</v>
      </c>
      <c r="B622" s="2" t="s">
        <v>333</v>
      </c>
      <c r="C622" s="2">
        <v>50</v>
      </c>
      <c r="D622" s="2" t="s">
        <v>14</v>
      </c>
      <c r="E622" s="2" t="s">
        <v>33</v>
      </c>
      <c r="F622" s="2" t="s">
        <v>42</v>
      </c>
      <c r="G622" s="2" t="s">
        <v>99</v>
      </c>
      <c r="H622" s="2" t="s">
        <v>566</v>
      </c>
      <c r="I622" s="2" t="s">
        <v>78</v>
      </c>
      <c r="J622" s="2"/>
      <c r="K622" s="2" t="s">
        <v>29</v>
      </c>
      <c r="L622" s="2" t="s">
        <v>21</v>
      </c>
    </row>
    <row r="623" spans="1:12" ht="16.2" customHeight="1">
      <c r="A623" s="3" t="s">
        <v>1457</v>
      </c>
      <c r="B623" s="3" t="s">
        <v>1458</v>
      </c>
      <c r="C623" s="3">
        <v>32</v>
      </c>
      <c r="D623" s="3" t="s">
        <v>14</v>
      </c>
      <c r="E623" s="3" t="s">
        <v>70</v>
      </c>
      <c r="F623" s="3" t="s">
        <v>25</v>
      </c>
      <c r="G623" s="3" t="s">
        <v>26</v>
      </c>
      <c r="H623" s="3" t="s">
        <v>613</v>
      </c>
      <c r="I623" s="3" t="s">
        <v>218</v>
      </c>
      <c r="J623" s="3">
        <v>50000</v>
      </c>
      <c r="K623" s="3" t="s">
        <v>238</v>
      </c>
      <c r="L623" s="3" t="s">
        <v>38</v>
      </c>
    </row>
    <row r="624" spans="1:12" ht="16.2" customHeight="1">
      <c r="A624" s="2" t="s">
        <v>1459</v>
      </c>
      <c r="B624" s="2" t="s">
        <v>418</v>
      </c>
      <c r="C624" s="2">
        <v>17</v>
      </c>
      <c r="D624" s="2" t="s">
        <v>14</v>
      </c>
      <c r="E624" s="2" t="s">
        <v>109</v>
      </c>
      <c r="F624" s="2" t="s">
        <v>132</v>
      </c>
      <c r="G624" s="2" t="s">
        <v>48</v>
      </c>
      <c r="H624" s="2" t="s">
        <v>374</v>
      </c>
      <c r="I624" s="2" t="s">
        <v>905</v>
      </c>
      <c r="J624" s="2">
        <v>8000</v>
      </c>
      <c r="K624" s="2" t="s">
        <v>37</v>
      </c>
      <c r="L624" s="2" t="s">
        <v>55</v>
      </c>
    </row>
    <row r="625" spans="1:12" ht="16.2" customHeight="1">
      <c r="A625" s="3" t="s">
        <v>1460</v>
      </c>
      <c r="B625" s="3" t="s">
        <v>1461</v>
      </c>
      <c r="C625" s="3">
        <v>51</v>
      </c>
      <c r="D625" s="3" t="s">
        <v>14</v>
      </c>
      <c r="E625" s="3" t="s">
        <v>15</v>
      </c>
      <c r="F625" s="3" t="s">
        <v>42</v>
      </c>
      <c r="G625" s="3" t="s">
        <v>26</v>
      </c>
      <c r="H625" s="3" t="s">
        <v>577</v>
      </c>
      <c r="I625" s="3" t="s">
        <v>578</v>
      </c>
      <c r="J625" s="3">
        <v>12000</v>
      </c>
      <c r="K625" s="3" t="s">
        <v>238</v>
      </c>
      <c r="L625" s="3" t="s">
        <v>87</v>
      </c>
    </row>
    <row r="626" spans="1:12" ht="16.2" customHeight="1">
      <c r="A626" s="2" t="s">
        <v>1462</v>
      </c>
      <c r="B626" s="2" t="s">
        <v>1461</v>
      </c>
      <c r="C626" s="2">
        <v>22</v>
      </c>
      <c r="D626" s="2" t="s">
        <v>14</v>
      </c>
      <c r="E626" s="2" t="s">
        <v>58</v>
      </c>
      <c r="F626" s="2" t="s">
        <v>34</v>
      </c>
      <c r="G626" s="2" t="s">
        <v>53</v>
      </c>
      <c r="H626" s="2" t="s">
        <v>520</v>
      </c>
      <c r="I626" s="2" t="s">
        <v>1035</v>
      </c>
      <c r="J626" s="2">
        <v>15000</v>
      </c>
      <c r="K626" s="2" t="s">
        <v>20</v>
      </c>
      <c r="L626" s="2" t="s">
        <v>55</v>
      </c>
    </row>
    <row r="627" spans="1:12" ht="16.2" customHeight="1">
      <c r="A627" s="3" t="s">
        <v>1463</v>
      </c>
      <c r="B627" s="3" t="s">
        <v>1464</v>
      </c>
      <c r="C627" s="3">
        <v>67</v>
      </c>
      <c r="D627" s="3" t="s">
        <v>14</v>
      </c>
      <c r="E627" s="3" t="s">
        <v>85</v>
      </c>
      <c r="F627" s="3" t="s">
        <v>132</v>
      </c>
      <c r="G627" s="3" t="s">
        <v>99</v>
      </c>
      <c r="H627" s="3" t="s">
        <v>566</v>
      </c>
      <c r="I627" s="3" t="s">
        <v>1121</v>
      </c>
      <c r="J627" s="3">
        <v>8000</v>
      </c>
      <c r="K627" s="3" t="s">
        <v>37</v>
      </c>
      <c r="L627" s="3" t="s">
        <v>38</v>
      </c>
    </row>
    <row r="628" spans="1:12" ht="16.2" customHeight="1">
      <c r="A628" s="2" t="s">
        <v>1465</v>
      </c>
      <c r="B628" s="2" t="s">
        <v>1283</v>
      </c>
      <c r="C628" s="2" t="s">
        <v>530</v>
      </c>
      <c r="D628" s="2" t="s">
        <v>14</v>
      </c>
      <c r="E628" s="2" t="s">
        <v>58</v>
      </c>
      <c r="F628" s="2" t="s">
        <v>16</v>
      </c>
      <c r="G628" s="2" t="s">
        <v>104</v>
      </c>
      <c r="H628" s="2" t="s">
        <v>1402</v>
      </c>
      <c r="I628" s="2" t="s">
        <v>445</v>
      </c>
      <c r="J628" s="2">
        <v>100000</v>
      </c>
      <c r="K628" s="2" t="s">
        <v>37</v>
      </c>
      <c r="L628" s="2" t="s">
        <v>55</v>
      </c>
    </row>
    <row r="629" spans="1:12" ht="16.2" customHeight="1">
      <c r="A629" s="3" t="s">
        <v>1466</v>
      </c>
      <c r="B629" s="3" t="s">
        <v>1069</v>
      </c>
      <c r="C629" s="3">
        <v>14</v>
      </c>
      <c r="D629" s="3" t="s">
        <v>32</v>
      </c>
      <c r="E629" s="3" t="s">
        <v>381</v>
      </c>
      <c r="F629" s="3" t="s">
        <v>127</v>
      </c>
      <c r="G629" s="3" t="s">
        <v>26</v>
      </c>
      <c r="H629" s="3" t="s">
        <v>1467</v>
      </c>
      <c r="I629" s="3" t="s">
        <v>943</v>
      </c>
      <c r="J629" s="3">
        <v>15000</v>
      </c>
      <c r="K629" s="3" t="s">
        <v>29</v>
      </c>
      <c r="L629" s="3" t="s">
        <v>21</v>
      </c>
    </row>
    <row r="630" spans="1:12" ht="16.2" customHeight="1">
      <c r="A630" s="2" t="s">
        <v>1468</v>
      </c>
      <c r="B630" s="2" t="s">
        <v>1325</v>
      </c>
      <c r="C630" s="2">
        <v>27</v>
      </c>
      <c r="D630" s="2" t="s">
        <v>14</v>
      </c>
      <c r="E630" s="2" t="s">
        <v>70</v>
      </c>
      <c r="F630" s="2" t="s">
        <v>16</v>
      </c>
      <c r="G630" s="2" t="s">
        <v>99</v>
      </c>
      <c r="H630" s="2" t="s">
        <v>410</v>
      </c>
      <c r="I630" s="2" t="s">
        <v>405</v>
      </c>
      <c r="J630" s="2">
        <v>5000</v>
      </c>
      <c r="K630" s="2" t="s">
        <v>37</v>
      </c>
      <c r="L630" s="2" t="s">
        <v>21</v>
      </c>
    </row>
    <row r="631" spans="1:12" ht="16.2" customHeight="1">
      <c r="A631" s="3" t="s">
        <v>1469</v>
      </c>
      <c r="B631" s="3" t="s">
        <v>678</v>
      </c>
      <c r="C631" s="3">
        <v>83</v>
      </c>
      <c r="D631" s="3" t="s">
        <v>321</v>
      </c>
      <c r="E631" s="3" t="s">
        <v>70</v>
      </c>
      <c r="F631" s="3" t="s">
        <v>132</v>
      </c>
      <c r="G631" s="3" t="s">
        <v>17</v>
      </c>
      <c r="H631" s="3" t="s">
        <v>577</v>
      </c>
      <c r="I631" s="3" t="s">
        <v>851</v>
      </c>
      <c r="J631" s="3">
        <v>8000</v>
      </c>
      <c r="K631" s="3" t="s">
        <v>67</v>
      </c>
      <c r="L631" s="3" t="s">
        <v>38</v>
      </c>
    </row>
    <row r="632" spans="1:12" ht="16.2" customHeight="1">
      <c r="A632" s="2" t="s">
        <v>1470</v>
      </c>
      <c r="B632" s="2" t="s">
        <v>376</v>
      </c>
      <c r="C632" s="2">
        <v>32</v>
      </c>
      <c r="D632" s="2" t="s">
        <v>32</v>
      </c>
      <c r="E632" s="2" t="s">
        <v>52</v>
      </c>
      <c r="F632" s="2" t="s">
        <v>25</v>
      </c>
      <c r="G632" s="2" t="s">
        <v>104</v>
      </c>
      <c r="H632" s="2" t="s">
        <v>374</v>
      </c>
      <c r="I632" s="2" t="s">
        <v>248</v>
      </c>
      <c r="J632" s="2">
        <v>8000</v>
      </c>
      <c r="K632" s="2" t="s">
        <v>20</v>
      </c>
      <c r="L632" s="2" t="s">
        <v>21</v>
      </c>
    </row>
    <row r="633" spans="1:12" ht="16.2" customHeight="1">
      <c r="A633" s="3" t="s">
        <v>1471</v>
      </c>
      <c r="B633" s="3" t="s">
        <v>1472</v>
      </c>
      <c r="C633" s="3">
        <v>81</v>
      </c>
      <c r="D633" s="3" t="s">
        <v>32</v>
      </c>
      <c r="E633" s="3" t="s">
        <v>52</v>
      </c>
      <c r="F633" s="3" t="s">
        <v>127</v>
      </c>
      <c r="G633" s="3" t="s">
        <v>104</v>
      </c>
      <c r="H633" s="3" t="s">
        <v>301</v>
      </c>
      <c r="I633" s="3" t="s">
        <v>302</v>
      </c>
      <c r="J633" s="3">
        <v>15000</v>
      </c>
      <c r="K633" s="3" t="s">
        <v>37</v>
      </c>
      <c r="L633" s="3" t="s">
        <v>38</v>
      </c>
    </row>
    <row r="634" spans="1:12" ht="16.2" customHeight="1">
      <c r="A634" s="2" t="s">
        <v>1473</v>
      </c>
      <c r="B634" s="2" t="s">
        <v>1474</v>
      </c>
      <c r="C634" s="2">
        <v>29</v>
      </c>
      <c r="D634" s="2" t="s">
        <v>32</v>
      </c>
      <c r="E634" s="2" t="s">
        <v>109</v>
      </c>
      <c r="F634" s="2" t="s">
        <v>76</v>
      </c>
      <c r="G634" s="2" t="s">
        <v>99</v>
      </c>
      <c r="H634" s="2" t="s">
        <v>167</v>
      </c>
      <c r="I634" s="2" t="s">
        <v>317</v>
      </c>
      <c r="J634" s="2">
        <v>12000</v>
      </c>
      <c r="K634" s="2" t="s">
        <v>67</v>
      </c>
      <c r="L634" s="2" t="s">
        <v>21</v>
      </c>
    </row>
    <row r="635" spans="1:12" ht="16.2" customHeight="1">
      <c r="A635" s="3" t="s">
        <v>1475</v>
      </c>
      <c r="B635" s="3" t="s">
        <v>1476</v>
      </c>
      <c r="C635" s="3">
        <v>88</v>
      </c>
      <c r="D635" s="3" t="s">
        <v>32</v>
      </c>
      <c r="E635" s="3" t="s">
        <v>109</v>
      </c>
      <c r="F635" s="3" t="s">
        <v>76</v>
      </c>
      <c r="G635" s="3" t="s">
        <v>17</v>
      </c>
      <c r="H635" s="3" t="s">
        <v>809</v>
      </c>
      <c r="I635" s="3" t="s">
        <v>457</v>
      </c>
      <c r="J635" s="3">
        <v>20000</v>
      </c>
      <c r="K635" s="3" t="s">
        <v>67</v>
      </c>
      <c r="L635" s="3" t="s">
        <v>38</v>
      </c>
    </row>
    <row r="636" spans="1:12" ht="16.2" customHeight="1">
      <c r="A636" s="2" t="s">
        <v>1477</v>
      </c>
      <c r="B636" s="2" t="s">
        <v>1478</v>
      </c>
      <c r="C636" s="2">
        <v>68</v>
      </c>
      <c r="D636" s="2" t="s">
        <v>32</v>
      </c>
      <c r="E636" s="2" t="s">
        <v>109</v>
      </c>
      <c r="F636" s="2" t="s">
        <v>127</v>
      </c>
      <c r="G636" s="2" t="s">
        <v>53</v>
      </c>
      <c r="H636" s="2" t="s">
        <v>569</v>
      </c>
      <c r="I636" s="2" t="s">
        <v>433</v>
      </c>
      <c r="J636" s="2">
        <v>25000</v>
      </c>
      <c r="K636" s="2" t="s">
        <v>29</v>
      </c>
      <c r="L636" s="2" t="s">
        <v>55</v>
      </c>
    </row>
    <row r="637" spans="1:12" ht="16.2" customHeight="1">
      <c r="A637" s="3" t="s">
        <v>1479</v>
      </c>
      <c r="B637" s="3" t="s">
        <v>700</v>
      </c>
      <c r="C637" s="3">
        <v>17</v>
      </c>
      <c r="D637" s="3" t="s">
        <v>32</v>
      </c>
      <c r="E637" s="3" t="s">
        <v>70</v>
      </c>
      <c r="F637" s="3" t="s">
        <v>34</v>
      </c>
      <c r="G637" s="3" t="s">
        <v>26</v>
      </c>
      <c r="H637" s="3" t="s">
        <v>18</v>
      </c>
      <c r="I637" s="3" t="s">
        <v>426</v>
      </c>
      <c r="J637" s="3">
        <v>8000</v>
      </c>
      <c r="K637" s="3" t="s">
        <v>29</v>
      </c>
      <c r="L637" s="3" t="s">
        <v>55</v>
      </c>
    </row>
    <row r="638" spans="1:12" ht="16.2" customHeight="1">
      <c r="A638" s="2" t="s">
        <v>1480</v>
      </c>
      <c r="B638" s="2" t="s">
        <v>1481</v>
      </c>
      <c r="C638" s="2">
        <v>71</v>
      </c>
      <c r="D638" s="2" t="s">
        <v>14</v>
      </c>
      <c r="E638" s="2" t="s">
        <v>52</v>
      </c>
      <c r="F638" s="2" t="s">
        <v>76</v>
      </c>
      <c r="G638" s="2" t="s">
        <v>104</v>
      </c>
      <c r="H638" s="2" t="s">
        <v>301</v>
      </c>
      <c r="I638" s="2" t="s">
        <v>426</v>
      </c>
      <c r="J638" s="2">
        <v>8000</v>
      </c>
      <c r="K638" s="2" t="s">
        <v>67</v>
      </c>
      <c r="L638" s="2" t="s">
        <v>87</v>
      </c>
    </row>
    <row r="639" spans="1:12" ht="16.2" customHeight="1">
      <c r="A639" s="3" t="s">
        <v>1482</v>
      </c>
      <c r="B639" s="3" t="s">
        <v>485</v>
      </c>
      <c r="C639" s="3">
        <v>80</v>
      </c>
      <c r="D639" s="3" t="s">
        <v>14</v>
      </c>
      <c r="E639" s="3" t="s">
        <v>109</v>
      </c>
      <c r="F639" s="3" t="s">
        <v>34</v>
      </c>
      <c r="G639" s="3" t="s">
        <v>53</v>
      </c>
      <c r="H639" s="3" t="s">
        <v>295</v>
      </c>
      <c r="I639" s="3" t="s">
        <v>754</v>
      </c>
      <c r="J639" s="3">
        <v>12000</v>
      </c>
      <c r="K639" s="3" t="s">
        <v>20</v>
      </c>
      <c r="L639" s="3" t="s">
        <v>87</v>
      </c>
    </row>
    <row r="640" spans="1:12" ht="16.2" customHeight="1">
      <c r="A640" s="2" t="s">
        <v>1483</v>
      </c>
      <c r="B640" s="2" t="s">
        <v>1229</v>
      </c>
      <c r="C640" s="2">
        <v>9</v>
      </c>
      <c r="D640" s="2"/>
      <c r="E640" s="2" t="s">
        <v>24</v>
      </c>
      <c r="F640" s="2" t="s">
        <v>16</v>
      </c>
      <c r="G640" s="2" t="s">
        <v>17</v>
      </c>
      <c r="H640" s="2" t="s">
        <v>511</v>
      </c>
      <c r="I640" s="2" t="s">
        <v>591</v>
      </c>
      <c r="J640" s="2">
        <v>25000</v>
      </c>
      <c r="K640" s="2" t="s">
        <v>20</v>
      </c>
      <c r="L640" s="2" t="s">
        <v>87</v>
      </c>
    </row>
    <row r="641" spans="1:12" ht="16.2" customHeight="1">
      <c r="A641" s="3" t="s">
        <v>1484</v>
      </c>
      <c r="B641" s="3" t="s">
        <v>999</v>
      </c>
      <c r="C641" s="3">
        <v>13</v>
      </c>
      <c r="D641" s="3" t="s">
        <v>14</v>
      </c>
      <c r="E641" s="3" t="s">
        <v>15</v>
      </c>
      <c r="F641" s="3" t="s">
        <v>34</v>
      </c>
      <c r="G641" s="3" t="s">
        <v>48</v>
      </c>
      <c r="H641" s="3" t="s">
        <v>669</v>
      </c>
      <c r="I641" s="3" t="s">
        <v>95</v>
      </c>
      <c r="J641" s="3">
        <v>100000</v>
      </c>
      <c r="K641" s="3" t="s">
        <v>168</v>
      </c>
      <c r="L641" s="3" t="s">
        <v>38</v>
      </c>
    </row>
    <row r="642" spans="1:12" ht="16.2" customHeight="1">
      <c r="A642" s="2" t="s">
        <v>1485</v>
      </c>
      <c r="B642" s="2" t="s">
        <v>1486</v>
      </c>
      <c r="C642" s="2">
        <v>69</v>
      </c>
      <c r="D642" s="2" t="s">
        <v>32</v>
      </c>
      <c r="E642" s="2" t="s">
        <v>52</v>
      </c>
      <c r="F642" s="2" t="s">
        <v>16</v>
      </c>
      <c r="G642" s="2" t="s">
        <v>35</v>
      </c>
      <c r="H642" s="2" t="s">
        <v>676</v>
      </c>
      <c r="I642" s="2" t="s">
        <v>851</v>
      </c>
      <c r="J642" s="2">
        <v>100000</v>
      </c>
      <c r="K642" s="2"/>
      <c r="L642" s="2" t="s">
        <v>87</v>
      </c>
    </row>
    <row r="643" spans="1:12" ht="16.2" customHeight="1">
      <c r="A643" s="3" t="s">
        <v>1487</v>
      </c>
      <c r="B643" s="3" t="s">
        <v>938</v>
      </c>
      <c r="C643" s="3">
        <v>27</v>
      </c>
      <c r="D643" s="3" t="s">
        <v>14</v>
      </c>
      <c r="E643" s="3" t="s">
        <v>541</v>
      </c>
      <c r="F643" s="3" t="s">
        <v>132</v>
      </c>
      <c r="G643" s="3" t="s">
        <v>104</v>
      </c>
      <c r="H643" s="3" t="s">
        <v>1488</v>
      </c>
      <c r="I643" s="3" t="s">
        <v>839</v>
      </c>
      <c r="J643" s="3">
        <v>75000</v>
      </c>
      <c r="K643" s="3" t="s">
        <v>67</v>
      </c>
      <c r="L643" s="3" t="s">
        <v>55</v>
      </c>
    </row>
    <row r="644" spans="1:12" ht="16.2" customHeight="1">
      <c r="A644" s="2" t="s">
        <v>1489</v>
      </c>
      <c r="B644" s="2" t="s">
        <v>1314</v>
      </c>
      <c r="C644" s="2">
        <v>10</v>
      </c>
      <c r="D644" s="2" t="s">
        <v>14</v>
      </c>
      <c r="E644" s="2" t="s">
        <v>15</v>
      </c>
      <c r="F644" s="2" t="s">
        <v>127</v>
      </c>
      <c r="G644" s="2" t="s">
        <v>35</v>
      </c>
      <c r="H644" s="2" t="s">
        <v>445</v>
      </c>
      <c r="I644" s="2" t="s">
        <v>1490</v>
      </c>
      <c r="J644" s="2">
        <v>5000</v>
      </c>
      <c r="K644" s="2" t="s">
        <v>67</v>
      </c>
      <c r="L644" s="2" t="s">
        <v>38</v>
      </c>
    </row>
    <row r="645" spans="1:12" ht="16.2" customHeight="1">
      <c r="A645" s="3" t="s">
        <v>1491</v>
      </c>
      <c r="B645" s="3" t="s">
        <v>1492</v>
      </c>
      <c r="C645" s="3">
        <v>90</v>
      </c>
      <c r="D645" s="3" t="s">
        <v>14</v>
      </c>
      <c r="E645" s="3" t="s">
        <v>1086</v>
      </c>
      <c r="F645" s="3" t="s">
        <v>76</v>
      </c>
      <c r="G645" s="3" t="s">
        <v>99</v>
      </c>
      <c r="H645" s="3" t="s">
        <v>94</v>
      </c>
      <c r="I645" s="3" t="s">
        <v>524</v>
      </c>
      <c r="J645" s="3">
        <v>25000</v>
      </c>
      <c r="K645" s="3" t="s">
        <v>29</v>
      </c>
      <c r="L645" s="3" t="s">
        <v>21</v>
      </c>
    </row>
    <row r="646" spans="1:12" ht="16.2" customHeight="1">
      <c r="A646" s="2" t="s">
        <v>1493</v>
      </c>
      <c r="B646" s="2" t="s">
        <v>1012</v>
      </c>
      <c r="C646" s="2">
        <v>75</v>
      </c>
      <c r="D646" s="2" t="s">
        <v>32</v>
      </c>
      <c r="E646" s="2" t="s">
        <v>52</v>
      </c>
      <c r="F646" s="2" t="s">
        <v>25</v>
      </c>
      <c r="G646" s="2" t="s">
        <v>17</v>
      </c>
      <c r="H646" s="2" t="s">
        <v>219</v>
      </c>
      <c r="I646" s="2" t="s">
        <v>873</v>
      </c>
      <c r="J646" s="2">
        <v>25000</v>
      </c>
      <c r="K646" s="2" t="s">
        <v>67</v>
      </c>
      <c r="L646" s="2" t="s">
        <v>55</v>
      </c>
    </row>
    <row r="647" spans="1:12" ht="16.2" customHeight="1">
      <c r="A647" s="3" t="s">
        <v>1494</v>
      </c>
      <c r="B647" s="3" t="s">
        <v>1495</v>
      </c>
      <c r="C647" s="3">
        <v>26</v>
      </c>
      <c r="D647" s="3" t="s">
        <v>32</v>
      </c>
      <c r="E647" s="3"/>
      <c r="F647" s="3" t="s">
        <v>127</v>
      </c>
      <c r="G647" s="3" t="s">
        <v>99</v>
      </c>
      <c r="H647" s="3" t="s">
        <v>159</v>
      </c>
      <c r="I647" s="3" t="s">
        <v>793</v>
      </c>
      <c r="J647" s="3">
        <v>50000</v>
      </c>
      <c r="K647" s="3" t="s">
        <v>37</v>
      </c>
      <c r="L647" s="3" t="s">
        <v>38</v>
      </c>
    </row>
    <row r="648" spans="1:12" ht="16.2" customHeight="1">
      <c r="A648" s="2" t="s">
        <v>1496</v>
      </c>
      <c r="B648" s="2" t="s">
        <v>1497</v>
      </c>
      <c r="C648" s="2">
        <v>17</v>
      </c>
      <c r="D648" s="2" t="s">
        <v>32</v>
      </c>
      <c r="E648" s="2" t="s">
        <v>33</v>
      </c>
      <c r="F648" s="2" t="s">
        <v>132</v>
      </c>
      <c r="G648" s="2" t="s">
        <v>35</v>
      </c>
      <c r="H648" s="2" t="s">
        <v>715</v>
      </c>
      <c r="I648" s="2" t="s">
        <v>586</v>
      </c>
      <c r="J648" s="2">
        <v>100000</v>
      </c>
      <c r="K648" s="2" t="s">
        <v>20</v>
      </c>
      <c r="L648" s="2" t="s">
        <v>87</v>
      </c>
    </row>
    <row r="649" spans="1:12" ht="16.2" customHeight="1">
      <c r="A649" s="3" t="s">
        <v>1498</v>
      </c>
      <c r="B649" s="3" t="s">
        <v>724</v>
      </c>
      <c r="C649" s="3">
        <v>72</v>
      </c>
      <c r="D649" s="3" t="s">
        <v>32</v>
      </c>
      <c r="E649" s="3" t="s">
        <v>541</v>
      </c>
      <c r="F649" s="3" t="s">
        <v>16</v>
      </c>
      <c r="G649" s="3" t="s">
        <v>17</v>
      </c>
      <c r="H649" s="3" t="s">
        <v>302</v>
      </c>
      <c r="I649" s="3" t="s">
        <v>495</v>
      </c>
      <c r="J649" s="3">
        <v>25000</v>
      </c>
      <c r="K649" s="3" t="s">
        <v>37</v>
      </c>
      <c r="L649" s="3" t="s">
        <v>87</v>
      </c>
    </row>
    <row r="650" spans="1:12" ht="16.2" customHeight="1">
      <c r="A650" s="2" t="s">
        <v>1499</v>
      </c>
      <c r="B650" s="2" t="s">
        <v>462</v>
      </c>
      <c r="C650" s="2">
        <v>88</v>
      </c>
      <c r="D650" s="2" t="s">
        <v>14</v>
      </c>
      <c r="E650" s="2" t="s">
        <v>58</v>
      </c>
      <c r="F650" s="2" t="s">
        <v>127</v>
      </c>
      <c r="G650" s="2" t="s">
        <v>53</v>
      </c>
      <c r="H650" s="2" t="s">
        <v>430</v>
      </c>
      <c r="I650" s="2" t="s">
        <v>650</v>
      </c>
      <c r="J650" s="2">
        <v>8000</v>
      </c>
      <c r="K650" s="2" t="s">
        <v>67</v>
      </c>
      <c r="L650" s="2" t="s">
        <v>55</v>
      </c>
    </row>
    <row r="651" spans="1:12" ht="16.2" customHeight="1">
      <c r="A651" s="3" t="s">
        <v>1500</v>
      </c>
      <c r="B651" s="3" t="s">
        <v>1501</v>
      </c>
      <c r="C651" s="3">
        <v>55</v>
      </c>
      <c r="D651" s="3" t="s">
        <v>14</v>
      </c>
      <c r="E651" s="3" t="s">
        <v>33</v>
      </c>
      <c r="F651" s="3" t="s">
        <v>127</v>
      </c>
      <c r="G651" s="3" t="s">
        <v>35</v>
      </c>
      <c r="H651" s="3" t="s">
        <v>644</v>
      </c>
      <c r="I651" s="3" t="s">
        <v>785</v>
      </c>
      <c r="J651" s="3">
        <v>20000</v>
      </c>
      <c r="K651" s="3" t="s">
        <v>20</v>
      </c>
      <c r="L651" s="3" t="s">
        <v>38</v>
      </c>
    </row>
    <row r="652" spans="1:12" ht="16.2" customHeight="1">
      <c r="A652" s="2" t="s">
        <v>1502</v>
      </c>
      <c r="B652" s="2" t="s">
        <v>639</v>
      </c>
      <c r="C652" s="2">
        <v>45</v>
      </c>
      <c r="D652" s="2" t="s">
        <v>32</v>
      </c>
      <c r="E652" s="2" t="s">
        <v>52</v>
      </c>
      <c r="F652" s="2" t="s">
        <v>25</v>
      </c>
      <c r="G652" s="2" t="s">
        <v>35</v>
      </c>
      <c r="H652" s="2" t="s">
        <v>280</v>
      </c>
      <c r="I652" s="2" t="s">
        <v>628</v>
      </c>
      <c r="J652" s="2">
        <v>15000</v>
      </c>
      <c r="K652" s="2" t="s">
        <v>37</v>
      </c>
      <c r="L652" s="2" t="s">
        <v>21</v>
      </c>
    </row>
    <row r="653" spans="1:12" ht="16.2" customHeight="1">
      <c r="A653" s="3" t="s">
        <v>1503</v>
      </c>
      <c r="B653" s="3" t="s">
        <v>1141</v>
      </c>
      <c r="C653" s="3">
        <v>35</v>
      </c>
      <c r="D653" s="3" t="s">
        <v>14</v>
      </c>
      <c r="E653" s="3" t="s">
        <v>15</v>
      </c>
      <c r="F653" s="3" t="s">
        <v>25</v>
      </c>
      <c r="G653" s="3" t="s">
        <v>17</v>
      </c>
      <c r="H653" s="3" t="s">
        <v>809</v>
      </c>
      <c r="I653" s="3" t="s">
        <v>1305</v>
      </c>
      <c r="J653" s="3">
        <v>5000</v>
      </c>
      <c r="K653" s="3" t="s">
        <v>29</v>
      </c>
      <c r="L653" s="3" t="s">
        <v>21</v>
      </c>
    </row>
    <row r="654" spans="1:12" ht="16.2" customHeight="1">
      <c r="A654" s="2" t="s">
        <v>1504</v>
      </c>
      <c r="B654" s="2" t="s">
        <v>1505</v>
      </c>
      <c r="C654" s="2">
        <v>44</v>
      </c>
      <c r="D654" s="2" t="s">
        <v>14</v>
      </c>
      <c r="E654" s="2" t="s">
        <v>52</v>
      </c>
      <c r="F654" s="2" t="s">
        <v>132</v>
      </c>
      <c r="G654" s="2" t="s">
        <v>35</v>
      </c>
      <c r="H654" s="2" t="s">
        <v>545</v>
      </c>
      <c r="I654" s="2" t="s">
        <v>806</v>
      </c>
      <c r="J654" s="2">
        <v>25000</v>
      </c>
      <c r="K654" s="2" t="s">
        <v>37</v>
      </c>
      <c r="L654" s="2" t="s">
        <v>38</v>
      </c>
    </row>
    <row r="655" spans="1:12" ht="16.2" customHeight="1">
      <c r="A655" s="3" t="s">
        <v>1506</v>
      </c>
      <c r="B655" s="3" t="s">
        <v>1014</v>
      </c>
      <c r="C655" s="3">
        <v>22</v>
      </c>
      <c r="D655" s="3" t="s">
        <v>14</v>
      </c>
      <c r="E655" s="3" t="s">
        <v>70</v>
      </c>
      <c r="F655" s="3" t="s">
        <v>42</v>
      </c>
      <c r="G655" s="3" t="s">
        <v>99</v>
      </c>
      <c r="H655" s="3" t="s">
        <v>128</v>
      </c>
      <c r="I655" s="3" t="s">
        <v>566</v>
      </c>
      <c r="J655" s="3">
        <v>35000</v>
      </c>
      <c r="K655" s="3" t="s">
        <v>29</v>
      </c>
      <c r="L655" s="3" t="s">
        <v>38</v>
      </c>
    </row>
    <row r="656" spans="1:12" ht="16.2" customHeight="1">
      <c r="A656" s="2" t="s">
        <v>1507</v>
      </c>
      <c r="B656" s="2" t="s">
        <v>1123</v>
      </c>
      <c r="C656" s="2">
        <v>72</v>
      </c>
      <c r="D656" s="2" t="s">
        <v>14</v>
      </c>
      <c r="E656" s="2" t="s">
        <v>33</v>
      </c>
      <c r="F656" s="2" t="s">
        <v>201</v>
      </c>
      <c r="G656" s="2" t="s">
        <v>48</v>
      </c>
      <c r="H656" s="2" t="s">
        <v>269</v>
      </c>
      <c r="I656" s="2" t="s">
        <v>722</v>
      </c>
      <c r="J656" s="2">
        <v>8000</v>
      </c>
      <c r="K656" s="2" t="s">
        <v>67</v>
      </c>
      <c r="L656" s="2" t="s">
        <v>55</v>
      </c>
    </row>
    <row r="657" spans="1:12" ht="16.2" customHeight="1">
      <c r="A657" s="3" t="s">
        <v>1508</v>
      </c>
      <c r="B657" s="3" t="s">
        <v>396</v>
      </c>
      <c r="C657" s="3">
        <v>74</v>
      </c>
      <c r="D657" s="3" t="s">
        <v>32</v>
      </c>
      <c r="E657" s="3" t="s">
        <v>945</v>
      </c>
      <c r="F657" s="3" t="s">
        <v>34</v>
      </c>
      <c r="G657" s="3" t="s">
        <v>17</v>
      </c>
      <c r="H657" s="3" t="s">
        <v>1509</v>
      </c>
      <c r="I657" s="3" t="s">
        <v>839</v>
      </c>
      <c r="J657" s="3">
        <v>75000</v>
      </c>
      <c r="K657" s="3" t="s">
        <v>37</v>
      </c>
      <c r="L657" s="3" t="s">
        <v>21</v>
      </c>
    </row>
    <row r="658" spans="1:12" ht="16.2" customHeight="1">
      <c r="A658" s="2" t="s">
        <v>1510</v>
      </c>
      <c r="B658" s="2" t="s">
        <v>320</v>
      </c>
      <c r="C658" s="2">
        <v>56</v>
      </c>
      <c r="D658" s="2" t="s">
        <v>14</v>
      </c>
      <c r="E658" s="2" t="s">
        <v>58</v>
      </c>
      <c r="F658" s="2" t="s">
        <v>34</v>
      </c>
      <c r="G658" s="2" t="s">
        <v>17</v>
      </c>
      <c r="H658" s="2" t="s">
        <v>668</v>
      </c>
      <c r="I658" s="2" t="s">
        <v>520</v>
      </c>
      <c r="J658" s="2">
        <v>25000</v>
      </c>
      <c r="K658" s="2" t="s">
        <v>37</v>
      </c>
      <c r="L658" s="2" t="s">
        <v>55</v>
      </c>
    </row>
    <row r="659" spans="1:12" ht="16.2" customHeight="1">
      <c r="A659" s="3" t="s">
        <v>1511</v>
      </c>
      <c r="B659" s="3" t="s">
        <v>1512</v>
      </c>
      <c r="C659" s="3">
        <v>8</v>
      </c>
      <c r="D659" s="3" t="s">
        <v>32</v>
      </c>
      <c r="E659" s="3" t="s">
        <v>75</v>
      </c>
      <c r="F659" s="3" t="s">
        <v>76</v>
      </c>
      <c r="G659" s="3" t="s">
        <v>26</v>
      </c>
      <c r="H659" s="3" t="s">
        <v>1513</v>
      </c>
      <c r="I659" s="3" t="s">
        <v>492</v>
      </c>
      <c r="J659" s="3">
        <v>25000</v>
      </c>
      <c r="K659" s="3" t="s">
        <v>29</v>
      </c>
      <c r="L659" s="3" t="s">
        <v>87</v>
      </c>
    </row>
    <row r="660" spans="1:12" ht="16.2" customHeight="1">
      <c r="A660" s="2" t="s">
        <v>1514</v>
      </c>
      <c r="B660" s="2" t="s">
        <v>803</v>
      </c>
      <c r="C660" s="2">
        <v>32</v>
      </c>
      <c r="D660" s="2" t="s">
        <v>32</v>
      </c>
      <c r="E660" s="2" t="s">
        <v>15</v>
      </c>
      <c r="F660" s="2" t="s">
        <v>76</v>
      </c>
      <c r="G660" s="2" t="s">
        <v>17</v>
      </c>
      <c r="H660" s="2" t="s">
        <v>742</v>
      </c>
      <c r="I660" s="2" t="s">
        <v>668</v>
      </c>
      <c r="J660" s="2">
        <v>20000</v>
      </c>
      <c r="K660" s="2" t="s">
        <v>37</v>
      </c>
      <c r="L660" s="2" t="s">
        <v>55</v>
      </c>
    </row>
    <row r="661" spans="1:12" ht="16.2" customHeight="1">
      <c r="A661" s="3" t="s">
        <v>1515</v>
      </c>
      <c r="B661" s="3" t="s">
        <v>1516</v>
      </c>
      <c r="C661" s="3">
        <v>5</v>
      </c>
      <c r="D661" s="3" t="s">
        <v>14</v>
      </c>
      <c r="E661" s="3" t="s">
        <v>994</v>
      </c>
      <c r="F661" s="3" t="s">
        <v>42</v>
      </c>
      <c r="G661" s="3" t="s">
        <v>26</v>
      </c>
      <c r="H661" s="3" t="s">
        <v>715</v>
      </c>
      <c r="I661" s="3" t="s">
        <v>137</v>
      </c>
      <c r="J661" s="3">
        <v>20000</v>
      </c>
      <c r="K661" s="3" t="s">
        <v>29</v>
      </c>
      <c r="L661" s="3" t="s">
        <v>87</v>
      </c>
    </row>
    <row r="662" spans="1:12" ht="16.2" customHeight="1">
      <c r="A662" s="2" t="s">
        <v>1517</v>
      </c>
      <c r="B662" s="2" t="s">
        <v>65</v>
      </c>
      <c r="C662" s="2">
        <v>20</v>
      </c>
      <c r="D662" s="2" t="s">
        <v>32</v>
      </c>
      <c r="E662" s="2" t="s">
        <v>33</v>
      </c>
      <c r="F662" s="2" t="s">
        <v>42</v>
      </c>
      <c r="G662" s="2" t="s">
        <v>104</v>
      </c>
      <c r="H662" s="2" t="s">
        <v>1518</v>
      </c>
      <c r="I662" s="2" t="s">
        <v>1227</v>
      </c>
      <c r="J662" s="2">
        <v>12000</v>
      </c>
      <c r="K662" s="2" t="s">
        <v>20</v>
      </c>
      <c r="L662" s="2" t="s">
        <v>21</v>
      </c>
    </row>
    <row r="663" spans="1:12" ht="16.2" customHeight="1">
      <c r="A663" s="3" t="s">
        <v>1519</v>
      </c>
      <c r="B663" s="3" t="s">
        <v>1520</v>
      </c>
      <c r="C663" s="3">
        <v>83</v>
      </c>
      <c r="D663" s="3" t="s">
        <v>32</v>
      </c>
      <c r="E663" s="3" t="s">
        <v>85</v>
      </c>
      <c r="F663" s="3" t="s">
        <v>132</v>
      </c>
      <c r="G663" s="3" t="s">
        <v>35</v>
      </c>
      <c r="H663" s="3" t="s">
        <v>433</v>
      </c>
      <c r="I663" s="3" t="s">
        <v>390</v>
      </c>
      <c r="J663" s="3">
        <v>75000</v>
      </c>
      <c r="K663" s="3" t="s">
        <v>29</v>
      </c>
      <c r="L663" s="3" t="s">
        <v>38</v>
      </c>
    </row>
    <row r="664" spans="1:12" ht="16.2" customHeight="1">
      <c r="A664" s="2" t="s">
        <v>1521</v>
      </c>
      <c r="B664" s="2" t="s">
        <v>1522</v>
      </c>
      <c r="C664" s="2">
        <v>67</v>
      </c>
      <c r="D664" s="2" t="s">
        <v>14</v>
      </c>
      <c r="E664" s="2" t="s">
        <v>85</v>
      </c>
      <c r="F664" s="2" t="s">
        <v>127</v>
      </c>
      <c r="G664" s="2" t="s">
        <v>35</v>
      </c>
      <c r="H664" s="2" t="s">
        <v>1523</v>
      </c>
      <c r="I664" s="2" t="s">
        <v>905</v>
      </c>
      <c r="J664" s="2">
        <v>100000</v>
      </c>
      <c r="K664" s="2" t="s">
        <v>67</v>
      </c>
      <c r="L664" s="2" t="s">
        <v>87</v>
      </c>
    </row>
    <row r="665" spans="1:12" ht="16.2" customHeight="1">
      <c r="A665" s="3" t="s">
        <v>1524</v>
      </c>
      <c r="B665" s="3" t="s">
        <v>1525</v>
      </c>
      <c r="C665" s="3">
        <v>78</v>
      </c>
      <c r="D665" s="3" t="s">
        <v>32</v>
      </c>
      <c r="E665" s="3" t="s">
        <v>1526</v>
      </c>
      <c r="F665" s="3" t="s">
        <v>16</v>
      </c>
      <c r="G665" s="3" t="s">
        <v>48</v>
      </c>
      <c r="H665" s="3" t="s">
        <v>511</v>
      </c>
      <c r="I665" s="3" t="s">
        <v>430</v>
      </c>
      <c r="J665" s="3">
        <v>100000</v>
      </c>
      <c r="K665" s="3" t="s">
        <v>37</v>
      </c>
      <c r="L665" s="3" t="s">
        <v>21</v>
      </c>
    </row>
    <row r="666" spans="1:12" ht="16.2" customHeight="1">
      <c r="A666" s="2" t="s">
        <v>1527</v>
      </c>
      <c r="B666" s="2" t="s">
        <v>1528</v>
      </c>
      <c r="C666" s="2">
        <v>81</v>
      </c>
      <c r="D666" s="2" t="s">
        <v>32</v>
      </c>
      <c r="E666" s="2" t="s">
        <v>58</v>
      </c>
      <c r="F666" s="2" t="s">
        <v>132</v>
      </c>
      <c r="G666" s="2" t="s">
        <v>104</v>
      </c>
      <c r="H666" s="2" t="s">
        <v>1529</v>
      </c>
      <c r="I666" s="2" t="s">
        <v>219</v>
      </c>
      <c r="J666" s="2">
        <v>25000</v>
      </c>
      <c r="K666" s="2" t="s">
        <v>67</v>
      </c>
      <c r="L666" s="2" t="s">
        <v>38</v>
      </c>
    </row>
    <row r="667" spans="1:12" ht="16.2" customHeight="1">
      <c r="A667" s="3" t="s">
        <v>1530</v>
      </c>
      <c r="B667" s="3" t="s">
        <v>1531</v>
      </c>
      <c r="C667" s="3">
        <v>34</v>
      </c>
      <c r="D667" s="3" t="s">
        <v>32</v>
      </c>
      <c r="E667" s="3" t="s">
        <v>58</v>
      </c>
      <c r="F667" s="3" t="s">
        <v>25</v>
      </c>
      <c r="G667" s="3" t="s">
        <v>99</v>
      </c>
      <c r="H667" s="3" t="s">
        <v>451</v>
      </c>
      <c r="I667" s="3" t="s">
        <v>1214</v>
      </c>
      <c r="J667" s="3">
        <v>12000</v>
      </c>
      <c r="K667" s="3" t="s">
        <v>67</v>
      </c>
      <c r="L667" s="3" t="s">
        <v>55</v>
      </c>
    </row>
    <row r="668" spans="1:12" ht="16.2" customHeight="1">
      <c r="A668" s="2" t="s">
        <v>1532</v>
      </c>
      <c r="B668" s="2" t="s">
        <v>1533</v>
      </c>
      <c r="C668" s="2">
        <v>23</v>
      </c>
      <c r="D668" s="2" t="s">
        <v>14</v>
      </c>
      <c r="E668" s="2" t="s">
        <v>33</v>
      </c>
      <c r="F668" s="2" t="s">
        <v>76</v>
      </c>
      <c r="G668" s="2" t="s">
        <v>26</v>
      </c>
      <c r="H668" s="2" t="s">
        <v>1124</v>
      </c>
      <c r="I668" s="2" t="s">
        <v>166</v>
      </c>
      <c r="J668" s="2">
        <v>12000</v>
      </c>
      <c r="K668" s="2" t="s">
        <v>29</v>
      </c>
      <c r="L668" s="2" t="s">
        <v>21</v>
      </c>
    </row>
    <row r="669" spans="1:12" ht="16.2" customHeight="1">
      <c r="A669" s="3" t="s">
        <v>1534</v>
      </c>
      <c r="B669" s="3" t="s">
        <v>1535</v>
      </c>
      <c r="C669" s="3">
        <v>11</v>
      </c>
      <c r="D669" s="3" t="s">
        <v>32</v>
      </c>
      <c r="E669" s="3" t="s">
        <v>70</v>
      </c>
      <c r="F669" s="3" t="s">
        <v>127</v>
      </c>
      <c r="G669" s="3" t="s">
        <v>35</v>
      </c>
      <c r="H669" s="3" t="s">
        <v>334</v>
      </c>
      <c r="I669" s="3" t="s">
        <v>1127</v>
      </c>
      <c r="J669" s="3">
        <v>100000</v>
      </c>
      <c r="K669" s="3" t="s">
        <v>37</v>
      </c>
      <c r="L669" s="3" t="s">
        <v>55</v>
      </c>
    </row>
    <row r="670" spans="1:12" ht="16.2" customHeight="1">
      <c r="A670" s="2" t="s">
        <v>1536</v>
      </c>
      <c r="B670" s="2" t="s">
        <v>1281</v>
      </c>
      <c r="C670" s="2">
        <v>30</v>
      </c>
      <c r="D670" s="2" t="s">
        <v>14</v>
      </c>
      <c r="E670" s="2" t="s">
        <v>15</v>
      </c>
      <c r="F670" s="2" t="s">
        <v>132</v>
      </c>
      <c r="G670" s="2" t="s">
        <v>99</v>
      </c>
      <c r="H670" s="2" t="s">
        <v>367</v>
      </c>
      <c r="I670" s="2" t="s">
        <v>195</v>
      </c>
      <c r="J670" s="2">
        <v>75000</v>
      </c>
      <c r="K670" s="2" t="s">
        <v>29</v>
      </c>
      <c r="L670" s="2" t="s">
        <v>38</v>
      </c>
    </row>
    <row r="671" spans="1:12" ht="16.2" customHeight="1">
      <c r="A671" s="3" t="s">
        <v>1537</v>
      </c>
      <c r="B671" s="3" t="s">
        <v>1538</v>
      </c>
      <c r="C671" s="3">
        <v>34</v>
      </c>
      <c r="D671" s="3" t="s">
        <v>32</v>
      </c>
      <c r="E671" s="3" t="s">
        <v>85</v>
      </c>
      <c r="F671" s="3" t="s">
        <v>16</v>
      </c>
      <c r="G671" s="3" t="s">
        <v>53</v>
      </c>
      <c r="H671" s="3" t="s">
        <v>542</v>
      </c>
      <c r="I671" s="3" t="s">
        <v>415</v>
      </c>
      <c r="J671" s="3">
        <v>50000</v>
      </c>
      <c r="K671" s="3" t="s">
        <v>67</v>
      </c>
      <c r="L671" s="3" t="s">
        <v>87</v>
      </c>
    </row>
    <row r="672" spans="1:12" ht="16.2" customHeight="1">
      <c r="A672" s="2" t="s">
        <v>1539</v>
      </c>
      <c r="B672" s="2" t="s">
        <v>1540</v>
      </c>
      <c r="C672" s="2"/>
      <c r="D672" s="2" t="s">
        <v>32</v>
      </c>
      <c r="E672" s="2" t="s">
        <v>109</v>
      </c>
      <c r="F672" s="2" t="s">
        <v>25</v>
      </c>
      <c r="G672" s="2" t="s">
        <v>17</v>
      </c>
      <c r="H672" s="2" t="s">
        <v>669</v>
      </c>
      <c r="I672" s="2" t="s">
        <v>1309</v>
      </c>
      <c r="J672" s="2">
        <v>75000</v>
      </c>
      <c r="K672" s="2" t="s">
        <v>168</v>
      </c>
      <c r="L672" s="2" t="s">
        <v>55</v>
      </c>
    </row>
    <row r="673" spans="1:12" ht="16.2" customHeight="1">
      <c r="A673" s="3" t="s">
        <v>1541</v>
      </c>
      <c r="B673" s="3" t="s">
        <v>13</v>
      </c>
      <c r="C673" s="3">
        <v>35</v>
      </c>
      <c r="D673" s="3" t="s">
        <v>32</v>
      </c>
      <c r="E673" s="3" t="s">
        <v>70</v>
      </c>
      <c r="F673" s="3" t="s">
        <v>34</v>
      </c>
      <c r="G673" s="3" t="s">
        <v>53</v>
      </c>
      <c r="H673" s="3" t="s">
        <v>725</v>
      </c>
      <c r="I673" s="3" t="s">
        <v>926</v>
      </c>
      <c r="J673" s="3">
        <v>35000</v>
      </c>
      <c r="K673" s="3" t="s">
        <v>37</v>
      </c>
      <c r="L673" s="3" t="s">
        <v>21</v>
      </c>
    </row>
    <row r="674" spans="1:12" ht="16.2" customHeight="1">
      <c r="A674" s="2" t="s">
        <v>1542</v>
      </c>
      <c r="B674" s="2" t="s">
        <v>1543</v>
      </c>
      <c r="C674" s="2">
        <v>22</v>
      </c>
      <c r="D674" s="2" t="s">
        <v>32</v>
      </c>
      <c r="E674" s="2" t="s">
        <v>70</v>
      </c>
      <c r="F674" s="2" t="s">
        <v>76</v>
      </c>
      <c r="G674" s="2" t="s">
        <v>53</v>
      </c>
      <c r="H674" s="2" t="s">
        <v>926</v>
      </c>
      <c r="I674" s="2" t="s">
        <v>715</v>
      </c>
      <c r="J674" s="2">
        <v>5000</v>
      </c>
      <c r="K674" s="2" t="s">
        <v>20</v>
      </c>
      <c r="L674" s="2" t="s">
        <v>21</v>
      </c>
    </row>
    <row r="675" spans="1:12" ht="16.2" customHeight="1">
      <c r="A675" s="3" t="s">
        <v>1544</v>
      </c>
      <c r="B675" s="3" t="s">
        <v>966</v>
      </c>
      <c r="C675" s="3">
        <v>75</v>
      </c>
      <c r="D675" s="3" t="s">
        <v>32</v>
      </c>
      <c r="E675" s="3" t="s">
        <v>109</v>
      </c>
      <c r="F675" s="3" t="s">
        <v>34</v>
      </c>
      <c r="G675" s="3" t="s">
        <v>99</v>
      </c>
      <c r="H675" s="3" t="s">
        <v>62</v>
      </c>
      <c r="I675" s="3" t="s">
        <v>283</v>
      </c>
      <c r="J675" s="3">
        <v>8000</v>
      </c>
      <c r="K675" s="3" t="s">
        <v>37</v>
      </c>
      <c r="L675" s="3" t="s">
        <v>55</v>
      </c>
    </row>
    <row r="676" spans="1:12" ht="16.2" customHeight="1">
      <c r="A676" s="2" t="s">
        <v>1545</v>
      </c>
      <c r="B676" s="2" t="s">
        <v>918</v>
      </c>
      <c r="C676" s="2">
        <v>71</v>
      </c>
      <c r="D676" s="2" t="s">
        <v>32</v>
      </c>
      <c r="E676" s="2" t="s">
        <v>52</v>
      </c>
      <c r="F676" s="2" t="s">
        <v>25</v>
      </c>
      <c r="G676" s="2" t="s">
        <v>17</v>
      </c>
      <c r="H676" s="2" t="s">
        <v>1048</v>
      </c>
      <c r="I676" s="2" t="s">
        <v>318</v>
      </c>
      <c r="J676" s="2">
        <v>75000</v>
      </c>
      <c r="K676" s="2" t="s">
        <v>160</v>
      </c>
      <c r="L676" s="2" t="s">
        <v>55</v>
      </c>
    </row>
    <row r="677" spans="1:12" ht="16.2" customHeight="1">
      <c r="A677" s="3" t="s">
        <v>1546</v>
      </c>
      <c r="B677" s="3" t="s">
        <v>369</v>
      </c>
      <c r="C677" s="3">
        <v>1</v>
      </c>
      <c r="D677" s="3" t="s">
        <v>14</v>
      </c>
      <c r="E677" s="3" t="s">
        <v>85</v>
      </c>
      <c r="F677" s="3" t="s">
        <v>573</v>
      </c>
      <c r="G677" s="3" t="s">
        <v>48</v>
      </c>
      <c r="H677" s="3" t="s">
        <v>821</v>
      </c>
      <c r="I677" s="3" t="s">
        <v>373</v>
      </c>
      <c r="J677" s="3">
        <v>5000</v>
      </c>
      <c r="K677" s="3" t="s">
        <v>67</v>
      </c>
      <c r="L677" s="3" t="s">
        <v>55</v>
      </c>
    </row>
    <row r="678" spans="1:12" ht="16.2" customHeight="1">
      <c r="A678" s="2" t="s">
        <v>1547</v>
      </c>
      <c r="B678" s="2" t="s">
        <v>278</v>
      </c>
      <c r="C678" s="2">
        <v>43</v>
      </c>
      <c r="D678" s="2" t="s">
        <v>32</v>
      </c>
      <c r="E678" s="2" t="s">
        <v>541</v>
      </c>
      <c r="F678" s="2" t="s">
        <v>16</v>
      </c>
      <c r="G678" s="2" t="s">
        <v>17</v>
      </c>
      <c r="H678" s="2" t="s">
        <v>769</v>
      </c>
      <c r="I678" s="2" t="s">
        <v>426</v>
      </c>
      <c r="J678" s="2">
        <v>100000</v>
      </c>
      <c r="K678" s="2" t="s">
        <v>37</v>
      </c>
      <c r="L678" s="2" t="s">
        <v>21</v>
      </c>
    </row>
    <row r="679" spans="1:12" ht="16.2" customHeight="1">
      <c r="A679" s="3" t="s">
        <v>1548</v>
      </c>
      <c r="B679" s="3" t="s">
        <v>1549</v>
      </c>
      <c r="C679" s="3">
        <v>62</v>
      </c>
      <c r="D679" s="3" t="s">
        <v>14</v>
      </c>
      <c r="E679" s="3" t="s">
        <v>109</v>
      </c>
      <c r="F679" s="3" t="s">
        <v>132</v>
      </c>
      <c r="G679" s="3" t="s">
        <v>104</v>
      </c>
      <c r="H679" s="3" t="s">
        <v>393</v>
      </c>
      <c r="I679" s="3" t="s">
        <v>816</v>
      </c>
      <c r="J679" s="3">
        <v>100000</v>
      </c>
      <c r="K679" s="3" t="s">
        <v>29</v>
      </c>
      <c r="L679" s="3" t="s">
        <v>21</v>
      </c>
    </row>
    <row r="680" spans="1:12" ht="16.2" customHeight="1">
      <c r="A680" s="2" t="s">
        <v>1550</v>
      </c>
      <c r="B680" s="2" t="s">
        <v>1131</v>
      </c>
      <c r="C680" s="2">
        <v>42</v>
      </c>
      <c r="D680" s="2" t="s">
        <v>14</v>
      </c>
      <c r="E680" s="2" t="s">
        <v>70</v>
      </c>
      <c r="F680" s="2" t="s">
        <v>34</v>
      </c>
      <c r="G680" s="2" t="s">
        <v>99</v>
      </c>
      <c r="H680" s="2" t="s">
        <v>460</v>
      </c>
      <c r="I680" s="2" t="s">
        <v>185</v>
      </c>
      <c r="J680" s="2">
        <v>15000</v>
      </c>
      <c r="K680" s="2" t="s">
        <v>37</v>
      </c>
      <c r="L680" s="2" t="s">
        <v>38</v>
      </c>
    </row>
    <row r="681" spans="1:12" ht="16.2" customHeight="1">
      <c r="A681" s="3" t="s">
        <v>1551</v>
      </c>
      <c r="B681" s="3" t="s">
        <v>1552</v>
      </c>
      <c r="C681" s="3">
        <v>13</v>
      </c>
      <c r="D681" s="3" t="s">
        <v>486</v>
      </c>
      <c r="E681" s="3" t="s">
        <v>85</v>
      </c>
      <c r="F681" s="3" t="s">
        <v>76</v>
      </c>
      <c r="G681" s="3" t="s">
        <v>35</v>
      </c>
      <c r="H681" s="3" t="s">
        <v>933</v>
      </c>
      <c r="I681" s="3" t="s">
        <v>78</v>
      </c>
      <c r="J681" s="3">
        <v>5000</v>
      </c>
      <c r="K681" s="3" t="s">
        <v>37</v>
      </c>
      <c r="L681" s="3" t="s">
        <v>55</v>
      </c>
    </row>
    <row r="682" spans="1:12" ht="16.2" customHeight="1">
      <c r="A682" s="2" t="s">
        <v>1553</v>
      </c>
      <c r="B682" s="2" t="s">
        <v>1554</v>
      </c>
      <c r="C682" s="2">
        <v>90</v>
      </c>
      <c r="D682" s="2" t="s">
        <v>32</v>
      </c>
      <c r="E682" s="2" t="s">
        <v>52</v>
      </c>
      <c r="F682" s="2" t="s">
        <v>76</v>
      </c>
      <c r="G682" s="2" t="s">
        <v>26</v>
      </c>
      <c r="H682" s="2" t="s">
        <v>419</v>
      </c>
      <c r="I682" s="2" t="s">
        <v>390</v>
      </c>
      <c r="J682" s="2">
        <v>75000</v>
      </c>
      <c r="K682" s="2" t="s">
        <v>37</v>
      </c>
      <c r="L682" s="2" t="s">
        <v>55</v>
      </c>
    </row>
    <row r="683" spans="1:12" ht="16.2" customHeight="1">
      <c r="A683" s="3" t="s">
        <v>1555</v>
      </c>
      <c r="B683" s="3" t="s">
        <v>1556</v>
      </c>
      <c r="C683" s="3">
        <v>47</v>
      </c>
      <c r="D683" s="3" t="s">
        <v>14</v>
      </c>
      <c r="E683" s="3" t="s">
        <v>1060</v>
      </c>
      <c r="F683" s="3" t="s">
        <v>127</v>
      </c>
      <c r="G683" s="3" t="s">
        <v>48</v>
      </c>
      <c r="H683" s="3" t="s">
        <v>1084</v>
      </c>
      <c r="I683" s="3" t="s">
        <v>653</v>
      </c>
      <c r="J683" s="3">
        <v>5000</v>
      </c>
      <c r="K683" s="3" t="s">
        <v>29</v>
      </c>
      <c r="L683" s="3" t="s">
        <v>55</v>
      </c>
    </row>
    <row r="684" spans="1:12" ht="16.2" customHeight="1">
      <c r="A684" s="2" t="s">
        <v>1557</v>
      </c>
      <c r="B684" s="2" t="s">
        <v>526</v>
      </c>
      <c r="C684" s="2">
        <v>40</v>
      </c>
      <c r="D684" s="2" t="s">
        <v>32</v>
      </c>
      <c r="E684" s="2" t="s">
        <v>117</v>
      </c>
      <c r="F684" s="2" t="s">
        <v>25</v>
      </c>
      <c r="G684" s="2" t="s">
        <v>35</v>
      </c>
      <c r="H684" s="2" t="s">
        <v>974</v>
      </c>
      <c r="I684" s="2" t="s">
        <v>460</v>
      </c>
      <c r="J684" s="2">
        <v>12000</v>
      </c>
      <c r="K684" s="2" t="s">
        <v>37</v>
      </c>
      <c r="L684" s="2" t="s">
        <v>21</v>
      </c>
    </row>
    <row r="685" spans="1:12" ht="16.2" customHeight="1">
      <c r="A685" s="3" t="s">
        <v>1558</v>
      </c>
      <c r="B685" s="3" t="s">
        <v>23</v>
      </c>
      <c r="C685" s="3">
        <v>45</v>
      </c>
      <c r="D685" s="3" t="s">
        <v>14</v>
      </c>
      <c r="E685" s="3" t="s">
        <v>109</v>
      </c>
      <c r="F685" s="3" t="s">
        <v>16</v>
      </c>
      <c r="G685" s="3" t="s">
        <v>99</v>
      </c>
      <c r="H685" s="3" t="s">
        <v>106</v>
      </c>
      <c r="I685" s="3" t="s">
        <v>495</v>
      </c>
      <c r="J685" s="3">
        <v>50000</v>
      </c>
      <c r="K685" s="3" t="s">
        <v>37</v>
      </c>
      <c r="L685" s="3" t="s">
        <v>87</v>
      </c>
    </row>
    <row r="686" spans="1:12" ht="16.2" customHeight="1">
      <c r="A686" s="2" t="s">
        <v>1559</v>
      </c>
      <c r="B686" s="2" t="s">
        <v>1560</v>
      </c>
      <c r="C686" s="2">
        <v>31</v>
      </c>
      <c r="D686" s="2" t="s">
        <v>14</v>
      </c>
      <c r="E686" s="2" t="s">
        <v>52</v>
      </c>
      <c r="F686" s="2" t="s">
        <v>76</v>
      </c>
      <c r="G686" s="2" t="s">
        <v>35</v>
      </c>
      <c r="H686" s="2" t="s">
        <v>82</v>
      </c>
      <c r="I686" s="2" t="s">
        <v>434</v>
      </c>
      <c r="J686" s="2">
        <v>15000</v>
      </c>
      <c r="K686" s="2" t="s">
        <v>29</v>
      </c>
      <c r="L686" s="2" t="s">
        <v>55</v>
      </c>
    </row>
    <row r="687" spans="1:12" ht="16.2" customHeight="1">
      <c r="A687" s="3" t="s">
        <v>1561</v>
      </c>
      <c r="B687" s="3" t="s">
        <v>642</v>
      </c>
      <c r="C687" s="3">
        <v>35</v>
      </c>
      <c r="D687" s="3" t="s">
        <v>14</v>
      </c>
      <c r="E687" s="3" t="s">
        <v>33</v>
      </c>
      <c r="F687" s="3" t="s">
        <v>127</v>
      </c>
      <c r="G687" s="3" t="s">
        <v>17</v>
      </c>
      <c r="H687" s="3" t="s">
        <v>785</v>
      </c>
      <c r="I687" s="3" t="s">
        <v>434</v>
      </c>
      <c r="J687" s="3">
        <v>25000</v>
      </c>
      <c r="K687" s="3" t="s">
        <v>238</v>
      </c>
      <c r="L687" s="3" t="s">
        <v>21</v>
      </c>
    </row>
    <row r="688" spans="1:12" ht="16.2" customHeight="1">
      <c r="A688" s="2" t="s">
        <v>1562</v>
      </c>
      <c r="B688" s="2" t="s">
        <v>1563</v>
      </c>
      <c r="C688" s="2">
        <v>38</v>
      </c>
      <c r="D688" s="2" t="s">
        <v>32</v>
      </c>
      <c r="E688" s="2" t="s">
        <v>15</v>
      </c>
      <c r="F688" s="2" t="s">
        <v>127</v>
      </c>
      <c r="G688" s="2" t="s">
        <v>26</v>
      </c>
      <c r="H688" s="2" t="s">
        <v>101</v>
      </c>
      <c r="I688" s="2" t="s">
        <v>265</v>
      </c>
      <c r="J688" s="2">
        <v>75000</v>
      </c>
      <c r="K688" s="2" t="s">
        <v>37</v>
      </c>
      <c r="L688" s="2" t="s">
        <v>21</v>
      </c>
    </row>
    <row r="689" spans="1:12" ht="16.2" customHeight="1">
      <c r="A689" s="3" t="s">
        <v>1564</v>
      </c>
      <c r="B689" s="3" t="s">
        <v>193</v>
      </c>
      <c r="C689" s="3">
        <v>81</v>
      </c>
      <c r="D689" s="3" t="s">
        <v>14</v>
      </c>
      <c r="E689" s="3" t="s">
        <v>70</v>
      </c>
      <c r="F689" s="3" t="s">
        <v>132</v>
      </c>
      <c r="G689" s="3" t="s">
        <v>99</v>
      </c>
      <c r="H689" s="3" t="s">
        <v>377</v>
      </c>
      <c r="I689" s="3" t="s">
        <v>653</v>
      </c>
      <c r="J689" s="3">
        <v>12000</v>
      </c>
      <c r="K689" s="3"/>
      <c r="L689" s="3" t="s">
        <v>87</v>
      </c>
    </row>
    <row r="690" spans="1:12" ht="16.2" customHeight="1">
      <c r="A690" s="2" t="s">
        <v>1565</v>
      </c>
      <c r="B690" s="2" t="s">
        <v>93</v>
      </c>
      <c r="C690" s="2">
        <v>5</v>
      </c>
      <c r="D690" s="2" t="s">
        <v>14</v>
      </c>
      <c r="E690" s="2" t="s">
        <v>109</v>
      </c>
      <c r="F690" s="2" t="s">
        <v>127</v>
      </c>
      <c r="G690" s="2" t="s">
        <v>48</v>
      </c>
      <c r="H690" s="2" t="s">
        <v>1566</v>
      </c>
      <c r="I690" s="2" t="s">
        <v>499</v>
      </c>
      <c r="J690" s="2">
        <v>5000</v>
      </c>
      <c r="K690" s="2" t="s">
        <v>29</v>
      </c>
      <c r="L690" s="2" t="s">
        <v>21</v>
      </c>
    </row>
    <row r="691" spans="1:12" ht="16.2" customHeight="1">
      <c r="A691" s="3" t="s">
        <v>1567</v>
      </c>
      <c r="B691" s="3" t="s">
        <v>982</v>
      </c>
      <c r="C691" s="3">
        <v>11</v>
      </c>
      <c r="D691" s="3" t="s">
        <v>14</v>
      </c>
      <c r="E691" s="3" t="s">
        <v>52</v>
      </c>
      <c r="F691" s="3" t="s">
        <v>42</v>
      </c>
      <c r="G691" s="3" t="s">
        <v>26</v>
      </c>
      <c r="H691" s="3" t="s">
        <v>471</v>
      </c>
      <c r="I691" s="3" t="s">
        <v>374</v>
      </c>
      <c r="J691" s="3">
        <v>12000</v>
      </c>
      <c r="K691" s="3" t="s">
        <v>29</v>
      </c>
      <c r="L691" s="3" t="s">
        <v>38</v>
      </c>
    </row>
    <row r="692" spans="1:12" ht="16.2" customHeight="1">
      <c r="A692" s="2" t="s">
        <v>1568</v>
      </c>
      <c r="B692" s="2" t="s">
        <v>1569</v>
      </c>
      <c r="C692" s="2">
        <v>26</v>
      </c>
      <c r="D692" s="2" t="s">
        <v>32</v>
      </c>
      <c r="E692" s="2" t="s">
        <v>33</v>
      </c>
      <c r="F692" s="2" t="s">
        <v>42</v>
      </c>
      <c r="G692" s="2" t="s">
        <v>26</v>
      </c>
      <c r="H692" s="2" t="s">
        <v>133</v>
      </c>
      <c r="I692" s="2" t="s">
        <v>742</v>
      </c>
      <c r="J692" s="2">
        <v>15000</v>
      </c>
      <c r="K692" s="2" t="s">
        <v>67</v>
      </c>
      <c r="L692" s="2" t="s">
        <v>21</v>
      </c>
    </row>
    <row r="693" spans="1:12" ht="16.2" customHeight="1">
      <c r="A693" s="3" t="s">
        <v>1570</v>
      </c>
      <c r="B693" s="3" t="s">
        <v>1010</v>
      </c>
      <c r="C693" s="3">
        <v>39</v>
      </c>
      <c r="D693" s="3" t="s">
        <v>14</v>
      </c>
      <c r="E693" s="3" t="s">
        <v>70</v>
      </c>
      <c r="F693" s="3" t="s">
        <v>42</v>
      </c>
      <c r="G693" s="3" t="s">
        <v>17</v>
      </c>
      <c r="H693" s="3" t="s">
        <v>1571</v>
      </c>
      <c r="I693" s="3" t="s">
        <v>653</v>
      </c>
      <c r="J693" s="3">
        <v>75000</v>
      </c>
      <c r="K693" s="3" t="s">
        <v>29</v>
      </c>
      <c r="L693" s="3" t="s">
        <v>38</v>
      </c>
    </row>
    <row r="694" spans="1:12" ht="16.2" customHeight="1">
      <c r="A694" s="2" t="s">
        <v>1572</v>
      </c>
      <c r="B694" s="2" t="s">
        <v>1257</v>
      </c>
      <c r="C694" s="2">
        <v>66</v>
      </c>
      <c r="D694" s="2" t="s">
        <v>14</v>
      </c>
      <c r="E694" s="2" t="s">
        <v>230</v>
      </c>
      <c r="F694" s="2" t="s">
        <v>34</v>
      </c>
      <c r="G694" s="2" t="s">
        <v>17</v>
      </c>
      <c r="H694" s="2" t="s">
        <v>1573</v>
      </c>
      <c r="I694" s="2" t="s">
        <v>273</v>
      </c>
      <c r="J694" s="2">
        <v>15000</v>
      </c>
      <c r="K694" s="2" t="s">
        <v>67</v>
      </c>
      <c r="L694" s="2" t="s">
        <v>21</v>
      </c>
    </row>
    <row r="695" spans="1:12" ht="16.2" customHeight="1">
      <c r="A695" s="3" t="s">
        <v>1574</v>
      </c>
      <c r="B695" s="3" t="s">
        <v>1575</v>
      </c>
      <c r="C695" s="3">
        <v>29</v>
      </c>
      <c r="D695" s="3" t="s">
        <v>32</v>
      </c>
      <c r="E695" s="3" t="s">
        <v>70</v>
      </c>
      <c r="F695" s="3" t="s">
        <v>76</v>
      </c>
      <c r="G695" s="3" t="s">
        <v>26</v>
      </c>
      <c r="H695" s="3" t="s">
        <v>741</v>
      </c>
      <c r="I695" s="3" t="s">
        <v>569</v>
      </c>
      <c r="J695" s="3">
        <v>100000</v>
      </c>
      <c r="K695" s="3" t="s">
        <v>37</v>
      </c>
      <c r="L695" s="3" t="s">
        <v>87</v>
      </c>
    </row>
    <row r="696" spans="1:12" ht="16.2" customHeight="1">
      <c r="A696" s="2" t="s">
        <v>1576</v>
      </c>
      <c r="B696" s="2" t="s">
        <v>1577</v>
      </c>
      <c r="C696" s="2">
        <v>49</v>
      </c>
      <c r="D696" s="2" t="s">
        <v>14</v>
      </c>
      <c r="E696" s="2" t="s">
        <v>85</v>
      </c>
      <c r="F696" s="2" t="s">
        <v>76</v>
      </c>
      <c r="G696" s="2" t="s">
        <v>26</v>
      </c>
      <c r="H696" s="2" t="s">
        <v>631</v>
      </c>
      <c r="I696" s="2" t="s">
        <v>456</v>
      </c>
      <c r="J696" s="2">
        <v>100000</v>
      </c>
      <c r="K696" s="2" t="s">
        <v>67</v>
      </c>
      <c r="L696" s="2"/>
    </row>
    <row r="697" spans="1:12" ht="16.2" customHeight="1">
      <c r="A697" s="3" t="s">
        <v>1578</v>
      </c>
      <c r="B697" s="3" t="s">
        <v>1579</v>
      </c>
      <c r="C697" s="3"/>
      <c r="D697" s="3" t="s">
        <v>287</v>
      </c>
      <c r="E697" s="3" t="s">
        <v>52</v>
      </c>
      <c r="F697" s="3" t="s">
        <v>127</v>
      </c>
      <c r="G697" s="3" t="s">
        <v>104</v>
      </c>
      <c r="H697" s="3" t="s">
        <v>1209</v>
      </c>
      <c r="I697" s="3" t="s">
        <v>653</v>
      </c>
      <c r="J697" s="3">
        <v>100000</v>
      </c>
      <c r="K697" s="3" t="s">
        <v>20</v>
      </c>
      <c r="L697" s="3" t="s">
        <v>38</v>
      </c>
    </row>
    <row r="698" spans="1:12" ht="16.2" customHeight="1">
      <c r="A698" s="2" t="s">
        <v>1580</v>
      </c>
      <c r="B698" s="2" t="s">
        <v>540</v>
      </c>
      <c r="C698" s="2">
        <v>82</v>
      </c>
      <c r="D698" s="2" t="s">
        <v>32</v>
      </c>
      <c r="E698" s="2" t="s">
        <v>33</v>
      </c>
      <c r="F698" s="2" t="s">
        <v>127</v>
      </c>
      <c r="G698" s="2" t="s">
        <v>26</v>
      </c>
      <c r="H698" s="2" t="s">
        <v>28</v>
      </c>
      <c r="I698" s="2" t="s">
        <v>728</v>
      </c>
      <c r="J698" s="2">
        <v>25000</v>
      </c>
      <c r="K698" s="2" t="s">
        <v>37</v>
      </c>
      <c r="L698" s="2" t="s">
        <v>38</v>
      </c>
    </row>
    <row r="699" spans="1:12" ht="16.2" customHeight="1">
      <c r="A699" s="3" t="s">
        <v>1581</v>
      </c>
      <c r="B699" s="3" t="s">
        <v>214</v>
      </c>
      <c r="C699" s="3">
        <v>56</v>
      </c>
      <c r="D699" s="3" t="s">
        <v>14</v>
      </c>
      <c r="E699" s="3" t="s">
        <v>85</v>
      </c>
      <c r="F699" s="3" t="s">
        <v>132</v>
      </c>
      <c r="G699" s="3" t="s">
        <v>17</v>
      </c>
      <c r="H699" s="3" t="s">
        <v>454</v>
      </c>
      <c r="I699" s="3" t="s">
        <v>133</v>
      </c>
      <c r="J699" s="3">
        <v>15000</v>
      </c>
      <c r="K699" s="3" t="s">
        <v>37</v>
      </c>
      <c r="L699" s="3" t="s">
        <v>55</v>
      </c>
    </row>
    <row r="700" spans="1:12" ht="16.2" customHeight="1">
      <c r="A700" s="2" t="s">
        <v>1582</v>
      </c>
      <c r="B700" s="2" t="s">
        <v>996</v>
      </c>
      <c r="C700" s="2">
        <v>52</v>
      </c>
      <c r="D700" s="2" t="s">
        <v>32</v>
      </c>
      <c r="E700" s="2" t="s">
        <v>52</v>
      </c>
      <c r="F700" s="2" t="s">
        <v>132</v>
      </c>
      <c r="G700" s="2" t="s">
        <v>99</v>
      </c>
      <c r="H700" s="2" t="s">
        <v>1178</v>
      </c>
      <c r="I700" s="2" t="s">
        <v>719</v>
      </c>
      <c r="J700" s="2"/>
      <c r="K700" s="2" t="s">
        <v>29</v>
      </c>
      <c r="L700" s="2" t="s">
        <v>21</v>
      </c>
    </row>
    <row r="701" spans="1:12" ht="16.2" customHeight="1">
      <c r="A701" s="3" t="s">
        <v>1583</v>
      </c>
      <c r="B701" s="3" t="s">
        <v>69</v>
      </c>
      <c r="C701" s="3">
        <v>52</v>
      </c>
      <c r="D701" s="3" t="s">
        <v>14</v>
      </c>
      <c r="E701" s="3" t="s">
        <v>85</v>
      </c>
      <c r="F701" s="3" t="s">
        <v>127</v>
      </c>
      <c r="G701" s="3" t="s">
        <v>26</v>
      </c>
      <c r="H701" s="3" t="s">
        <v>266</v>
      </c>
      <c r="I701" s="3" t="s">
        <v>722</v>
      </c>
      <c r="J701" s="3">
        <v>50000</v>
      </c>
      <c r="K701" s="3" t="s">
        <v>37</v>
      </c>
      <c r="L701" s="3" t="s">
        <v>87</v>
      </c>
    </row>
    <row r="702" spans="1:12" ht="16.2" customHeight="1">
      <c r="A702" s="2" t="s">
        <v>1584</v>
      </c>
      <c r="B702" s="2" t="s">
        <v>459</v>
      </c>
      <c r="C702" s="2">
        <v>70</v>
      </c>
      <c r="D702" s="2" t="s">
        <v>14</v>
      </c>
      <c r="E702" s="2" t="s">
        <v>70</v>
      </c>
      <c r="F702" s="2" t="s">
        <v>132</v>
      </c>
      <c r="G702" s="2" t="s">
        <v>104</v>
      </c>
      <c r="H702" s="2" t="s">
        <v>1335</v>
      </c>
      <c r="I702" s="2" t="s">
        <v>1320</v>
      </c>
      <c r="J702" s="2">
        <v>8000</v>
      </c>
      <c r="K702" s="2" t="s">
        <v>20</v>
      </c>
      <c r="L702" s="2" t="s">
        <v>87</v>
      </c>
    </row>
    <row r="703" spans="1:12" ht="16.2" customHeight="1">
      <c r="A703" s="3" t="s">
        <v>1585</v>
      </c>
      <c r="B703" s="3" t="s">
        <v>1586</v>
      </c>
      <c r="C703" s="3">
        <v>87</v>
      </c>
      <c r="D703" s="3" t="s">
        <v>14</v>
      </c>
      <c r="E703" s="3" t="s">
        <v>52</v>
      </c>
      <c r="F703" s="3" t="s">
        <v>25</v>
      </c>
      <c r="G703" s="3" t="s">
        <v>35</v>
      </c>
      <c r="H703" s="3" t="s">
        <v>360</v>
      </c>
      <c r="I703" s="3" t="s">
        <v>296</v>
      </c>
      <c r="J703" s="3">
        <v>20000</v>
      </c>
      <c r="K703" s="3" t="s">
        <v>67</v>
      </c>
      <c r="L703" s="3" t="s">
        <v>38</v>
      </c>
    </row>
    <row r="704" spans="1:12" ht="16.2" customHeight="1">
      <c r="A704" s="2" t="s">
        <v>1587</v>
      </c>
      <c r="B704" s="2" t="s">
        <v>1588</v>
      </c>
      <c r="C704" s="2">
        <v>25</v>
      </c>
      <c r="D704" s="2" t="s">
        <v>32</v>
      </c>
      <c r="E704" s="2" t="s">
        <v>1086</v>
      </c>
      <c r="F704" s="2" t="s">
        <v>127</v>
      </c>
      <c r="G704" s="2" t="s">
        <v>104</v>
      </c>
      <c r="H704" s="2" t="s">
        <v>512</v>
      </c>
      <c r="I704" s="2" t="s">
        <v>19</v>
      </c>
      <c r="J704" s="2">
        <v>35000</v>
      </c>
      <c r="K704" s="2" t="s">
        <v>37</v>
      </c>
      <c r="L704" s="2" t="s">
        <v>55</v>
      </c>
    </row>
    <row r="705" spans="1:12" ht="16.2" customHeight="1">
      <c r="A705" s="3" t="s">
        <v>1589</v>
      </c>
      <c r="B705" s="3" t="s">
        <v>912</v>
      </c>
      <c r="C705" s="3">
        <v>14</v>
      </c>
      <c r="D705" s="3" t="s">
        <v>32</v>
      </c>
      <c r="E705" s="3" t="s">
        <v>85</v>
      </c>
      <c r="F705" s="3" t="s">
        <v>34</v>
      </c>
      <c r="G705" s="3" t="s">
        <v>35</v>
      </c>
      <c r="H705" s="3" t="s">
        <v>1590</v>
      </c>
      <c r="I705" s="3" t="s">
        <v>195</v>
      </c>
      <c r="J705" s="3">
        <v>5000</v>
      </c>
      <c r="K705" s="3" t="s">
        <v>37</v>
      </c>
      <c r="L705" s="3" t="s">
        <v>38</v>
      </c>
    </row>
    <row r="706" spans="1:12" ht="16.2" customHeight="1">
      <c r="A706" s="2" t="s">
        <v>1589</v>
      </c>
      <c r="B706" s="2" t="s">
        <v>912</v>
      </c>
      <c r="C706" s="2">
        <v>14</v>
      </c>
      <c r="D706" s="2" t="s">
        <v>338</v>
      </c>
      <c r="E706" s="2" t="s">
        <v>85</v>
      </c>
      <c r="F706" s="2" t="s">
        <v>34</v>
      </c>
      <c r="G706" s="2" t="s">
        <v>35</v>
      </c>
      <c r="H706" s="2" t="s">
        <v>725</v>
      </c>
      <c r="I706" s="2" t="s">
        <v>195</v>
      </c>
      <c r="J706" s="2">
        <v>5000</v>
      </c>
      <c r="K706" s="2" t="s">
        <v>37</v>
      </c>
      <c r="L706" s="2" t="s">
        <v>38</v>
      </c>
    </row>
    <row r="707" spans="1:12" ht="16.2" customHeight="1">
      <c r="A707" s="3" t="s">
        <v>1591</v>
      </c>
      <c r="B707" s="3" t="s">
        <v>918</v>
      </c>
      <c r="C707" s="3">
        <v>83</v>
      </c>
      <c r="D707" s="3" t="s">
        <v>14</v>
      </c>
      <c r="E707" s="3" t="s">
        <v>649</v>
      </c>
      <c r="F707" s="3" t="s">
        <v>127</v>
      </c>
      <c r="G707" s="3" t="s">
        <v>99</v>
      </c>
      <c r="H707" s="3" t="s">
        <v>305</v>
      </c>
      <c r="I707" s="3" t="s">
        <v>566</v>
      </c>
      <c r="J707" s="3">
        <v>8000</v>
      </c>
      <c r="K707" s="3" t="s">
        <v>20</v>
      </c>
      <c r="L707" s="3" t="s">
        <v>55</v>
      </c>
    </row>
    <row r="708" spans="1:12" ht="16.2" customHeight="1">
      <c r="A708" s="2" t="s">
        <v>1592</v>
      </c>
      <c r="B708" s="2" t="s">
        <v>1334</v>
      </c>
      <c r="C708" s="2">
        <v>72</v>
      </c>
      <c r="D708" s="2"/>
      <c r="E708" s="2" t="s">
        <v>52</v>
      </c>
      <c r="F708" s="2" t="s">
        <v>42</v>
      </c>
      <c r="G708" s="2" t="s">
        <v>26</v>
      </c>
      <c r="H708" s="2" t="s">
        <v>855</v>
      </c>
      <c r="I708" s="2" t="s">
        <v>438</v>
      </c>
      <c r="J708" s="2">
        <v>5000</v>
      </c>
      <c r="K708" s="2" t="s">
        <v>983</v>
      </c>
      <c r="L708" s="2" t="s">
        <v>38</v>
      </c>
    </row>
    <row r="709" spans="1:12" ht="16.2" customHeight="1">
      <c r="A709" s="3" t="s">
        <v>1593</v>
      </c>
      <c r="B709" s="3" t="s">
        <v>693</v>
      </c>
      <c r="C709" s="3">
        <v>56</v>
      </c>
      <c r="D709" s="3" t="s">
        <v>32</v>
      </c>
      <c r="E709" s="3" t="s">
        <v>85</v>
      </c>
      <c r="F709" s="3" t="s">
        <v>127</v>
      </c>
      <c r="G709" s="3" t="s">
        <v>35</v>
      </c>
      <c r="H709" s="3" t="s">
        <v>1305</v>
      </c>
      <c r="I709" s="3" t="s">
        <v>1490</v>
      </c>
      <c r="J709" s="3">
        <v>100000</v>
      </c>
      <c r="K709" s="3" t="s">
        <v>191</v>
      </c>
      <c r="L709" s="3" t="s">
        <v>21</v>
      </c>
    </row>
    <row r="710" spans="1:12" ht="16.2" customHeight="1">
      <c r="A710" s="2" t="s">
        <v>1594</v>
      </c>
      <c r="B710" s="2" t="s">
        <v>1595</v>
      </c>
      <c r="C710" s="2">
        <v>37</v>
      </c>
      <c r="D710" s="2" t="s">
        <v>14</v>
      </c>
      <c r="E710" s="2" t="s">
        <v>85</v>
      </c>
      <c r="F710" s="2" t="s">
        <v>132</v>
      </c>
      <c r="G710" s="2" t="s">
        <v>99</v>
      </c>
      <c r="H710" s="2" t="s">
        <v>594</v>
      </c>
      <c r="I710" s="2" t="s">
        <v>184</v>
      </c>
      <c r="J710" s="2">
        <v>15000</v>
      </c>
      <c r="K710" s="2" t="s">
        <v>67</v>
      </c>
      <c r="L710" s="2" t="s">
        <v>38</v>
      </c>
    </row>
    <row r="711" spans="1:12" ht="16.2" customHeight="1">
      <c r="A711" s="3" t="s">
        <v>1596</v>
      </c>
      <c r="B711" s="3" t="s">
        <v>1597</v>
      </c>
      <c r="C711" s="3">
        <v>68</v>
      </c>
      <c r="D711" s="3" t="s">
        <v>32</v>
      </c>
      <c r="E711" s="3" t="s">
        <v>58</v>
      </c>
      <c r="F711" s="3" t="s">
        <v>832</v>
      </c>
      <c r="G711" s="3" t="s">
        <v>35</v>
      </c>
      <c r="H711" s="3" t="s">
        <v>172</v>
      </c>
      <c r="I711" s="3" t="s">
        <v>256</v>
      </c>
      <c r="J711" s="3">
        <v>15000</v>
      </c>
      <c r="K711" s="3" t="s">
        <v>37</v>
      </c>
      <c r="L711" s="3" t="s">
        <v>87</v>
      </c>
    </row>
    <row r="712" spans="1:12" ht="16.2" customHeight="1">
      <c r="A712" s="2" t="s">
        <v>1598</v>
      </c>
      <c r="B712" s="2" t="s">
        <v>150</v>
      </c>
      <c r="C712" s="2">
        <v>54</v>
      </c>
      <c r="D712" s="2" t="s">
        <v>32</v>
      </c>
      <c r="E712" s="2" t="s">
        <v>33</v>
      </c>
      <c r="F712" s="2" t="s">
        <v>132</v>
      </c>
      <c r="G712" s="2" t="s">
        <v>104</v>
      </c>
      <c r="H712" s="2" t="s">
        <v>353</v>
      </c>
      <c r="I712" s="2" t="s">
        <v>1129</v>
      </c>
      <c r="J712" s="2">
        <v>5000</v>
      </c>
      <c r="K712" s="2" t="s">
        <v>29</v>
      </c>
      <c r="L712" s="2" t="s">
        <v>38</v>
      </c>
    </row>
    <row r="713" spans="1:12" ht="16.2" customHeight="1">
      <c r="A713" s="3" t="s">
        <v>1599</v>
      </c>
      <c r="B713" s="3" t="s">
        <v>1251</v>
      </c>
      <c r="C713" s="3">
        <v>80</v>
      </c>
      <c r="D713" s="3" t="s">
        <v>32</v>
      </c>
      <c r="E713" s="3" t="s">
        <v>33</v>
      </c>
      <c r="F713" s="3" t="s">
        <v>25</v>
      </c>
      <c r="G713" s="3" t="s">
        <v>17</v>
      </c>
      <c r="H713" s="3" t="s">
        <v>245</v>
      </c>
      <c r="I713" s="3" t="s">
        <v>973</v>
      </c>
      <c r="J713" s="3">
        <v>25000</v>
      </c>
      <c r="K713" s="3" t="s">
        <v>20</v>
      </c>
      <c r="L713" s="3" t="s">
        <v>38</v>
      </c>
    </row>
    <row r="714" spans="1:12" ht="16.2" customHeight="1">
      <c r="A714" s="2" t="s">
        <v>1600</v>
      </c>
      <c r="B714" s="2" t="s">
        <v>1601</v>
      </c>
      <c r="C714" s="2">
        <v>38</v>
      </c>
      <c r="D714" s="2" t="s">
        <v>14</v>
      </c>
      <c r="E714" s="2" t="s">
        <v>52</v>
      </c>
      <c r="F714" s="2" t="s">
        <v>188</v>
      </c>
      <c r="G714" s="2" t="s">
        <v>48</v>
      </c>
      <c r="H714" s="2" t="s">
        <v>314</v>
      </c>
      <c r="I714" s="2" t="s">
        <v>348</v>
      </c>
      <c r="J714" s="2">
        <v>20000</v>
      </c>
      <c r="K714" s="2" t="s">
        <v>20</v>
      </c>
      <c r="L714" s="2" t="s">
        <v>55</v>
      </c>
    </row>
    <row r="715" spans="1:12" ht="16.2" customHeight="1">
      <c r="A715" s="3" t="s">
        <v>1602</v>
      </c>
      <c r="B715" s="3" t="s">
        <v>1603</v>
      </c>
      <c r="C715" s="3">
        <v>89</v>
      </c>
      <c r="D715" s="3" t="s">
        <v>14</v>
      </c>
      <c r="E715" s="3" t="s">
        <v>70</v>
      </c>
      <c r="F715" s="3" t="s">
        <v>76</v>
      </c>
      <c r="G715" s="3" t="s">
        <v>99</v>
      </c>
      <c r="H715" s="3" t="s">
        <v>793</v>
      </c>
      <c r="I715" s="3" t="s">
        <v>785</v>
      </c>
      <c r="J715" s="3">
        <v>20000</v>
      </c>
      <c r="K715" s="3" t="s">
        <v>29</v>
      </c>
      <c r="L715" s="3" t="s">
        <v>21</v>
      </c>
    </row>
    <row r="716" spans="1:12" ht="16.2" customHeight="1">
      <c r="A716" s="2" t="s">
        <v>1604</v>
      </c>
      <c r="B716" s="2" t="s">
        <v>1605</v>
      </c>
      <c r="C716" s="2">
        <v>32</v>
      </c>
      <c r="D716" s="2" t="s">
        <v>32</v>
      </c>
      <c r="E716" s="2" t="s">
        <v>109</v>
      </c>
      <c r="F716" s="2" t="s">
        <v>25</v>
      </c>
      <c r="G716" s="2" t="s">
        <v>99</v>
      </c>
      <c r="H716" s="2" t="s">
        <v>164</v>
      </c>
      <c r="I716" s="2" t="s">
        <v>283</v>
      </c>
      <c r="J716" s="2">
        <v>5000</v>
      </c>
      <c r="K716" s="2" t="s">
        <v>67</v>
      </c>
      <c r="L716" s="2" t="s">
        <v>38</v>
      </c>
    </row>
    <row r="717" spans="1:12" ht="16.2" customHeight="1">
      <c r="A717" s="3" t="s">
        <v>1606</v>
      </c>
      <c r="B717" s="3" t="s">
        <v>733</v>
      </c>
      <c r="C717" s="3">
        <v>44</v>
      </c>
      <c r="D717" s="3" t="s">
        <v>32</v>
      </c>
      <c r="E717" s="3" t="s">
        <v>33</v>
      </c>
      <c r="F717" s="3" t="s">
        <v>127</v>
      </c>
      <c r="G717" s="3" t="s">
        <v>35</v>
      </c>
      <c r="H717" s="3" t="s">
        <v>78</v>
      </c>
      <c r="I717" s="3" t="s">
        <v>1121</v>
      </c>
      <c r="J717" s="3">
        <v>15000</v>
      </c>
      <c r="K717" s="3" t="s">
        <v>20</v>
      </c>
      <c r="L717" s="3" t="s">
        <v>55</v>
      </c>
    </row>
    <row r="718" spans="1:12" ht="16.2" customHeight="1">
      <c r="A718" s="2" t="s">
        <v>1607</v>
      </c>
      <c r="B718" s="2" t="s">
        <v>1608</v>
      </c>
      <c r="C718" s="2">
        <v>32</v>
      </c>
      <c r="D718" s="2" t="s">
        <v>14</v>
      </c>
      <c r="E718" s="2" t="s">
        <v>15</v>
      </c>
      <c r="F718" s="2" t="s">
        <v>832</v>
      </c>
      <c r="G718" s="2" t="s">
        <v>53</v>
      </c>
      <c r="H718" s="2" t="s">
        <v>610</v>
      </c>
      <c r="I718" s="2" t="s">
        <v>851</v>
      </c>
      <c r="J718" s="2">
        <v>75000</v>
      </c>
      <c r="K718" s="2" t="s">
        <v>20</v>
      </c>
      <c r="L718" s="2" t="s">
        <v>21</v>
      </c>
    </row>
    <row r="719" spans="1:12" ht="16.2" customHeight="1">
      <c r="A719" s="3" t="s">
        <v>1609</v>
      </c>
      <c r="B719" s="3" t="s">
        <v>509</v>
      </c>
      <c r="C719" s="3">
        <v>72</v>
      </c>
      <c r="D719" s="3" t="s">
        <v>14</v>
      </c>
      <c r="E719" s="3" t="s">
        <v>70</v>
      </c>
      <c r="F719" s="3" t="s">
        <v>132</v>
      </c>
      <c r="G719" s="3" t="s">
        <v>48</v>
      </c>
      <c r="H719" s="3" t="s">
        <v>1021</v>
      </c>
      <c r="I719" s="3" t="s">
        <v>353</v>
      </c>
      <c r="J719" s="3">
        <v>5000</v>
      </c>
      <c r="K719" s="3" t="s">
        <v>67</v>
      </c>
      <c r="L719" s="3" t="s">
        <v>21</v>
      </c>
    </row>
    <row r="720" spans="1:12" ht="16.2" customHeight="1">
      <c r="A720" s="2" t="s">
        <v>1610</v>
      </c>
      <c r="B720" s="2" t="s">
        <v>1611</v>
      </c>
      <c r="C720" s="2">
        <v>41</v>
      </c>
      <c r="D720" s="2" t="s">
        <v>14</v>
      </c>
      <c r="E720" s="2" t="s">
        <v>109</v>
      </c>
      <c r="F720" s="2" t="s">
        <v>132</v>
      </c>
      <c r="G720" s="2" t="s">
        <v>48</v>
      </c>
      <c r="H720" s="2" t="s">
        <v>1612</v>
      </c>
      <c r="I720" s="2" t="s">
        <v>769</v>
      </c>
      <c r="J720" s="2">
        <v>50000</v>
      </c>
      <c r="K720" s="2" t="s">
        <v>29</v>
      </c>
      <c r="L720" s="2" t="s">
        <v>87</v>
      </c>
    </row>
    <row r="721" spans="1:12" ht="16.2" customHeight="1">
      <c r="A721" s="3" t="s">
        <v>1613</v>
      </c>
      <c r="B721" s="3" t="s">
        <v>783</v>
      </c>
      <c r="C721" s="3">
        <v>8</v>
      </c>
      <c r="D721" s="3" t="s">
        <v>14</v>
      </c>
      <c r="E721" s="3" t="s">
        <v>58</v>
      </c>
      <c r="F721" s="3" t="s">
        <v>42</v>
      </c>
      <c r="G721" s="3" t="s">
        <v>99</v>
      </c>
      <c r="H721" s="3" t="s">
        <v>569</v>
      </c>
      <c r="I721" s="3" t="s">
        <v>793</v>
      </c>
      <c r="J721" s="3">
        <v>75000</v>
      </c>
      <c r="K721" s="3" t="s">
        <v>20</v>
      </c>
      <c r="L721" s="3" t="s">
        <v>87</v>
      </c>
    </row>
    <row r="722" spans="1:12" ht="16.2" customHeight="1">
      <c r="A722" s="2" t="s">
        <v>1614</v>
      </c>
      <c r="B722" s="2" t="s">
        <v>217</v>
      </c>
      <c r="C722" s="2">
        <v>73</v>
      </c>
      <c r="D722" s="2" t="s">
        <v>32</v>
      </c>
      <c r="E722" s="2" t="s">
        <v>58</v>
      </c>
      <c r="F722" s="2" t="s">
        <v>42</v>
      </c>
      <c r="G722" s="2" t="s">
        <v>35</v>
      </c>
      <c r="H722" s="2" t="s">
        <v>1209</v>
      </c>
      <c r="I722" s="2" t="s">
        <v>460</v>
      </c>
      <c r="J722" s="2">
        <v>75000</v>
      </c>
      <c r="K722" s="2" t="s">
        <v>29</v>
      </c>
      <c r="L722" s="2" t="s">
        <v>87</v>
      </c>
    </row>
    <row r="723" spans="1:12" ht="16.2" customHeight="1">
      <c r="A723" s="3" t="s">
        <v>1615</v>
      </c>
      <c r="B723" s="3" t="s">
        <v>162</v>
      </c>
      <c r="C723" s="3">
        <v>90</v>
      </c>
      <c r="D723" s="3" t="s">
        <v>14</v>
      </c>
      <c r="E723" s="3" t="s">
        <v>109</v>
      </c>
      <c r="F723" s="3" t="s">
        <v>76</v>
      </c>
      <c r="G723" s="3" t="s">
        <v>26</v>
      </c>
      <c r="H723" s="3" t="s">
        <v>106</v>
      </c>
      <c r="I723" s="3" t="s">
        <v>696</v>
      </c>
      <c r="J723" s="3">
        <v>15000</v>
      </c>
      <c r="K723" s="3" t="s">
        <v>67</v>
      </c>
      <c r="L723" s="3" t="s">
        <v>55</v>
      </c>
    </row>
    <row r="724" spans="1:12" ht="16.2" customHeight="1">
      <c r="A724" s="2" t="s">
        <v>1616</v>
      </c>
      <c r="B724" s="2" t="s">
        <v>1617</v>
      </c>
      <c r="C724" s="2">
        <v>14</v>
      </c>
      <c r="D724" s="2"/>
      <c r="E724" s="2" t="s">
        <v>52</v>
      </c>
      <c r="F724" s="2" t="s">
        <v>132</v>
      </c>
      <c r="G724" s="2" t="s">
        <v>104</v>
      </c>
      <c r="H724" s="2" t="s">
        <v>1618</v>
      </c>
      <c r="I724" s="2" t="s">
        <v>378</v>
      </c>
      <c r="J724" s="2">
        <v>5000</v>
      </c>
      <c r="K724" s="2" t="s">
        <v>67</v>
      </c>
      <c r="L724" s="2" t="s">
        <v>87</v>
      </c>
    </row>
    <row r="725" spans="1:12" ht="16.2" customHeight="1">
      <c r="A725" s="3" t="s">
        <v>1619</v>
      </c>
      <c r="B725" s="3" t="s">
        <v>346</v>
      </c>
      <c r="C725" s="3">
        <v>86</v>
      </c>
      <c r="D725" s="3" t="s">
        <v>32</v>
      </c>
      <c r="E725" s="3" t="s">
        <v>1620</v>
      </c>
      <c r="F725" s="3" t="s">
        <v>25</v>
      </c>
      <c r="G725" s="3" t="s">
        <v>104</v>
      </c>
      <c r="H725" s="3" t="s">
        <v>562</v>
      </c>
      <c r="I725" s="3" t="s">
        <v>18</v>
      </c>
      <c r="J725" s="3">
        <v>35000</v>
      </c>
      <c r="K725" s="3" t="s">
        <v>29</v>
      </c>
      <c r="L725" s="3" t="s">
        <v>38</v>
      </c>
    </row>
    <row r="726" spans="1:12" ht="16.2" customHeight="1">
      <c r="A726" s="2" t="s">
        <v>1621</v>
      </c>
      <c r="B726" s="2" t="s">
        <v>1588</v>
      </c>
      <c r="C726" s="2"/>
      <c r="D726" s="2" t="s">
        <v>32</v>
      </c>
      <c r="E726" s="2" t="s">
        <v>58</v>
      </c>
      <c r="F726" s="2" t="s">
        <v>42</v>
      </c>
      <c r="G726" s="2" t="s">
        <v>99</v>
      </c>
      <c r="H726" s="2" t="s">
        <v>741</v>
      </c>
      <c r="I726" s="2" t="s">
        <v>933</v>
      </c>
      <c r="J726" s="2">
        <v>12000</v>
      </c>
      <c r="K726" s="2" t="s">
        <v>168</v>
      </c>
      <c r="L726" s="2" t="s">
        <v>87</v>
      </c>
    </row>
    <row r="727" spans="1:12" ht="16.2" customHeight="1">
      <c r="A727" s="3" t="s">
        <v>1622</v>
      </c>
      <c r="B727" s="3" t="s">
        <v>282</v>
      </c>
      <c r="C727" s="3">
        <v>65</v>
      </c>
      <c r="D727" s="3" t="s">
        <v>32</v>
      </c>
      <c r="E727" s="3" t="s">
        <v>85</v>
      </c>
      <c r="F727" s="3" t="s">
        <v>127</v>
      </c>
      <c r="G727" s="3" t="s">
        <v>35</v>
      </c>
      <c r="H727" s="3" t="s">
        <v>209</v>
      </c>
      <c r="I727" s="3" t="s">
        <v>624</v>
      </c>
      <c r="J727" s="3">
        <v>50000</v>
      </c>
      <c r="K727" s="3" t="s">
        <v>20</v>
      </c>
      <c r="L727" s="3" t="s">
        <v>87</v>
      </c>
    </row>
    <row r="728" spans="1:12" ht="16.2" customHeight="1">
      <c r="A728" s="2" t="s">
        <v>1623</v>
      </c>
      <c r="B728" s="2" t="s">
        <v>1624</v>
      </c>
      <c r="C728" s="2">
        <v>6</v>
      </c>
      <c r="D728" s="2" t="s">
        <v>32</v>
      </c>
      <c r="E728" s="2" t="s">
        <v>58</v>
      </c>
      <c r="F728" s="2" t="s">
        <v>132</v>
      </c>
      <c r="G728" s="2" t="s">
        <v>48</v>
      </c>
      <c r="H728" s="2" t="s">
        <v>786</v>
      </c>
      <c r="I728" s="2" t="s">
        <v>123</v>
      </c>
      <c r="J728" s="2">
        <v>15000</v>
      </c>
      <c r="K728" s="2" t="s">
        <v>20</v>
      </c>
      <c r="L728" s="2" t="s">
        <v>21</v>
      </c>
    </row>
    <row r="729" spans="1:12" ht="16.2" customHeight="1">
      <c r="A729" s="3" t="s">
        <v>1625</v>
      </c>
      <c r="B729" s="3" t="s">
        <v>312</v>
      </c>
      <c r="C729" s="3">
        <v>60</v>
      </c>
      <c r="D729" s="3" t="s">
        <v>32</v>
      </c>
      <c r="E729" s="3" t="s">
        <v>70</v>
      </c>
      <c r="F729" s="3" t="s">
        <v>16</v>
      </c>
      <c r="G729" s="3" t="s">
        <v>35</v>
      </c>
      <c r="H729" s="3" t="s">
        <v>1626</v>
      </c>
      <c r="I729" s="3" t="s">
        <v>151</v>
      </c>
      <c r="J729" s="3">
        <v>50000</v>
      </c>
      <c r="K729" s="3" t="s">
        <v>29</v>
      </c>
      <c r="L729" s="3" t="s">
        <v>21</v>
      </c>
    </row>
    <row r="730" spans="1:12" ht="16.2" customHeight="1">
      <c r="A730" s="2" t="s">
        <v>1627</v>
      </c>
      <c r="B730" s="2" t="s">
        <v>1560</v>
      </c>
      <c r="C730" s="2">
        <v>3</v>
      </c>
      <c r="D730" s="2" t="s">
        <v>14</v>
      </c>
      <c r="E730" s="2" t="s">
        <v>15</v>
      </c>
      <c r="F730" s="2" t="s">
        <v>25</v>
      </c>
      <c r="G730" s="2" t="s">
        <v>99</v>
      </c>
      <c r="H730" s="2" t="s">
        <v>451</v>
      </c>
      <c r="I730" s="2" t="s">
        <v>111</v>
      </c>
      <c r="J730" s="2">
        <v>12000</v>
      </c>
      <c r="K730" s="2" t="s">
        <v>29</v>
      </c>
      <c r="L730" s="2" t="s">
        <v>21</v>
      </c>
    </row>
    <row r="731" spans="1:12" ht="16.2" customHeight="1">
      <c r="A731" s="3" t="s">
        <v>1628</v>
      </c>
      <c r="B731" s="3" t="s">
        <v>1050</v>
      </c>
      <c r="C731" s="3">
        <v>80</v>
      </c>
      <c r="D731" s="3" t="s">
        <v>14</v>
      </c>
      <c r="E731" s="3" t="s">
        <v>109</v>
      </c>
      <c r="F731" s="3" t="s">
        <v>127</v>
      </c>
      <c r="G731" s="3" t="s">
        <v>17</v>
      </c>
      <c r="H731" s="3" t="s">
        <v>248</v>
      </c>
      <c r="I731" s="3" t="s">
        <v>382</v>
      </c>
      <c r="J731" s="3">
        <v>8000</v>
      </c>
      <c r="K731" s="3" t="s">
        <v>37</v>
      </c>
      <c r="L731" s="3" t="s">
        <v>55</v>
      </c>
    </row>
    <row r="732" spans="1:12" ht="16.2" customHeight="1">
      <c r="A732" s="2" t="s">
        <v>1629</v>
      </c>
      <c r="B732" s="2" t="s">
        <v>1486</v>
      </c>
      <c r="C732" s="2">
        <v>17</v>
      </c>
      <c r="D732" s="2" t="s">
        <v>32</v>
      </c>
      <c r="E732" s="2" t="s">
        <v>58</v>
      </c>
      <c r="F732" s="2" t="s">
        <v>76</v>
      </c>
      <c r="G732" s="2" t="s">
        <v>35</v>
      </c>
      <c r="H732" s="2" t="s">
        <v>769</v>
      </c>
      <c r="I732" s="2" t="s">
        <v>19</v>
      </c>
      <c r="J732" s="2">
        <v>5000</v>
      </c>
      <c r="K732" s="2" t="s">
        <v>20</v>
      </c>
      <c r="L732" s="2" t="s">
        <v>38</v>
      </c>
    </row>
    <row r="733" spans="1:12" ht="16.2" customHeight="1">
      <c r="A733" s="3" t="s">
        <v>1630</v>
      </c>
      <c r="B733" s="3" t="s">
        <v>883</v>
      </c>
      <c r="C733" s="3">
        <v>34</v>
      </c>
      <c r="D733" s="3" t="s">
        <v>32</v>
      </c>
      <c r="E733" s="3" t="s">
        <v>466</v>
      </c>
      <c r="F733" s="3" t="s">
        <v>42</v>
      </c>
      <c r="G733" s="3" t="s">
        <v>104</v>
      </c>
      <c r="H733" s="3" t="s">
        <v>179</v>
      </c>
      <c r="I733" s="3" t="s">
        <v>1631</v>
      </c>
      <c r="J733" s="3">
        <v>100000</v>
      </c>
      <c r="K733" s="3" t="s">
        <v>20</v>
      </c>
      <c r="L733" s="3" t="s">
        <v>38</v>
      </c>
    </row>
    <row r="734" spans="1:12" ht="16.2" customHeight="1">
      <c r="A734" s="2" t="s">
        <v>1632</v>
      </c>
      <c r="B734" s="2" t="s">
        <v>1633</v>
      </c>
      <c r="C734" s="2">
        <v>49</v>
      </c>
      <c r="D734" s="2" t="s">
        <v>14</v>
      </c>
      <c r="E734" s="2"/>
      <c r="F734" s="2" t="s">
        <v>34</v>
      </c>
      <c r="G734" s="2" t="s">
        <v>17</v>
      </c>
      <c r="H734" s="2" t="s">
        <v>618</v>
      </c>
      <c r="I734" s="2" t="s">
        <v>377</v>
      </c>
      <c r="J734" s="2">
        <v>25000</v>
      </c>
      <c r="K734" s="2" t="s">
        <v>29</v>
      </c>
      <c r="L734" s="2" t="s">
        <v>55</v>
      </c>
    </row>
    <row r="735" spans="1:12" ht="16.2" customHeight="1">
      <c r="A735" s="3" t="s">
        <v>1634</v>
      </c>
      <c r="B735" s="3" t="s">
        <v>748</v>
      </c>
      <c r="C735" s="3">
        <v>17</v>
      </c>
      <c r="D735" s="3" t="s">
        <v>486</v>
      </c>
      <c r="E735" s="3" t="s">
        <v>70</v>
      </c>
      <c r="F735" s="3" t="s">
        <v>16</v>
      </c>
      <c r="G735" s="3" t="s">
        <v>26</v>
      </c>
      <c r="H735" s="3" t="s">
        <v>1258</v>
      </c>
      <c r="I735" s="3" t="s">
        <v>114</v>
      </c>
      <c r="J735" s="3">
        <v>35000</v>
      </c>
      <c r="K735" s="3" t="s">
        <v>20</v>
      </c>
      <c r="L735" s="3" t="s">
        <v>55</v>
      </c>
    </row>
    <row r="736" spans="1:12" ht="16.2" customHeight="1">
      <c r="A736" s="2" t="s">
        <v>1635</v>
      </c>
      <c r="B736" s="2" t="s">
        <v>889</v>
      </c>
      <c r="C736" s="2">
        <v>57</v>
      </c>
      <c r="D736" s="2" t="s">
        <v>32</v>
      </c>
      <c r="E736" s="2" t="s">
        <v>52</v>
      </c>
      <c r="F736" s="2" t="s">
        <v>25</v>
      </c>
      <c r="G736" s="2" t="s">
        <v>99</v>
      </c>
      <c r="H736" s="2" t="s">
        <v>1636</v>
      </c>
      <c r="I736" s="2" t="s">
        <v>610</v>
      </c>
      <c r="J736" s="2">
        <v>100000</v>
      </c>
      <c r="K736" s="2" t="s">
        <v>29</v>
      </c>
      <c r="L736" s="2" t="s">
        <v>21</v>
      </c>
    </row>
    <row r="737" spans="1:12" ht="16.2" customHeight="1">
      <c r="A737" s="3" t="s">
        <v>1637</v>
      </c>
      <c r="B737" s="3" t="s">
        <v>365</v>
      </c>
      <c r="C737" s="3">
        <v>10</v>
      </c>
      <c r="D737" s="3" t="s">
        <v>14</v>
      </c>
      <c r="E737" s="3" t="s">
        <v>85</v>
      </c>
      <c r="F737" s="3" t="s">
        <v>16</v>
      </c>
      <c r="G737" s="3" t="s">
        <v>48</v>
      </c>
      <c r="H737" s="3" t="s">
        <v>159</v>
      </c>
      <c r="I737" s="3" t="s">
        <v>218</v>
      </c>
      <c r="J737" s="3">
        <v>15000</v>
      </c>
      <c r="K737" s="3" t="s">
        <v>67</v>
      </c>
      <c r="L737" s="3" t="s">
        <v>38</v>
      </c>
    </row>
    <row r="738" spans="1:12" ht="16.2" customHeight="1">
      <c r="A738" s="2" t="s">
        <v>1638</v>
      </c>
      <c r="B738" s="2" t="s">
        <v>1639</v>
      </c>
      <c r="C738" s="2">
        <v>24</v>
      </c>
      <c r="D738" s="2" t="s">
        <v>32</v>
      </c>
      <c r="E738" s="2" t="s">
        <v>58</v>
      </c>
      <c r="F738" s="2" t="s">
        <v>183</v>
      </c>
      <c r="G738" s="2" t="s">
        <v>35</v>
      </c>
      <c r="H738" s="2" t="s">
        <v>198</v>
      </c>
      <c r="I738" s="2" t="s">
        <v>330</v>
      </c>
      <c r="J738" s="2">
        <v>100000</v>
      </c>
      <c r="K738" s="2" t="s">
        <v>37</v>
      </c>
      <c r="L738" s="2" t="s">
        <v>38</v>
      </c>
    </row>
    <row r="739" spans="1:12" ht="16.2" customHeight="1">
      <c r="A739" s="3" t="s">
        <v>1640</v>
      </c>
      <c r="B739" s="3" t="s">
        <v>1641</v>
      </c>
      <c r="C739" s="3">
        <v>14</v>
      </c>
      <c r="D739" s="3" t="s">
        <v>32</v>
      </c>
      <c r="E739" s="3" t="s">
        <v>58</v>
      </c>
      <c r="F739" s="3" t="s">
        <v>34</v>
      </c>
      <c r="G739" s="3" t="s">
        <v>53</v>
      </c>
      <c r="H739" s="3" t="s">
        <v>101</v>
      </c>
      <c r="I739" s="3" t="s">
        <v>334</v>
      </c>
      <c r="J739" s="3">
        <v>25000</v>
      </c>
      <c r="K739" s="3" t="s">
        <v>20</v>
      </c>
      <c r="L739" s="3" t="s">
        <v>55</v>
      </c>
    </row>
    <row r="740" spans="1:12" ht="16.2" customHeight="1">
      <c r="A740" s="2" t="s">
        <v>1642</v>
      </c>
      <c r="B740" s="2" t="s">
        <v>1643</v>
      </c>
      <c r="C740" s="2">
        <v>51</v>
      </c>
      <c r="D740" s="2" t="s">
        <v>32</v>
      </c>
      <c r="E740" s="2" t="s">
        <v>70</v>
      </c>
      <c r="F740" s="2" t="s">
        <v>76</v>
      </c>
      <c r="G740" s="2" t="s">
        <v>35</v>
      </c>
      <c r="H740" s="2" t="s">
        <v>926</v>
      </c>
      <c r="I740" s="2" t="s">
        <v>612</v>
      </c>
      <c r="J740" s="2">
        <v>5000</v>
      </c>
      <c r="K740" s="2" t="s">
        <v>168</v>
      </c>
      <c r="L740" s="2" t="s">
        <v>87</v>
      </c>
    </row>
    <row r="741" spans="1:12" ht="16.2" customHeight="1">
      <c r="A741" s="3" t="s">
        <v>1644</v>
      </c>
      <c r="B741" s="3" t="s">
        <v>1645</v>
      </c>
      <c r="C741" s="3">
        <v>64</v>
      </c>
      <c r="D741" s="3" t="s">
        <v>32</v>
      </c>
      <c r="E741" s="3" t="s">
        <v>58</v>
      </c>
      <c r="F741" s="3" t="s">
        <v>34</v>
      </c>
      <c r="G741" s="3" t="s">
        <v>104</v>
      </c>
      <c r="H741" s="3" t="s">
        <v>1017</v>
      </c>
      <c r="I741" s="3" t="s">
        <v>18</v>
      </c>
      <c r="J741" s="3">
        <v>25000</v>
      </c>
      <c r="K741" s="3" t="s">
        <v>37</v>
      </c>
      <c r="L741" s="3" t="s">
        <v>38</v>
      </c>
    </row>
    <row r="742" spans="1:12" ht="16.2" customHeight="1">
      <c r="A742" s="2" t="s">
        <v>1646</v>
      </c>
      <c r="B742" s="2" t="s">
        <v>1481</v>
      </c>
      <c r="C742" s="2">
        <v>1</v>
      </c>
      <c r="D742" s="2" t="s">
        <v>32</v>
      </c>
      <c r="E742" s="2" t="s">
        <v>70</v>
      </c>
      <c r="F742" s="2" t="s">
        <v>16</v>
      </c>
      <c r="G742" s="2" t="s">
        <v>17</v>
      </c>
      <c r="H742" s="2" t="s">
        <v>145</v>
      </c>
      <c r="I742" s="2" t="s">
        <v>138</v>
      </c>
      <c r="J742" s="2">
        <v>15000</v>
      </c>
      <c r="K742" s="2" t="s">
        <v>37</v>
      </c>
      <c r="L742" s="2" t="s">
        <v>87</v>
      </c>
    </row>
    <row r="743" spans="1:12" ht="16.2" customHeight="1">
      <c r="A743" s="3" t="s">
        <v>1647</v>
      </c>
      <c r="B743" s="3" t="s">
        <v>477</v>
      </c>
      <c r="C743" s="3">
        <v>17</v>
      </c>
      <c r="D743" s="3" t="s">
        <v>32</v>
      </c>
      <c r="E743" s="3" t="s">
        <v>52</v>
      </c>
      <c r="F743" s="3" t="s">
        <v>42</v>
      </c>
      <c r="G743" s="3" t="s">
        <v>48</v>
      </c>
      <c r="H743" s="3" t="s">
        <v>202</v>
      </c>
      <c r="I743" s="3" t="s">
        <v>279</v>
      </c>
      <c r="J743" s="3">
        <v>8000</v>
      </c>
      <c r="K743" s="3" t="s">
        <v>37</v>
      </c>
      <c r="L743" s="3" t="s">
        <v>38</v>
      </c>
    </row>
    <row r="744" spans="1:12" ht="16.2" customHeight="1">
      <c r="A744" s="2" t="s">
        <v>1648</v>
      </c>
      <c r="B744" s="2" t="s">
        <v>1649</v>
      </c>
      <c r="C744" s="2">
        <v>43</v>
      </c>
      <c r="D744" s="2" t="s">
        <v>14</v>
      </c>
      <c r="E744" s="2" t="s">
        <v>70</v>
      </c>
      <c r="F744" s="2" t="s">
        <v>422</v>
      </c>
      <c r="G744" s="2" t="s">
        <v>48</v>
      </c>
      <c r="H744" s="2" t="s">
        <v>241</v>
      </c>
      <c r="I744" s="2" t="s">
        <v>1292</v>
      </c>
      <c r="J744" s="2">
        <v>5000</v>
      </c>
      <c r="K744" s="2" t="s">
        <v>37</v>
      </c>
      <c r="L744" s="2" t="s">
        <v>21</v>
      </c>
    </row>
    <row r="745" spans="1:12" ht="16.2" customHeight="1">
      <c r="A745" s="3" t="s">
        <v>1650</v>
      </c>
      <c r="B745" s="3" t="s">
        <v>1651</v>
      </c>
      <c r="C745" s="3">
        <v>6</v>
      </c>
      <c r="D745" s="3" t="s">
        <v>14</v>
      </c>
      <c r="E745" s="3" t="s">
        <v>85</v>
      </c>
      <c r="F745" s="3" t="s">
        <v>34</v>
      </c>
      <c r="G745" s="3" t="s">
        <v>35</v>
      </c>
      <c r="H745" s="3" t="s">
        <v>997</v>
      </c>
      <c r="I745" s="3" t="s">
        <v>499</v>
      </c>
      <c r="J745" s="3">
        <v>25000</v>
      </c>
      <c r="K745" s="3" t="s">
        <v>20</v>
      </c>
      <c r="L745" s="3" t="s">
        <v>55</v>
      </c>
    </row>
    <row r="746" spans="1:12" ht="16.2" customHeight="1">
      <c r="A746" s="2" t="s">
        <v>1652</v>
      </c>
      <c r="B746" s="2" t="s">
        <v>1653</v>
      </c>
      <c r="C746" s="2">
        <v>13</v>
      </c>
      <c r="D746" s="2" t="s">
        <v>690</v>
      </c>
      <c r="E746" s="2" t="s">
        <v>58</v>
      </c>
      <c r="F746" s="2" t="s">
        <v>25</v>
      </c>
      <c r="G746" s="2" t="s">
        <v>35</v>
      </c>
      <c r="H746" s="2" t="s">
        <v>373</v>
      </c>
      <c r="I746" s="2" t="s">
        <v>19</v>
      </c>
      <c r="J746" s="2">
        <v>50000</v>
      </c>
      <c r="K746" s="2" t="s">
        <v>331</v>
      </c>
      <c r="L746" s="2" t="s">
        <v>21</v>
      </c>
    </row>
    <row r="747" spans="1:12" ht="16.2" customHeight="1">
      <c r="A747" s="3" t="s">
        <v>1654</v>
      </c>
      <c r="B747" s="3" t="s">
        <v>291</v>
      </c>
      <c r="C747" s="3">
        <v>84</v>
      </c>
      <c r="D747" s="3" t="s">
        <v>321</v>
      </c>
      <c r="E747" s="3" t="s">
        <v>109</v>
      </c>
      <c r="F747" s="3" t="s">
        <v>16</v>
      </c>
      <c r="G747" s="3" t="s">
        <v>53</v>
      </c>
      <c r="H747" s="3" t="s">
        <v>1655</v>
      </c>
      <c r="I747" s="3" t="s">
        <v>310</v>
      </c>
      <c r="J747" s="3">
        <v>12000</v>
      </c>
      <c r="K747" s="3" t="s">
        <v>37</v>
      </c>
      <c r="L747" s="3" t="s">
        <v>21</v>
      </c>
    </row>
    <row r="748" spans="1:12" ht="16.2" customHeight="1">
      <c r="A748" s="2" t="s">
        <v>1656</v>
      </c>
      <c r="B748" s="2" t="s">
        <v>412</v>
      </c>
      <c r="C748" s="2">
        <v>35</v>
      </c>
      <c r="D748" s="2" t="s">
        <v>14</v>
      </c>
      <c r="E748" s="2" t="s">
        <v>52</v>
      </c>
      <c r="F748" s="2" t="s">
        <v>34</v>
      </c>
      <c r="G748" s="2" t="s">
        <v>35</v>
      </c>
      <c r="H748" s="2" t="s">
        <v>1657</v>
      </c>
      <c r="I748" s="2" t="s">
        <v>223</v>
      </c>
      <c r="J748" s="2">
        <v>15000</v>
      </c>
      <c r="K748" s="2" t="s">
        <v>37</v>
      </c>
      <c r="L748" s="2" t="s">
        <v>38</v>
      </c>
    </row>
    <row r="749" spans="1:12" ht="16.2" customHeight="1">
      <c r="A749" s="3" t="s">
        <v>1658</v>
      </c>
      <c r="B749" s="3" t="s">
        <v>425</v>
      </c>
      <c r="C749" s="3">
        <v>84</v>
      </c>
      <c r="D749" s="3" t="s">
        <v>32</v>
      </c>
      <c r="E749" s="3" t="s">
        <v>85</v>
      </c>
      <c r="F749" s="3" t="s">
        <v>76</v>
      </c>
      <c r="G749" s="3" t="s">
        <v>99</v>
      </c>
      <c r="H749" s="3" t="s">
        <v>416</v>
      </c>
      <c r="I749" s="3" t="s">
        <v>604</v>
      </c>
      <c r="J749" s="3">
        <v>75000</v>
      </c>
      <c r="K749" s="3" t="s">
        <v>20</v>
      </c>
      <c r="L749" s="3" t="s">
        <v>55</v>
      </c>
    </row>
    <row r="750" spans="1:12" ht="16.2" customHeight="1">
      <c r="A750" s="2" t="s">
        <v>1659</v>
      </c>
      <c r="B750" s="2" t="s">
        <v>1257</v>
      </c>
      <c r="C750" s="2">
        <v>-5</v>
      </c>
      <c r="D750" s="2" t="s">
        <v>32</v>
      </c>
      <c r="E750" s="2" t="s">
        <v>52</v>
      </c>
      <c r="F750" s="2" t="s">
        <v>132</v>
      </c>
      <c r="G750" s="2" t="s">
        <v>99</v>
      </c>
      <c r="H750" s="2" t="s">
        <v>292</v>
      </c>
      <c r="I750" s="2" t="s">
        <v>390</v>
      </c>
      <c r="J750" s="2">
        <v>5000</v>
      </c>
      <c r="K750" s="2" t="s">
        <v>67</v>
      </c>
      <c r="L750" s="2" t="s">
        <v>38</v>
      </c>
    </row>
    <row r="751" spans="1:12" ht="16.2" customHeight="1">
      <c r="A751" s="3" t="s">
        <v>1660</v>
      </c>
      <c r="B751" s="3" t="s">
        <v>958</v>
      </c>
      <c r="C751" s="3">
        <v>1</v>
      </c>
      <c r="D751" s="3" t="s">
        <v>14</v>
      </c>
      <c r="E751" s="3" t="s">
        <v>85</v>
      </c>
      <c r="F751" s="3" t="s">
        <v>76</v>
      </c>
      <c r="G751" s="3" t="s">
        <v>99</v>
      </c>
      <c r="H751" s="3" t="s">
        <v>124</v>
      </c>
      <c r="I751" s="3" t="s">
        <v>492</v>
      </c>
      <c r="J751" s="3">
        <v>8000</v>
      </c>
      <c r="K751" s="3" t="s">
        <v>29</v>
      </c>
      <c r="L751" s="3" t="s">
        <v>21</v>
      </c>
    </row>
    <row r="752" spans="1:12" ht="16.2" customHeight="1">
      <c r="A752" s="2" t="s">
        <v>1661</v>
      </c>
      <c r="B752" s="2" t="s">
        <v>1240</v>
      </c>
      <c r="C752" s="2">
        <v>70</v>
      </c>
      <c r="D752" s="2" t="s">
        <v>32</v>
      </c>
      <c r="E752" s="2" t="s">
        <v>33</v>
      </c>
      <c r="F752" s="2" t="s">
        <v>16</v>
      </c>
      <c r="G752" s="2" t="s">
        <v>104</v>
      </c>
      <c r="H752" s="2" t="s">
        <v>1662</v>
      </c>
      <c r="I752" s="2" t="s">
        <v>378</v>
      </c>
      <c r="J752" s="2">
        <v>20000</v>
      </c>
      <c r="K752" s="2" t="s">
        <v>160</v>
      </c>
      <c r="L752" s="2" t="s">
        <v>55</v>
      </c>
    </row>
    <row r="753" spans="1:12" ht="16.2" customHeight="1">
      <c r="A753" s="3" t="s">
        <v>1663</v>
      </c>
      <c r="B753" s="3" t="s">
        <v>897</v>
      </c>
      <c r="C753" s="3">
        <v>46</v>
      </c>
      <c r="D753" s="3" t="s">
        <v>32</v>
      </c>
      <c r="E753" s="3" t="s">
        <v>109</v>
      </c>
      <c r="F753" s="3" t="s">
        <v>573</v>
      </c>
      <c r="G753" s="3" t="s">
        <v>35</v>
      </c>
      <c r="H753" s="3" t="s">
        <v>810</v>
      </c>
      <c r="I753" s="3" t="s">
        <v>884</v>
      </c>
      <c r="J753" s="3">
        <v>20000</v>
      </c>
      <c r="K753" s="3" t="s">
        <v>37</v>
      </c>
      <c r="L753" s="3" t="s">
        <v>38</v>
      </c>
    </row>
    <row r="754" spans="1:12" ht="16.2" customHeight="1">
      <c r="A754" s="2" t="s">
        <v>1664</v>
      </c>
      <c r="B754" s="2" t="s">
        <v>1141</v>
      </c>
      <c r="C754" s="2">
        <v>78</v>
      </c>
      <c r="D754" s="2" t="s">
        <v>14</v>
      </c>
      <c r="E754" s="2" t="s">
        <v>33</v>
      </c>
      <c r="F754" s="2" t="s">
        <v>16</v>
      </c>
      <c r="G754" s="2" t="s">
        <v>104</v>
      </c>
      <c r="H754" s="2" t="s">
        <v>943</v>
      </c>
      <c r="I754" s="2" t="s">
        <v>382</v>
      </c>
      <c r="J754" s="2">
        <v>50000</v>
      </c>
      <c r="K754" s="2" t="s">
        <v>37</v>
      </c>
      <c r="L754" s="2" t="s">
        <v>55</v>
      </c>
    </row>
    <row r="755" spans="1:12" ht="16.2" customHeight="1">
      <c r="A755" s="3" t="s">
        <v>1665</v>
      </c>
      <c r="B755" s="3" t="s">
        <v>1478</v>
      </c>
      <c r="C755" s="3">
        <v>12</v>
      </c>
      <c r="D755" s="3" t="s">
        <v>14</v>
      </c>
      <c r="E755" s="3" t="s">
        <v>33</v>
      </c>
      <c r="F755" s="3" t="s">
        <v>42</v>
      </c>
      <c r="G755" s="3" t="s">
        <v>17</v>
      </c>
      <c r="H755" s="3" t="s">
        <v>236</v>
      </c>
      <c r="I755" s="3" t="s">
        <v>669</v>
      </c>
      <c r="J755" s="3">
        <v>15000</v>
      </c>
      <c r="K755" s="3" t="s">
        <v>20</v>
      </c>
      <c r="L755" s="3" t="s">
        <v>87</v>
      </c>
    </row>
    <row r="756" spans="1:12" ht="16.2" customHeight="1">
      <c r="A756" s="2" t="s">
        <v>1666</v>
      </c>
      <c r="B756" s="2" t="s">
        <v>1360</v>
      </c>
      <c r="C756" s="2">
        <v>80</v>
      </c>
      <c r="D756" s="2" t="s">
        <v>486</v>
      </c>
      <c r="E756" s="2" t="s">
        <v>109</v>
      </c>
      <c r="F756" s="2" t="s">
        <v>42</v>
      </c>
      <c r="G756" s="2" t="s">
        <v>104</v>
      </c>
      <c r="H756" s="2" t="s">
        <v>520</v>
      </c>
      <c r="I756" s="2" t="s">
        <v>390</v>
      </c>
      <c r="J756" s="2">
        <v>5000</v>
      </c>
      <c r="K756" s="2" t="s">
        <v>29</v>
      </c>
      <c r="L756" s="2" t="s">
        <v>38</v>
      </c>
    </row>
    <row r="757" spans="1:12" ht="16.2" customHeight="1">
      <c r="A757" s="3" t="s">
        <v>1667</v>
      </c>
      <c r="B757" s="3" t="s">
        <v>740</v>
      </c>
      <c r="C757" s="3">
        <v>1</v>
      </c>
      <c r="D757" s="3" t="s">
        <v>14</v>
      </c>
      <c r="E757" s="3" t="s">
        <v>15</v>
      </c>
      <c r="F757" s="3" t="s">
        <v>25</v>
      </c>
      <c r="G757" s="3" t="s">
        <v>48</v>
      </c>
      <c r="H757" s="3" t="s">
        <v>95</v>
      </c>
      <c r="I757" s="3" t="s">
        <v>437</v>
      </c>
      <c r="J757" s="3">
        <v>35000</v>
      </c>
      <c r="K757" s="3" t="s">
        <v>20</v>
      </c>
      <c r="L757" s="3" t="s">
        <v>87</v>
      </c>
    </row>
    <row r="758" spans="1:12" ht="16.2" customHeight="1">
      <c r="A758" s="2" t="s">
        <v>1668</v>
      </c>
      <c r="B758" s="2" t="s">
        <v>1267</v>
      </c>
      <c r="C758" s="2">
        <v>-5</v>
      </c>
      <c r="D758" s="2" t="s">
        <v>32</v>
      </c>
      <c r="E758" s="2" t="s">
        <v>109</v>
      </c>
      <c r="F758" s="2" t="s">
        <v>132</v>
      </c>
      <c r="G758" s="2" t="s">
        <v>104</v>
      </c>
      <c r="H758" s="2" t="s">
        <v>793</v>
      </c>
      <c r="I758" s="2" t="s">
        <v>218</v>
      </c>
      <c r="J758" s="2">
        <v>12000</v>
      </c>
      <c r="K758" s="2" t="s">
        <v>168</v>
      </c>
      <c r="L758" s="2" t="s">
        <v>87</v>
      </c>
    </row>
    <row r="759" spans="1:12" ht="16.2" customHeight="1">
      <c r="A759" s="3" t="s">
        <v>1669</v>
      </c>
      <c r="B759" s="3" t="s">
        <v>1670</v>
      </c>
      <c r="C759" s="3">
        <v>31</v>
      </c>
      <c r="D759" s="3" t="s">
        <v>32</v>
      </c>
      <c r="E759" s="3" t="s">
        <v>15</v>
      </c>
      <c r="F759" s="3" t="s">
        <v>16</v>
      </c>
      <c r="G759" s="3" t="s">
        <v>99</v>
      </c>
      <c r="H759" s="3" t="s">
        <v>305</v>
      </c>
      <c r="I759" s="3" t="s">
        <v>237</v>
      </c>
      <c r="J759" s="3">
        <v>8000</v>
      </c>
      <c r="K759" s="3" t="s">
        <v>67</v>
      </c>
      <c r="L759" s="3" t="s">
        <v>87</v>
      </c>
    </row>
    <row r="760" spans="1:12" ht="16.2" customHeight="1">
      <c r="A760" s="2" t="s">
        <v>1671</v>
      </c>
      <c r="B760" s="2" t="s">
        <v>1369</v>
      </c>
      <c r="C760" s="2">
        <v>46</v>
      </c>
      <c r="D760" s="2" t="s">
        <v>14</v>
      </c>
      <c r="E760" s="2" t="s">
        <v>443</v>
      </c>
      <c r="F760" s="2" t="s">
        <v>42</v>
      </c>
      <c r="G760" s="2" t="s">
        <v>53</v>
      </c>
      <c r="H760" s="2" t="s">
        <v>1187</v>
      </c>
      <c r="I760" s="2" t="s">
        <v>520</v>
      </c>
      <c r="J760" s="2">
        <v>20000</v>
      </c>
      <c r="K760" s="2" t="s">
        <v>20</v>
      </c>
      <c r="L760" s="2" t="s">
        <v>55</v>
      </c>
    </row>
    <row r="761" spans="1:12" ht="16.2" customHeight="1">
      <c r="A761" s="3" t="s">
        <v>1672</v>
      </c>
      <c r="B761" s="3" t="s">
        <v>432</v>
      </c>
      <c r="C761" s="3">
        <v>47</v>
      </c>
      <c r="D761" s="3" t="s">
        <v>14</v>
      </c>
      <c r="E761" s="3" t="s">
        <v>52</v>
      </c>
      <c r="F761" s="3" t="s">
        <v>42</v>
      </c>
      <c r="G761" s="3" t="s">
        <v>53</v>
      </c>
      <c r="H761" s="3" t="s">
        <v>54</v>
      </c>
      <c r="I761" s="3" t="s">
        <v>288</v>
      </c>
      <c r="J761" s="3">
        <v>35000</v>
      </c>
      <c r="K761" s="3" t="s">
        <v>37</v>
      </c>
      <c r="L761" s="3" t="s">
        <v>55</v>
      </c>
    </row>
    <row r="762" spans="1:12" ht="16.2" customHeight="1">
      <c r="A762" s="2" t="s">
        <v>1673</v>
      </c>
      <c r="B762" s="2" t="s">
        <v>193</v>
      </c>
      <c r="C762" s="2">
        <v>39</v>
      </c>
      <c r="D762" s="2" t="s">
        <v>32</v>
      </c>
      <c r="E762" s="2" t="s">
        <v>70</v>
      </c>
      <c r="F762" s="2" t="s">
        <v>16</v>
      </c>
      <c r="G762" s="2" t="s">
        <v>104</v>
      </c>
      <c r="H762" s="2" t="s">
        <v>1042</v>
      </c>
      <c r="I762" s="2" t="s">
        <v>960</v>
      </c>
      <c r="J762" s="2">
        <v>25000</v>
      </c>
      <c r="K762" s="2" t="s">
        <v>350</v>
      </c>
      <c r="L762" s="2" t="s">
        <v>87</v>
      </c>
    </row>
    <row r="763" spans="1:12" ht="16.2" customHeight="1">
      <c r="A763" s="3" t="s">
        <v>1674</v>
      </c>
      <c r="B763" s="3" t="s">
        <v>1675</v>
      </c>
      <c r="C763" s="3">
        <v>37</v>
      </c>
      <c r="D763" s="3" t="s">
        <v>299</v>
      </c>
      <c r="E763" s="3" t="s">
        <v>58</v>
      </c>
      <c r="F763" s="3" t="s">
        <v>34</v>
      </c>
      <c r="G763" s="3" t="s">
        <v>104</v>
      </c>
      <c r="H763" s="3" t="s">
        <v>715</v>
      </c>
      <c r="I763" s="3" t="s">
        <v>145</v>
      </c>
      <c r="J763" s="3">
        <v>50000</v>
      </c>
      <c r="K763" s="3" t="s">
        <v>20</v>
      </c>
      <c r="L763" s="3" t="s">
        <v>55</v>
      </c>
    </row>
    <row r="764" spans="1:12" ht="16.2" customHeight="1">
      <c r="A764" s="2" t="s">
        <v>1676</v>
      </c>
      <c r="B764" s="2" t="s">
        <v>1151</v>
      </c>
      <c r="C764" s="2">
        <v>26</v>
      </c>
      <c r="D764" s="2" t="s">
        <v>32</v>
      </c>
      <c r="E764" s="2" t="s">
        <v>33</v>
      </c>
      <c r="F764" s="2" t="s">
        <v>34</v>
      </c>
      <c r="G764" s="2" t="s">
        <v>17</v>
      </c>
      <c r="H764" s="2" t="s">
        <v>423</v>
      </c>
      <c r="I764" s="2" t="s">
        <v>974</v>
      </c>
      <c r="J764" s="2">
        <v>50000</v>
      </c>
      <c r="K764" s="2" t="s">
        <v>29</v>
      </c>
      <c r="L764" s="2" t="s">
        <v>21</v>
      </c>
    </row>
    <row r="765" spans="1:12" ht="16.2" customHeight="1">
      <c r="A765" s="3" t="s">
        <v>1677</v>
      </c>
      <c r="B765" s="3" t="s">
        <v>1474</v>
      </c>
      <c r="C765" s="3">
        <v>51</v>
      </c>
      <c r="D765" s="3" t="s">
        <v>14</v>
      </c>
      <c r="E765" s="3" t="s">
        <v>85</v>
      </c>
      <c r="F765" s="3" t="s">
        <v>25</v>
      </c>
      <c r="G765" s="3" t="s">
        <v>17</v>
      </c>
      <c r="H765" s="3" t="s">
        <v>1330</v>
      </c>
      <c r="I765" s="3" t="s">
        <v>1291</v>
      </c>
      <c r="J765" s="3">
        <v>75000</v>
      </c>
      <c r="K765" s="3" t="s">
        <v>20</v>
      </c>
      <c r="L765" s="3" t="s">
        <v>21</v>
      </c>
    </row>
    <row r="766" spans="1:12" ht="16.2" customHeight="1">
      <c r="A766" s="2" t="s">
        <v>1678</v>
      </c>
      <c r="B766" s="2" t="s">
        <v>1003</v>
      </c>
      <c r="C766" s="2">
        <v>85</v>
      </c>
      <c r="D766" s="2" t="s">
        <v>32</v>
      </c>
      <c r="E766" s="2" t="s">
        <v>109</v>
      </c>
      <c r="F766" s="2" t="s">
        <v>76</v>
      </c>
      <c r="G766" s="2" t="s">
        <v>35</v>
      </c>
      <c r="H766" s="2" t="s">
        <v>269</v>
      </c>
      <c r="I766" s="2" t="s">
        <v>659</v>
      </c>
      <c r="J766" s="2">
        <v>5000</v>
      </c>
      <c r="K766" s="2" t="s">
        <v>20</v>
      </c>
      <c r="L766" s="2" t="s">
        <v>38</v>
      </c>
    </row>
    <row r="767" spans="1:12" ht="16.2" customHeight="1">
      <c r="A767" s="3" t="s">
        <v>1679</v>
      </c>
      <c r="B767" s="3" t="s">
        <v>1680</v>
      </c>
      <c r="C767" s="3">
        <v>30</v>
      </c>
      <c r="D767" s="3" t="s">
        <v>32</v>
      </c>
      <c r="E767" s="3" t="s">
        <v>85</v>
      </c>
      <c r="F767" s="3" t="s">
        <v>16</v>
      </c>
      <c r="G767" s="3" t="s">
        <v>35</v>
      </c>
      <c r="H767" s="3" t="s">
        <v>873</v>
      </c>
      <c r="I767" s="3" t="s">
        <v>524</v>
      </c>
      <c r="J767" s="3">
        <v>35000</v>
      </c>
      <c r="K767" s="3" t="s">
        <v>37</v>
      </c>
      <c r="L767" s="3" t="s">
        <v>55</v>
      </c>
    </row>
    <row r="768" spans="1:12" ht="16.2" customHeight="1">
      <c r="A768" s="2" t="s">
        <v>1681</v>
      </c>
      <c r="B768" s="2" t="s">
        <v>700</v>
      </c>
      <c r="C768" s="2">
        <v>88</v>
      </c>
      <c r="D768" s="2" t="s">
        <v>32</v>
      </c>
      <c r="E768" s="2" t="s">
        <v>70</v>
      </c>
      <c r="F768" s="2" t="s">
        <v>25</v>
      </c>
      <c r="G768" s="2" t="s">
        <v>99</v>
      </c>
      <c r="H768" s="2" t="s">
        <v>163</v>
      </c>
      <c r="I768" s="2" t="s">
        <v>577</v>
      </c>
      <c r="J768" s="2">
        <v>20000</v>
      </c>
      <c r="K768" s="2" t="s">
        <v>29</v>
      </c>
      <c r="L768" s="2" t="s">
        <v>55</v>
      </c>
    </row>
    <row r="769" spans="1:12" ht="16.2" customHeight="1">
      <c r="A769" s="3" t="s">
        <v>1682</v>
      </c>
      <c r="B769" s="3" t="s">
        <v>1683</v>
      </c>
      <c r="C769" s="3">
        <v>33</v>
      </c>
      <c r="D769" s="3" t="s">
        <v>14</v>
      </c>
      <c r="E769" s="3" t="s">
        <v>109</v>
      </c>
      <c r="F769" s="3" t="s">
        <v>132</v>
      </c>
      <c r="G769" s="3" t="s">
        <v>17</v>
      </c>
      <c r="H769" s="3" t="s">
        <v>1099</v>
      </c>
      <c r="I769" s="3" t="s">
        <v>650</v>
      </c>
      <c r="J769" s="3">
        <v>25000</v>
      </c>
      <c r="K769" s="3" t="s">
        <v>67</v>
      </c>
      <c r="L769" s="3" t="s">
        <v>55</v>
      </c>
    </row>
    <row r="770" spans="1:12" ht="16.2" customHeight="1">
      <c r="A770" s="2" t="s">
        <v>1684</v>
      </c>
      <c r="B770" s="2" t="s">
        <v>582</v>
      </c>
      <c r="C770" s="2">
        <v>22</v>
      </c>
      <c r="D770" s="2" t="s">
        <v>338</v>
      </c>
      <c r="E770" s="2" t="s">
        <v>70</v>
      </c>
      <c r="F770" s="2" t="s">
        <v>34</v>
      </c>
      <c r="G770" s="2" t="s">
        <v>53</v>
      </c>
      <c r="H770" s="2" t="s">
        <v>382</v>
      </c>
      <c r="I770" s="2" t="s">
        <v>185</v>
      </c>
      <c r="J770" s="2">
        <v>25000</v>
      </c>
      <c r="K770" s="2" t="s">
        <v>29</v>
      </c>
      <c r="L770" s="2" t="s">
        <v>21</v>
      </c>
    </row>
    <row r="771" spans="1:12" ht="16.2" customHeight="1">
      <c r="A771" s="3" t="s">
        <v>1685</v>
      </c>
      <c r="B771" s="3" t="s">
        <v>494</v>
      </c>
      <c r="C771" s="3">
        <v>20</v>
      </c>
      <c r="D771" s="3" t="s">
        <v>32</v>
      </c>
      <c r="E771" s="3" t="s">
        <v>109</v>
      </c>
      <c r="F771" s="3" t="s">
        <v>25</v>
      </c>
      <c r="G771" s="3" t="s">
        <v>53</v>
      </c>
      <c r="H771" s="3" t="s">
        <v>100</v>
      </c>
      <c r="I771" s="3" t="s">
        <v>1320</v>
      </c>
      <c r="J771" s="3">
        <v>75000</v>
      </c>
      <c r="K771" s="3" t="s">
        <v>37</v>
      </c>
      <c r="L771" s="3" t="s">
        <v>38</v>
      </c>
    </row>
    <row r="772" spans="1:12" ht="16.2" customHeight="1">
      <c r="A772" s="2" t="s">
        <v>1686</v>
      </c>
      <c r="B772" s="2" t="s">
        <v>1448</v>
      </c>
      <c r="C772" s="2">
        <v>21</v>
      </c>
      <c r="D772" s="2" t="s">
        <v>14</v>
      </c>
      <c r="E772" s="2" t="s">
        <v>140</v>
      </c>
      <c r="F772" s="2" t="s">
        <v>42</v>
      </c>
      <c r="G772" s="2" t="s">
        <v>17</v>
      </c>
      <c r="H772" s="2" t="s">
        <v>574</v>
      </c>
      <c r="I772" s="2" t="s">
        <v>1687</v>
      </c>
      <c r="J772" s="2">
        <v>35000</v>
      </c>
      <c r="K772" s="2" t="s">
        <v>20</v>
      </c>
      <c r="L772" s="2" t="s">
        <v>55</v>
      </c>
    </row>
    <row r="773" spans="1:12" ht="16.2" customHeight="1">
      <c r="A773" s="3" t="s">
        <v>1688</v>
      </c>
      <c r="B773" s="3" t="s">
        <v>609</v>
      </c>
      <c r="C773" s="3">
        <v>63</v>
      </c>
      <c r="D773" s="3" t="s">
        <v>14</v>
      </c>
      <c r="E773" s="3" t="s">
        <v>52</v>
      </c>
      <c r="F773" s="3" t="s">
        <v>127</v>
      </c>
      <c r="G773" s="3" t="s">
        <v>26</v>
      </c>
      <c r="H773" s="3" t="s">
        <v>314</v>
      </c>
      <c r="I773" s="3" t="s">
        <v>810</v>
      </c>
      <c r="J773" s="3">
        <v>20000</v>
      </c>
      <c r="K773" s="3" t="s">
        <v>37</v>
      </c>
      <c r="L773" s="3" t="s">
        <v>87</v>
      </c>
    </row>
    <row r="774" spans="1:12" ht="16.2" customHeight="1">
      <c r="A774" s="2" t="s">
        <v>1689</v>
      </c>
      <c r="B774" s="2" t="s">
        <v>1314</v>
      </c>
      <c r="C774" s="2">
        <v>9</v>
      </c>
      <c r="D774" s="2" t="s">
        <v>32</v>
      </c>
      <c r="E774" s="2" t="s">
        <v>52</v>
      </c>
      <c r="F774" s="2" t="s">
        <v>42</v>
      </c>
      <c r="G774" s="2" t="s">
        <v>104</v>
      </c>
      <c r="H774" s="2" t="s">
        <v>662</v>
      </c>
      <c r="I774" s="2" t="s">
        <v>583</v>
      </c>
      <c r="J774" s="2">
        <v>8000</v>
      </c>
      <c r="K774" s="2" t="s">
        <v>37</v>
      </c>
      <c r="L774" s="2" t="s">
        <v>87</v>
      </c>
    </row>
    <row r="775" spans="1:12" ht="16.2" customHeight="1">
      <c r="A775" s="3" t="s">
        <v>1690</v>
      </c>
      <c r="B775" s="3" t="s">
        <v>369</v>
      </c>
      <c r="C775" s="3">
        <v>67</v>
      </c>
      <c r="D775" s="3" t="s">
        <v>14</v>
      </c>
      <c r="E775" s="3" t="s">
        <v>15</v>
      </c>
      <c r="F775" s="3" t="s">
        <v>132</v>
      </c>
      <c r="G775" s="3" t="s">
        <v>26</v>
      </c>
      <c r="H775" s="3" t="s">
        <v>499</v>
      </c>
      <c r="I775" s="3" t="s">
        <v>106</v>
      </c>
      <c r="J775" s="3">
        <v>100000</v>
      </c>
      <c r="K775" s="3" t="s">
        <v>67</v>
      </c>
      <c r="L775" s="3" t="s">
        <v>55</v>
      </c>
    </row>
    <row r="776" spans="1:12" ht="16.2" customHeight="1">
      <c r="A776" s="2" t="s">
        <v>1691</v>
      </c>
      <c r="B776" s="2" t="s">
        <v>1692</v>
      </c>
      <c r="C776" s="2">
        <v>10</v>
      </c>
      <c r="D776" s="2" t="s">
        <v>14</v>
      </c>
      <c r="E776" s="2" t="s">
        <v>109</v>
      </c>
      <c r="F776" s="2" t="s">
        <v>16</v>
      </c>
      <c r="G776" s="2" t="s">
        <v>53</v>
      </c>
      <c r="H776" s="2" t="s">
        <v>1693</v>
      </c>
      <c r="I776" s="2" t="s">
        <v>36</v>
      </c>
      <c r="J776" s="2">
        <v>15000</v>
      </c>
      <c r="K776" s="2" t="s">
        <v>20</v>
      </c>
      <c r="L776" s="2" t="s">
        <v>87</v>
      </c>
    </row>
    <row r="777" spans="1:12" ht="16.2" customHeight="1">
      <c r="A777" s="3" t="s">
        <v>1694</v>
      </c>
      <c r="B777" s="3" t="s">
        <v>883</v>
      </c>
      <c r="C777" s="3">
        <v>15</v>
      </c>
      <c r="D777" s="3" t="s">
        <v>14</v>
      </c>
      <c r="E777" s="3" t="s">
        <v>109</v>
      </c>
      <c r="F777" s="3" t="s">
        <v>34</v>
      </c>
      <c r="G777" s="3" t="s">
        <v>48</v>
      </c>
      <c r="H777" s="3" t="s">
        <v>754</v>
      </c>
      <c r="I777" s="3" t="s">
        <v>793</v>
      </c>
      <c r="J777" s="3">
        <v>35000</v>
      </c>
      <c r="K777" s="3" t="s">
        <v>20</v>
      </c>
      <c r="L777" s="3" t="s">
        <v>87</v>
      </c>
    </row>
    <row r="778" spans="1:12" ht="16.2" customHeight="1">
      <c r="A778" s="2" t="s">
        <v>1695</v>
      </c>
      <c r="B778" s="2" t="s">
        <v>1696</v>
      </c>
      <c r="C778" s="2">
        <v>70</v>
      </c>
      <c r="D778" s="2" t="s">
        <v>32</v>
      </c>
      <c r="E778" s="2" t="s">
        <v>70</v>
      </c>
      <c r="F778" s="2" t="s">
        <v>16</v>
      </c>
      <c r="G778" s="2" t="s">
        <v>53</v>
      </c>
      <c r="H778" s="2" t="s">
        <v>650</v>
      </c>
      <c r="I778" s="2" t="s">
        <v>44</v>
      </c>
      <c r="J778" s="2">
        <v>15000</v>
      </c>
      <c r="K778" s="2" t="s">
        <v>67</v>
      </c>
      <c r="L778" s="2" t="s">
        <v>87</v>
      </c>
    </row>
    <row r="779" spans="1:12" ht="16.2" customHeight="1">
      <c r="A779" s="3" t="s">
        <v>1697</v>
      </c>
      <c r="B779" s="3" t="s">
        <v>711</v>
      </c>
      <c r="C779" s="3">
        <v>15</v>
      </c>
      <c r="D779" s="3" t="s">
        <v>14</v>
      </c>
      <c r="E779" s="3" t="s">
        <v>109</v>
      </c>
      <c r="F779" s="3" t="s">
        <v>42</v>
      </c>
      <c r="G779" s="3" t="s">
        <v>17</v>
      </c>
      <c r="H779" s="3" t="s">
        <v>591</v>
      </c>
      <c r="I779" s="3" t="s">
        <v>535</v>
      </c>
      <c r="J779" s="3">
        <v>50000</v>
      </c>
      <c r="K779" s="3" t="s">
        <v>37</v>
      </c>
      <c r="L779" s="3" t="s">
        <v>87</v>
      </c>
    </row>
    <row r="780" spans="1:12" ht="16.2" customHeight="1">
      <c r="A780" s="2" t="s">
        <v>1698</v>
      </c>
      <c r="B780" s="2" t="s">
        <v>1699</v>
      </c>
      <c r="C780" s="2">
        <v>86</v>
      </c>
      <c r="D780" s="2" t="s">
        <v>32</v>
      </c>
      <c r="E780" s="2" t="s">
        <v>70</v>
      </c>
      <c r="F780" s="2" t="s">
        <v>132</v>
      </c>
      <c r="G780" s="2" t="s">
        <v>53</v>
      </c>
      <c r="H780" s="2" t="s">
        <v>1039</v>
      </c>
      <c r="I780" s="2" t="s">
        <v>933</v>
      </c>
      <c r="J780" s="2">
        <v>35000</v>
      </c>
      <c r="K780" s="2" t="s">
        <v>20</v>
      </c>
      <c r="L780" s="2" t="s">
        <v>87</v>
      </c>
    </row>
    <row r="781" spans="1:12" ht="16.2" customHeight="1">
      <c r="A781" s="3" t="s">
        <v>1700</v>
      </c>
      <c r="B781" s="3" t="s">
        <v>1639</v>
      </c>
      <c r="C781" s="3">
        <v>9</v>
      </c>
      <c r="D781" s="3" t="s">
        <v>32</v>
      </c>
      <c r="E781" s="3" t="s">
        <v>70</v>
      </c>
      <c r="F781" s="3" t="s">
        <v>16</v>
      </c>
      <c r="G781" s="3" t="s">
        <v>26</v>
      </c>
      <c r="H781" s="3" t="s">
        <v>1015</v>
      </c>
      <c r="I781" s="3" t="s">
        <v>1209</v>
      </c>
      <c r="J781" s="3">
        <v>20000</v>
      </c>
      <c r="K781" s="3" t="s">
        <v>37</v>
      </c>
      <c r="L781" s="3" t="s">
        <v>55</v>
      </c>
    </row>
    <row r="782" spans="1:12" ht="16.2" customHeight="1">
      <c r="A782" s="2" t="s">
        <v>1700</v>
      </c>
      <c r="B782" s="2" t="s">
        <v>1639</v>
      </c>
      <c r="C782" s="2">
        <v>9</v>
      </c>
      <c r="D782" s="2" t="s">
        <v>32</v>
      </c>
      <c r="E782" s="2" t="s">
        <v>70</v>
      </c>
      <c r="F782" s="2" t="s">
        <v>16</v>
      </c>
      <c r="G782" s="2" t="s">
        <v>26</v>
      </c>
      <c r="H782" s="2" t="s">
        <v>1015</v>
      </c>
      <c r="I782" s="2" t="s">
        <v>1209</v>
      </c>
      <c r="J782" s="2">
        <v>20000</v>
      </c>
      <c r="K782" s="2" t="s">
        <v>37</v>
      </c>
      <c r="L782" s="2" t="s">
        <v>55</v>
      </c>
    </row>
    <row r="783" spans="1:12" ht="16.2" customHeight="1">
      <c r="A783" s="3" t="s">
        <v>1701</v>
      </c>
      <c r="B783" s="3" t="s">
        <v>1001</v>
      </c>
      <c r="C783" s="3">
        <v>71</v>
      </c>
      <c r="D783" s="3" t="s">
        <v>32</v>
      </c>
      <c r="E783" s="3" t="s">
        <v>52</v>
      </c>
      <c r="F783" s="3" t="s">
        <v>25</v>
      </c>
      <c r="G783" s="3" t="s">
        <v>53</v>
      </c>
      <c r="H783" s="3" t="s">
        <v>166</v>
      </c>
      <c r="I783" s="3" t="s">
        <v>842</v>
      </c>
      <c r="J783" s="3">
        <v>15000</v>
      </c>
      <c r="K783" s="3" t="s">
        <v>37</v>
      </c>
      <c r="L783" s="3" t="s">
        <v>21</v>
      </c>
    </row>
    <row r="784" spans="1:12" ht="16.2" customHeight="1">
      <c r="A784" s="2" t="s">
        <v>1702</v>
      </c>
      <c r="B784" s="2" t="s">
        <v>633</v>
      </c>
      <c r="C784" s="2"/>
      <c r="D784" s="2" t="s">
        <v>14</v>
      </c>
      <c r="E784" s="2" t="s">
        <v>15</v>
      </c>
      <c r="F784" s="2" t="s">
        <v>25</v>
      </c>
      <c r="G784" s="2" t="s">
        <v>99</v>
      </c>
      <c r="H784" s="2" t="s">
        <v>789</v>
      </c>
      <c r="I784" s="2" t="s">
        <v>226</v>
      </c>
      <c r="J784" s="2">
        <v>15000</v>
      </c>
      <c r="K784" s="2" t="s">
        <v>37</v>
      </c>
      <c r="L784" s="2" t="s">
        <v>21</v>
      </c>
    </row>
    <row r="785" spans="1:12" ht="16.2" customHeight="1">
      <c r="A785" s="3" t="s">
        <v>1703</v>
      </c>
      <c r="B785" s="3" t="s">
        <v>282</v>
      </c>
      <c r="C785" s="3">
        <v>3</v>
      </c>
      <c r="D785" s="3" t="s">
        <v>32</v>
      </c>
      <c r="E785" s="3" t="s">
        <v>117</v>
      </c>
      <c r="F785" s="3" t="s">
        <v>16</v>
      </c>
      <c r="G785" s="3" t="s">
        <v>35</v>
      </c>
      <c r="H785" s="3" t="s">
        <v>86</v>
      </c>
      <c r="I785" s="3" t="s">
        <v>194</v>
      </c>
      <c r="J785" s="3">
        <v>15000</v>
      </c>
      <c r="K785" s="3" t="s">
        <v>37</v>
      </c>
      <c r="L785" s="3" t="s">
        <v>55</v>
      </c>
    </row>
    <row r="786" spans="1:12" ht="16.2" customHeight="1">
      <c r="A786" s="2" t="s">
        <v>1704</v>
      </c>
      <c r="B786" s="2" t="s">
        <v>1586</v>
      </c>
      <c r="C786" s="2">
        <v>76</v>
      </c>
      <c r="D786" s="2" t="s">
        <v>14</v>
      </c>
      <c r="E786" s="2" t="s">
        <v>58</v>
      </c>
      <c r="F786" s="2" t="s">
        <v>25</v>
      </c>
      <c r="G786" s="2" t="s">
        <v>48</v>
      </c>
      <c r="H786" s="2" t="s">
        <v>588</v>
      </c>
      <c r="I786" s="2" t="s">
        <v>172</v>
      </c>
      <c r="J786" s="2">
        <v>8000</v>
      </c>
      <c r="K786" s="2" t="s">
        <v>20</v>
      </c>
      <c r="L786" s="2" t="s">
        <v>38</v>
      </c>
    </row>
    <row r="787" spans="1:12" ht="16.2" customHeight="1">
      <c r="A787" s="3" t="s">
        <v>1705</v>
      </c>
      <c r="B787" s="3" t="s">
        <v>537</v>
      </c>
      <c r="C787" s="3">
        <v>42</v>
      </c>
      <c r="D787" s="3" t="s">
        <v>14</v>
      </c>
      <c r="E787" s="3" t="s">
        <v>109</v>
      </c>
      <c r="F787" s="3" t="s">
        <v>16</v>
      </c>
      <c r="G787" s="3" t="s">
        <v>53</v>
      </c>
      <c r="H787" s="3" t="s">
        <v>1706</v>
      </c>
      <c r="I787" s="3" t="s">
        <v>1707</v>
      </c>
      <c r="J787" s="3">
        <v>5000</v>
      </c>
      <c r="K787" s="3" t="s">
        <v>29</v>
      </c>
      <c r="L787" s="3" t="s">
        <v>55</v>
      </c>
    </row>
    <row r="788" spans="1:12" ht="16.2" customHeight="1">
      <c r="A788" s="2" t="s">
        <v>1708</v>
      </c>
      <c r="B788" s="2" t="s">
        <v>637</v>
      </c>
      <c r="C788" s="2">
        <v>20</v>
      </c>
      <c r="D788" s="2" t="s">
        <v>14</v>
      </c>
      <c r="E788" s="2" t="s">
        <v>70</v>
      </c>
      <c r="F788" s="2" t="s">
        <v>42</v>
      </c>
      <c r="G788" s="2" t="s">
        <v>53</v>
      </c>
      <c r="H788" s="2" t="s">
        <v>273</v>
      </c>
      <c r="I788" s="2" t="s">
        <v>163</v>
      </c>
      <c r="J788" s="2">
        <v>25000</v>
      </c>
      <c r="K788" s="2" t="s">
        <v>350</v>
      </c>
      <c r="L788" s="2" t="s">
        <v>55</v>
      </c>
    </row>
    <row r="789" spans="1:12" ht="16.2" customHeight="1">
      <c r="A789" s="3" t="s">
        <v>1709</v>
      </c>
      <c r="B789" s="3" t="s">
        <v>1710</v>
      </c>
      <c r="C789" s="3">
        <v>5</v>
      </c>
      <c r="D789" s="3" t="s">
        <v>14</v>
      </c>
      <c r="E789" s="3" t="s">
        <v>58</v>
      </c>
      <c r="F789" s="3" t="s">
        <v>42</v>
      </c>
      <c r="G789" s="3" t="s">
        <v>17</v>
      </c>
      <c r="H789" s="3" t="s">
        <v>786</v>
      </c>
      <c r="I789" s="3" t="s">
        <v>123</v>
      </c>
      <c r="J789" s="3">
        <v>25000</v>
      </c>
      <c r="K789" s="3" t="s">
        <v>20</v>
      </c>
      <c r="L789" s="3" t="s">
        <v>38</v>
      </c>
    </row>
    <row r="790" spans="1:12" ht="16.2" customHeight="1">
      <c r="A790" s="2" t="s">
        <v>1711</v>
      </c>
      <c r="B790" s="2" t="s">
        <v>1712</v>
      </c>
      <c r="C790" s="2">
        <v>-5</v>
      </c>
      <c r="D790" s="2" t="s">
        <v>486</v>
      </c>
      <c r="E790" s="2" t="s">
        <v>109</v>
      </c>
      <c r="F790" s="2" t="s">
        <v>127</v>
      </c>
      <c r="G790" s="2" t="s">
        <v>99</v>
      </c>
      <c r="H790" s="2" t="s">
        <v>588</v>
      </c>
      <c r="I790" s="2" t="s">
        <v>101</v>
      </c>
      <c r="J790" s="2">
        <v>35000</v>
      </c>
      <c r="K790" s="2" t="s">
        <v>20</v>
      </c>
      <c r="L790" s="2" t="s">
        <v>55</v>
      </c>
    </row>
    <row r="791" spans="1:12" ht="16.2" customHeight="1">
      <c r="A791" s="3" t="s">
        <v>1713</v>
      </c>
      <c r="B791" s="3" t="s">
        <v>501</v>
      </c>
      <c r="C791" s="3">
        <v>10</v>
      </c>
      <c r="D791" s="3" t="s">
        <v>14</v>
      </c>
      <c r="E791" s="3" t="s">
        <v>109</v>
      </c>
      <c r="F791" s="3" t="s">
        <v>127</v>
      </c>
      <c r="G791" s="3" t="s">
        <v>48</v>
      </c>
      <c r="H791" s="3" t="s">
        <v>163</v>
      </c>
      <c r="I791" s="3" t="s">
        <v>498</v>
      </c>
      <c r="J791" s="3">
        <v>50000</v>
      </c>
      <c r="K791" s="3" t="s">
        <v>67</v>
      </c>
      <c r="L791" s="3" t="s">
        <v>21</v>
      </c>
    </row>
    <row r="792" spans="1:12" ht="16.2" customHeight="1">
      <c r="A792" s="2" t="s">
        <v>1714</v>
      </c>
      <c r="B792" s="2" t="s">
        <v>1064</v>
      </c>
      <c r="C792" s="2">
        <v>11</v>
      </c>
      <c r="D792" s="2" t="s">
        <v>14</v>
      </c>
      <c r="E792" s="2" t="s">
        <v>58</v>
      </c>
      <c r="F792" s="2" t="s">
        <v>34</v>
      </c>
      <c r="G792" s="2" t="s">
        <v>17</v>
      </c>
      <c r="H792" s="2" t="s">
        <v>448</v>
      </c>
      <c r="I792" s="2" t="s">
        <v>729</v>
      </c>
      <c r="J792" s="2">
        <v>25000</v>
      </c>
      <c r="K792" s="2" t="s">
        <v>29</v>
      </c>
      <c r="L792" s="2"/>
    </row>
    <row r="793" spans="1:12" ht="16.2" customHeight="1">
      <c r="A793" s="3" t="s">
        <v>1715</v>
      </c>
      <c r="B793" s="3" t="s">
        <v>914</v>
      </c>
      <c r="C793" s="3">
        <v>76</v>
      </c>
      <c r="D793" s="3" t="s">
        <v>14</v>
      </c>
      <c r="E793" s="3" t="s">
        <v>109</v>
      </c>
      <c r="F793" s="3" t="s">
        <v>34</v>
      </c>
      <c r="G793" s="3" t="s">
        <v>99</v>
      </c>
      <c r="H793" s="3" t="s">
        <v>594</v>
      </c>
      <c r="I793" s="3" t="s">
        <v>335</v>
      </c>
      <c r="J793" s="3">
        <v>35000</v>
      </c>
      <c r="K793" s="3" t="s">
        <v>29</v>
      </c>
      <c r="L793" s="3" t="s">
        <v>87</v>
      </c>
    </row>
    <row r="794" spans="1:12" ht="16.2" customHeight="1">
      <c r="A794" s="2" t="s">
        <v>1716</v>
      </c>
      <c r="B794" s="2" t="s">
        <v>698</v>
      </c>
      <c r="C794" s="2">
        <v>17</v>
      </c>
      <c r="D794" s="2" t="s">
        <v>14</v>
      </c>
      <c r="E794" s="2" t="s">
        <v>15</v>
      </c>
      <c r="F794" s="2" t="s">
        <v>127</v>
      </c>
      <c r="G794" s="2" t="s">
        <v>17</v>
      </c>
      <c r="H794" s="2" t="s">
        <v>577</v>
      </c>
      <c r="I794" s="2" t="s">
        <v>467</v>
      </c>
      <c r="J794" s="2">
        <v>25000</v>
      </c>
      <c r="K794" s="2" t="s">
        <v>29</v>
      </c>
      <c r="L794" s="2" t="s">
        <v>21</v>
      </c>
    </row>
    <row r="795" spans="1:12" ht="16.2" customHeight="1">
      <c r="A795" s="3" t="s">
        <v>1717</v>
      </c>
      <c r="B795" s="3" t="s">
        <v>1303</v>
      </c>
      <c r="C795" s="3">
        <v>83</v>
      </c>
      <c r="D795" s="3" t="s">
        <v>14</v>
      </c>
      <c r="E795" s="3" t="s">
        <v>33</v>
      </c>
      <c r="F795" s="3" t="s">
        <v>34</v>
      </c>
      <c r="G795" s="3" t="s">
        <v>48</v>
      </c>
      <c r="H795" s="3" t="s">
        <v>1718</v>
      </c>
      <c r="I795" s="3" t="s">
        <v>415</v>
      </c>
      <c r="J795" s="3">
        <v>20000</v>
      </c>
      <c r="K795" s="3" t="s">
        <v>37</v>
      </c>
      <c r="L795" s="3" t="s">
        <v>87</v>
      </c>
    </row>
    <row r="796" spans="1:12" ht="16.2" customHeight="1">
      <c r="A796" s="2" t="s">
        <v>1719</v>
      </c>
      <c r="B796" s="2" t="s">
        <v>1601</v>
      </c>
      <c r="C796" s="2">
        <v>34</v>
      </c>
      <c r="D796" s="2" t="s">
        <v>32</v>
      </c>
      <c r="E796" s="2" t="s">
        <v>109</v>
      </c>
      <c r="F796" s="2" t="s">
        <v>25</v>
      </c>
      <c r="G796" s="2" t="s">
        <v>53</v>
      </c>
      <c r="H796" s="2" t="s">
        <v>839</v>
      </c>
      <c r="I796" s="2" t="s">
        <v>305</v>
      </c>
      <c r="J796" s="2">
        <v>50000</v>
      </c>
      <c r="K796" s="2" t="s">
        <v>37</v>
      </c>
      <c r="L796" s="2" t="s">
        <v>87</v>
      </c>
    </row>
    <row r="797" spans="1:12" ht="16.2" customHeight="1">
      <c r="A797" s="3" t="s">
        <v>1720</v>
      </c>
      <c r="B797" s="3" t="s">
        <v>637</v>
      </c>
      <c r="C797" s="3">
        <v>33</v>
      </c>
      <c r="D797" s="3" t="s">
        <v>338</v>
      </c>
      <c r="E797" s="3" t="s">
        <v>70</v>
      </c>
      <c r="F797" s="3" t="s">
        <v>450</v>
      </c>
      <c r="G797" s="3" t="s">
        <v>104</v>
      </c>
      <c r="H797" s="3" t="s">
        <v>43</v>
      </c>
      <c r="I797" s="3" t="s">
        <v>19</v>
      </c>
      <c r="J797" s="3">
        <v>15000</v>
      </c>
      <c r="K797" s="3" t="s">
        <v>37</v>
      </c>
      <c r="L797" s="3" t="s">
        <v>87</v>
      </c>
    </row>
    <row r="798" spans="1:12" ht="16.2" customHeight="1">
      <c r="A798" s="2" t="s">
        <v>1721</v>
      </c>
      <c r="B798" s="2" t="s">
        <v>1137</v>
      </c>
      <c r="C798" s="2">
        <v>85</v>
      </c>
      <c r="D798" s="2" t="s">
        <v>32</v>
      </c>
      <c r="E798" s="2" t="s">
        <v>1060</v>
      </c>
      <c r="F798" s="2" t="s">
        <v>76</v>
      </c>
      <c r="G798" s="2" t="s">
        <v>26</v>
      </c>
      <c r="H798" s="2" t="s">
        <v>839</v>
      </c>
      <c r="I798" s="2" t="s">
        <v>198</v>
      </c>
      <c r="J798" s="2">
        <v>5000</v>
      </c>
      <c r="K798" s="2" t="s">
        <v>37</v>
      </c>
      <c r="L798" s="2" t="s">
        <v>55</v>
      </c>
    </row>
    <row r="799" spans="1:12" ht="16.2" customHeight="1">
      <c r="A799" s="3" t="s">
        <v>1722</v>
      </c>
      <c r="B799" s="3" t="s">
        <v>1723</v>
      </c>
      <c r="C799" s="3">
        <v>52</v>
      </c>
      <c r="D799" s="3" t="s">
        <v>14</v>
      </c>
      <c r="E799" s="3" t="s">
        <v>52</v>
      </c>
      <c r="F799" s="3" t="s">
        <v>127</v>
      </c>
      <c r="G799" s="3" t="s">
        <v>104</v>
      </c>
      <c r="H799" s="3" t="s">
        <v>402</v>
      </c>
      <c r="I799" s="3" t="s">
        <v>877</v>
      </c>
      <c r="J799" s="3">
        <v>35000</v>
      </c>
      <c r="K799" s="3" t="s">
        <v>37</v>
      </c>
      <c r="L799" s="3" t="s">
        <v>55</v>
      </c>
    </row>
    <row r="800" spans="1:12" ht="16.2" customHeight="1">
      <c r="A800" s="2" t="s">
        <v>1724</v>
      </c>
      <c r="B800" s="2" t="s">
        <v>1560</v>
      </c>
      <c r="C800" s="2">
        <v>73</v>
      </c>
      <c r="D800" s="2" t="s">
        <v>32</v>
      </c>
      <c r="E800" s="2" t="s">
        <v>52</v>
      </c>
      <c r="F800" s="2" t="s">
        <v>42</v>
      </c>
      <c r="G800" s="2" t="s">
        <v>17</v>
      </c>
      <c r="H800" s="2" t="s">
        <v>423</v>
      </c>
      <c r="I800" s="2" t="s">
        <v>588</v>
      </c>
      <c r="J800" s="2">
        <v>50000</v>
      </c>
      <c r="K800" s="2" t="s">
        <v>29</v>
      </c>
      <c r="L800" s="2" t="s">
        <v>87</v>
      </c>
    </row>
    <row r="801" spans="1:12" ht="16.2" customHeight="1">
      <c r="A801" s="3" t="s">
        <v>1725</v>
      </c>
      <c r="B801" s="3" t="s">
        <v>1726</v>
      </c>
      <c r="C801" s="3">
        <v>42</v>
      </c>
      <c r="D801" s="3" t="s">
        <v>14</v>
      </c>
      <c r="E801" s="3" t="s">
        <v>52</v>
      </c>
      <c r="F801" s="3" t="s">
        <v>25</v>
      </c>
      <c r="G801" s="3" t="s">
        <v>99</v>
      </c>
      <c r="H801" s="3" t="s">
        <v>163</v>
      </c>
      <c r="I801" s="3" t="s">
        <v>301</v>
      </c>
      <c r="J801" s="3">
        <v>12000</v>
      </c>
      <c r="K801" s="3" t="s">
        <v>191</v>
      </c>
      <c r="L801" s="3" t="s">
        <v>87</v>
      </c>
    </row>
    <row r="802" spans="1:12" ht="16.2" customHeight="1">
      <c r="A802" s="2" t="s">
        <v>1727</v>
      </c>
      <c r="B802" s="2" t="s">
        <v>365</v>
      </c>
      <c r="C802" s="2">
        <v>78</v>
      </c>
      <c r="D802" s="2" t="s">
        <v>690</v>
      </c>
      <c r="E802" s="2" t="s">
        <v>15</v>
      </c>
      <c r="F802" s="2" t="s">
        <v>25</v>
      </c>
      <c r="G802" s="2" t="s">
        <v>17</v>
      </c>
      <c r="H802" s="2" t="s">
        <v>574</v>
      </c>
      <c r="I802" s="2" t="s">
        <v>884</v>
      </c>
      <c r="J802" s="2">
        <v>100000</v>
      </c>
      <c r="K802" s="2" t="s">
        <v>37</v>
      </c>
      <c r="L802" s="2" t="s">
        <v>55</v>
      </c>
    </row>
    <row r="803" spans="1:12" ht="16.2" customHeight="1">
      <c r="A803" s="3" t="s">
        <v>1728</v>
      </c>
      <c r="B803" s="3" t="s">
        <v>1729</v>
      </c>
      <c r="C803" s="3">
        <v>22</v>
      </c>
      <c r="D803" s="3" t="s">
        <v>32</v>
      </c>
      <c r="E803" s="3" t="s">
        <v>58</v>
      </c>
      <c r="F803" s="3" t="s">
        <v>34</v>
      </c>
      <c r="G803" s="3" t="s">
        <v>35</v>
      </c>
      <c r="H803" s="3" t="s">
        <v>330</v>
      </c>
      <c r="I803" s="3" t="s">
        <v>110</v>
      </c>
      <c r="J803" s="3">
        <v>75000</v>
      </c>
      <c r="K803" s="3" t="s">
        <v>29</v>
      </c>
      <c r="L803" s="3" t="s">
        <v>87</v>
      </c>
    </row>
    <row r="804" spans="1:12" ht="16.2" customHeight="1">
      <c r="A804" s="2" t="s">
        <v>1730</v>
      </c>
      <c r="B804" s="2" t="s">
        <v>1731</v>
      </c>
      <c r="C804" s="2">
        <v>50</v>
      </c>
      <c r="D804" s="2"/>
      <c r="E804" s="2" t="s">
        <v>58</v>
      </c>
      <c r="F804" s="2" t="s">
        <v>16</v>
      </c>
      <c r="G804" s="2" t="s">
        <v>104</v>
      </c>
      <c r="H804" s="2" t="s">
        <v>363</v>
      </c>
      <c r="I804" s="2" t="s">
        <v>318</v>
      </c>
      <c r="J804" s="2">
        <v>20000</v>
      </c>
      <c r="K804" s="2" t="s">
        <v>20</v>
      </c>
      <c r="L804" s="2" t="s">
        <v>87</v>
      </c>
    </row>
    <row r="805" spans="1:12" ht="16.2" customHeight="1">
      <c r="A805" s="3" t="s">
        <v>1732</v>
      </c>
      <c r="B805" s="3" t="s">
        <v>1639</v>
      </c>
      <c r="C805" s="3">
        <v>70</v>
      </c>
      <c r="D805" s="3" t="s">
        <v>32</v>
      </c>
      <c r="E805" s="3" t="s">
        <v>122</v>
      </c>
      <c r="F805" s="3" t="s">
        <v>42</v>
      </c>
      <c r="G805" s="3" t="s">
        <v>99</v>
      </c>
      <c r="H805" s="3" t="s">
        <v>295</v>
      </c>
      <c r="I805" s="3" t="s">
        <v>133</v>
      </c>
      <c r="J805" s="3">
        <v>-1000</v>
      </c>
      <c r="K805" s="3" t="s">
        <v>20</v>
      </c>
      <c r="L805" s="3" t="s">
        <v>38</v>
      </c>
    </row>
    <row r="806" spans="1:12" ht="16.2" customHeight="1">
      <c r="A806" s="2" t="s">
        <v>1733</v>
      </c>
      <c r="B806" s="2" t="s">
        <v>136</v>
      </c>
      <c r="C806" s="2">
        <v>78</v>
      </c>
      <c r="D806" s="2" t="s">
        <v>14</v>
      </c>
      <c r="E806" s="2" t="s">
        <v>47</v>
      </c>
      <c r="F806" s="2" t="s">
        <v>132</v>
      </c>
      <c r="G806" s="2" t="s">
        <v>26</v>
      </c>
      <c r="H806" s="2" t="s">
        <v>433</v>
      </c>
      <c r="I806" s="2" t="s">
        <v>390</v>
      </c>
      <c r="J806" s="2">
        <v>25000</v>
      </c>
      <c r="K806" s="2" t="s">
        <v>20</v>
      </c>
      <c r="L806" s="2" t="s">
        <v>38</v>
      </c>
    </row>
    <row r="807" spans="1:12" ht="16.2" customHeight="1">
      <c r="A807" s="3" t="s">
        <v>1734</v>
      </c>
      <c r="B807" s="3" t="s">
        <v>1366</v>
      </c>
      <c r="C807" s="3">
        <v>29</v>
      </c>
      <c r="D807" s="3" t="s">
        <v>14</v>
      </c>
      <c r="E807" s="3" t="s">
        <v>70</v>
      </c>
      <c r="F807" s="3" t="s">
        <v>450</v>
      </c>
      <c r="G807" s="3" t="s">
        <v>53</v>
      </c>
      <c r="H807" s="3" t="s">
        <v>259</v>
      </c>
      <c r="I807" s="3" t="s">
        <v>335</v>
      </c>
      <c r="J807" s="3">
        <v>35000</v>
      </c>
      <c r="K807" s="3" t="s">
        <v>67</v>
      </c>
      <c r="L807" s="3" t="s">
        <v>55</v>
      </c>
    </row>
    <row r="808" spans="1:12" ht="16.2" customHeight="1">
      <c r="A808" s="2" t="s">
        <v>1735</v>
      </c>
      <c r="B808" s="2" t="s">
        <v>103</v>
      </c>
      <c r="C808" s="2">
        <v>88</v>
      </c>
      <c r="D808" s="2" t="s">
        <v>506</v>
      </c>
      <c r="E808" s="2" t="s">
        <v>52</v>
      </c>
      <c r="F808" s="2" t="s">
        <v>34</v>
      </c>
      <c r="G808" s="2" t="s">
        <v>17</v>
      </c>
      <c r="H808" s="2" t="s">
        <v>302</v>
      </c>
      <c r="I808" s="2" t="s">
        <v>245</v>
      </c>
      <c r="J808" s="2">
        <v>75000</v>
      </c>
      <c r="K808" s="2" t="s">
        <v>37</v>
      </c>
      <c r="L808" s="2" t="s">
        <v>55</v>
      </c>
    </row>
    <row r="809" spans="1:12" ht="16.2" customHeight="1">
      <c r="A809" s="3" t="s">
        <v>1736</v>
      </c>
      <c r="B809" s="3" t="s">
        <v>1737</v>
      </c>
      <c r="C809" s="3">
        <v>75</v>
      </c>
      <c r="D809" s="3" t="s">
        <v>32</v>
      </c>
      <c r="E809" s="3" t="s">
        <v>15</v>
      </c>
      <c r="F809" s="3" t="s">
        <v>34</v>
      </c>
      <c r="G809" s="3" t="s">
        <v>35</v>
      </c>
      <c r="H809" s="3" t="s">
        <v>1707</v>
      </c>
      <c r="I809" s="3" t="s">
        <v>1124</v>
      </c>
      <c r="J809" s="3">
        <v>15000</v>
      </c>
      <c r="K809" s="3" t="s">
        <v>67</v>
      </c>
      <c r="L809" s="3" t="s">
        <v>38</v>
      </c>
    </row>
    <row r="810" spans="1:12" ht="16.2" customHeight="1">
      <c r="A810" s="2" t="s">
        <v>1738</v>
      </c>
      <c r="B810" s="2" t="s">
        <v>516</v>
      </c>
      <c r="C810" s="2">
        <v>9</v>
      </c>
      <c r="D810" s="2" t="s">
        <v>14</v>
      </c>
      <c r="E810" s="2" t="s">
        <v>58</v>
      </c>
      <c r="F810" s="2" t="s">
        <v>132</v>
      </c>
      <c r="G810" s="2" t="s">
        <v>35</v>
      </c>
      <c r="H810" s="2" t="s">
        <v>1320</v>
      </c>
      <c r="I810" s="2" t="s">
        <v>1209</v>
      </c>
      <c r="J810" s="2">
        <v>50000</v>
      </c>
      <c r="K810" s="2" t="s">
        <v>67</v>
      </c>
      <c r="L810" s="2" t="s">
        <v>55</v>
      </c>
    </row>
    <row r="811" spans="1:12" ht="16.2" customHeight="1">
      <c r="A811" s="3" t="s">
        <v>1739</v>
      </c>
      <c r="B811" s="3" t="s">
        <v>1505</v>
      </c>
      <c r="C811" s="3">
        <v>82</v>
      </c>
      <c r="D811" s="3" t="s">
        <v>32</v>
      </c>
      <c r="E811" s="3" t="s">
        <v>15</v>
      </c>
      <c r="F811" s="3" t="s">
        <v>127</v>
      </c>
      <c r="G811" s="3" t="s">
        <v>53</v>
      </c>
      <c r="H811" s="3" t="s">
        <v>206</v>
      </c>
      <c r="I811" s="3" t="s">
        <v>256</v>
      </c>
      <c r="J811" s="3">
        <v>35000</v>
      </c>
      <c r="K811" s="3" t="s">
        <v>37</v>
      </c>
      <c r="L811" s="3" t="s">
        <v>55</v>
      </c>
    </row>
    <row r="812" spans="1:12" ht="16.2" customHeight="1">
      <c r="A812" s="2" t="s">
        <v>1740</v>
      </c>
      <c r="B812" s="2" t="s">
        <v>46</v>
      </c>
      <c r="C812" s="2"/>
      <c r="D812" s="2" t="s">
        <v>14</v>
      </c>
      <c r="E812" s="2" t="s">
        <v>70</v>
      </c>
      <c r="F812" s="2" t="s">
        <v>127</v>
      </c>
      <c r="G812" s="2" t="s">
        <v>17</v>
      </c>
      <c r="H812" s="2" t="s">
        <v>94</v>
      </c>
      <c r="I812" s="2" t="s">
        <v>545</v>
      </c>
      <c r="J812" s="2">
        <v>12000</v>
      </c>
      <c r="K812" s="2" t="s">
        <v>67</v>
      </c>
      <c r="L812" s="2" t="s">
        <v>87</v>
      </c>
    </row>
    <row r="813" spans="1:12" ht="16.2" customHeight="1">
      <c r="A813" s="3" t="s">
        <v>1741</v>
      </c>
      <c r="B813" s="3" t="s">
        <v>1742</v>
      </c>
      <c r="C813" s="3">
        <v>89</v>
      </c>
      <c r="D813" s="3" t="s">
        <v>14</v>
      </c>
      <c r="E813" s="3" t="s">
        <v>70</v>
      </c>
      <c r="F813" s="3" t="s">
        <v>409</v>
      </c>
      <c r="G813" s="3" t="s">
        <v>104</v>
      </c>
      <c r="H813" s="3" t="s">
        <v>588</v>
      </c>
      <c r="I813" s="3" t="s">
        <v>665</v>
      </c>
      <c r="J813" s="3">
        <v>25000</v>
      </c>
      <c r="K813" s="3" t="s">
        <v>37</v>
      </c>
      <c r="L813" s="3" t="s">
        <v>87</v>
      </c>
    </row>
    <row r="814" spans="1:12" ht="16.2" customHeight="1">
      <c r="A814" s="2" t="s">
        <v>1743</v>
      </c>
      <c r="B814" s="2" t="s">
        <v>1744</v>
      </c>
      <c r="C814" s="2">
        <v>46</v>
      </c>
      <c r="D814" s="2" t="s">
        <v>14</v>
      </c>
      <c r="E814" s="2" t="s">
        <v>52</v>
      </c>
      <c r="F814" s="2" t="s">
        <v>183</v>
      </c>
      <c r="G814" s="2" t="s">
        <v>35</v>
      </c>
      <c r="H814" s="2" t="s">
        <v>1745</v>
      </c>
      <c r="I814" s="2" t="s">
        <v>190</v>
      </c>
      <c r="J814" s="2">
        <v>50000</v>
      </c>
      <c r="K814" s="2" t="s">
        <v>20</v>
      </c>
      <c r="L814" s="2" t="s">
        <v>55</v>
      </c>
    </row>
    <row r="815" spans="1:12" ht="16.2" customHeight="1">
      <c r="A815" s="3" t="s">
        <v>1746</v>
      </c>
      <c r="B815" s="3" t="s">
        <v>1747</v>
      </c>
      <c r="C815" s="3">
        <v>16</v>
      </c>
      <c r="D815" s="3" t="s">
        <v>32</v>
      </c>
      <c r="E815" s="3" t="s">
        <v>58</v>
      </c>
      <c r="F815" s="3" t="s">
        <v>127</v>
      </c>
      <c r="G815" s="3" t="s">
        <v>99</v>
      </c>
      <c r="H815" s="3" t="s">
        <v>111</v>
      </c>
      <c r="I815" s="3" t="s">
        <v>810</v>
      </c>
      <c r="J815" s="3">
        <v>15000</v>
      </c>
      <c r="K815" s="3" t="s">
        <v>67</v>
      </c>
      <c r="L815" s="3" t="s">
        <v>21</v>
      </c>
    </row>
    <row r="816" spans="1:12" ht="16.2" customHeight="1">
      <c r="A816" s="2" t="s">
        <v>1748</v>
      </c>
      <c r="B816" s="2" t="s">
        <v>121</v>
      </c>
      <c r="C816" s="2">
        <v>67</v>
      </c>
      <c r="D816" s="2" t="s">
        <v>32</v>
      </c>
      <c r="E816" s="2" t="s">
        <v>359</v>
      </c>
      <c r="F816" s="2" t="s">
        <v>76</v>
      </c>
      <c r="G816" s="2" t="s">
        <v>104</v>
      </c>
      <c r="H816" s="2" t="s">
        <v>569</v>
      </c>
      <c r="I816" s="2" t="s">
        <v>387</v>
      </c>
      <c r="J816" s="2">
        <v>12000</v>
      </c>
      <c r="K816" s="2" t="s">
        <v>37</v>
      </c>
      <c r="L816" s="2" t="s">
        <v>21</v>
      </c>
    </row>
    <row r="817" spans="1:12" ht="16.2" customHeight="1">
      <c r="A817" s="3" t="s">
        <v>1749</v>
      </c>
      <c r="B817" s="3" t="s">
        <v>1750</v>
      </c>
      <c r="C817" s="3">
        <v>40</v>
      </c>
      <c r="D817" s="3" t="s">
        <v>14</v>
      </c>
      <c r="E817" s="3" t="s">
        <v>70</v>
      </c>
      <c r="F817" s="3" t="s">
        <v>42</v>
      </c>
      <c r="G817" s="3" t="s">
        <v>104</v>
      </c>
      <c r="H817" s="3" t="s">
        <v>28</v>
      </c>
      <c r="I817" s="3" t="s">
        <v>232</v>
      </c>
      <c r="J817" s="3">
        <v>20000</v>
      </c>
      <c r="K817" s="3" t="s">
        <v>20</v>
      </c>
      <c r="L817" s="3" t="s">
        <v>21</v>
      </c>
    </row>
    <row r="818" spans="1:12" ht="16.2" customHeight="1">
      <c r="A818" s="2" t="s">
        <v>1751</v>
      </c>
      <c r="B818" s="2" t="s">
        <v>187</v>
      </c>
      <c r="C818" s="2">
        <v>26</v>
      </c>
      <c r="D818" s="2" t="s">
        <v>14</v>
      </c>
      <c r="E818" s="2" t="s">
        <v>33</v>
      </c>
      <c r="F818" s="2" t="s">
        <v>16</v>
      </c>
      <c r="G818" s="2" t="s">
        <v>17</v>
      </c>
      <c r="H818" s="2" t="s">
        <v>471</v>
      </c>
      <c r="I818" s="2" t="s">
        <v>283</v>
      </c>
      <c r="J818" s="2">
        <v>12000</v>
      </c>
      <c r="K818" s="2" t="s">
        <v>67</v>
      </c>
      <c r="L818" s="2" t="s">
        <v>87</v>
      </c>
    </row>
    <row r="819" spans="1:12" ht="16.2" customHeight="1">
      <c r="A819" s="3" t="s">
        <v>1752</v>
      </c>
      <c r="B819" s="3" t="s">
        <v>1376</v>
      </c>
      <c r="C819" s="3">
        <v>79</v>
      </c>
      <c r="D819" s="3" t="s">
        <v>486</v>
      </c>
      <c r="E819" s="3" t="s">
        <v>15</v>
      </c>
      <c r="F819" s="3" t="s">
        <v>16</v>
      </c>
      <c r="G819" s="3" t="s">
        <v>53</v>
      </c>
      <c r="H819" s="3" t="s">
        <v>566</v>
      </c>
      <c r="I819" s="3" t="s">
        <v>60</v>
      </c>
      <c r="J819" s="3">
        <v>75000</v>
      </c>
      <c r="K819" s="3" t="s">
        <v>67</v>
      </c>
      <c r="L819" s="3" t="s">
        <v>55</v>
      </c>
    </row>
    <row r="820" spans="1:12" ht="16.2" customHeight="1">
      <c r="A820" s="2" t="s">
        <v>1753</v>
      </c>
      <c r="B820" s="2" t="s">
        <v>1617</v>
      </c>
      <c r="C820" s="2">
        <v>20</v>
      </c>
      <c r="D820" s="2" t="s">
        <v>14</v>
      </c>
      <c r="E820" s="2" t="s">
        <v>33</v>
      </c>
      <c r="F820" s="2" t="s">
        <v>34</v>
      </c>
      <c r="G820" s="2" t="s">
        <v>35</v>
      </c>
      <c r="H820" s="2" t="s">
        <v>273</v>
      </c>
      <c r="I820" s="2" t="s">
        <v>175</v>
      </c>
      <c r="J820" s="2">
        <v>8000</v>
      </c>
      <c r="K820" s="2" t="s">
        <v>20</v>
      </c>
      <c r="L820" s="2" t="s">
        <v>38</v>
      </c>
    </row>
    <row r="821" spans="1:12" ht="16.2" customHeight="1">
      <c r="A821" s="3" t="s">
        <v>1754</v>
      </c>
      <c r="B821" s="3" t="s">
        <v>791</v>
      </c>
      <c r="C821" s="3">
        <v>5</v>
      </c>
      <c r="D821" s="3" t="s">
        <v>32</v>
      </c>
      <c r="E821" s="3" t="s">
        <v>33</v>
      </c>
      <c r="F821" s="3" t="s">
        <v>832</v>
      </c>
      <c r="G821" s="3" t="s">
        <v>53</v>
      </c>
      <c r="H821" s="3" t="s">
        <v>445</v>
      </c>
      <c r="I821" s="3" t="s">
        <v>560</v>
      </c>
      <c r="J821" s="3">
        <v>50000</v>
      </c>
      <c r="K821" s="3" t="s">
        <v>29</v>
      </c>
      <c r="L821" s="3" t="s">
        <v>87</v>
      </c>
    </row>
    <row r="822" spans="1:12" ht="16.2" customHeight="1">
      <c r="A822" s="2" t="s">
        <v>1755</v>
      </c>
      <c r="B822" s="2" t="s">
        <v>626</v>
      </c>
      <c r="C822" s="2">
        <v>23</v>
      </c>
      <c r="D822" s="2" t="s">
        <v>14</v>
      </c>
      <c r="E822" s="2" t="s">
        <v>58</v>
      </c>
      <c r="F822" s="2" t="s">
        <v>16</v>
      </c>
      <c r="G822" s="2" t="s">
        <v>48</v>
      </c>
      <c r="H822" s="2" t="s">
        <v>873</v>
      </c>
      <c r="I822" s="2" t="s">
        <v>226</v>
      </c>
      <c r="J822" s="2">
        <v>50000</v>
      </c>
      <c r="K822" s="2" t="s">
        <v>37</v>
      </c>
      <c r="L822" s="2" t="s">
        <v>87</v>
      </c>
    </row>
    <row r="823" spans="1:12" ht="16.2" customHeight="1">
      <c r="A823" s="3" t="s">
        <v>1756</v>
      </c>
      <c r="B823" s="3" t="s">
        <v>212</v>
      </c>
      <c r="C823" s="3">
        <v>82</v>
      </c>
      <c r="D823" s="3" t="s">
        <v>14</v>
      </c>
      <c r="E823" s="3" t="s">
        <v>58</v>
      </c>
      <c r="F823" s="3" t="s">
        <v>16</v>
      </c>
      <c r="G823" s="3" t="s">
        <v>35</v>
      </c>
      <c r="H823" s="3" t="s">
        <v>1757</v>
      </c>
      <c r="I823" s="3" t="s">
        <v>256</v>
      </c>
      <c r="J823" s="3">
        <v>8000</v>
      </c>
      <c r="K823" s="3" t="s">
        <v>20</v>
      </c>
      <c r="L823" s="3" t="s">
        <v>55</v>
      </c>
    </row>
    <row r="824" spans="1:12" ht="16.2" customHeight="1">
      <c r="A824" s="2" t="s">
        <v>1758</v>
      </c>
      <c r="B824" s="2" t="s">
        <v>1054</v>
      </c>
      <c r="C824" s="2">
        <v>90</v>
      </c>
      <c r="D824" s="2" t="s">
        <v>14</v>
      </c>
      <c r="E824" s="2" t="s">
        <v>85</v>
      </c>
      <c r="F824" s="2" t="s">
        <v>16</v>
      </c>
      <c r="G824" s="2" t="s">
        <v>48</v>
      </c>
      <c r="H824" s="2" t="s">
        <v>363</v>
      </c>
      <c r="I824" s="2" t="s">
        <v>545</v>
      </c>
      <c r="J824" s="2">
        <v>8000</v>
      </c>
      <c r="K824" s="2" t="s">
        <v>67</v>
      </c>
      <c r="L824" s="2" t="s">
        <v>55</v>
      </c>
    </row>
    <row r="825" spans="1:12" ht="16.2" customHeight="1">
      <c r="A825" s="3" t="s">
        <v>1759</v>
      </c>
      <c r="B825" s="3" t="s">
        <v>385</v>
      </c>
      <c r="C825" s="3">
        <v>19</v>
      </c>
      <c r="D825" s="3" t="s">
        <v>14</v>
      </c>
      <c r="E825" s="3" t="s">
        <v>58</v>
      </c>
      <c r="F825" s="3" t="s">
        <v>76</v>
      </c>
      <c r="G825" s="3" t="s">
        <v>35</v>
      </c>
      <c r="H825" s="3" t="s">
        <v>114</v>
      </c>
      <c r="I825" s="3" t="s">
        <v>423</v>
      </c>
      <c r="J825" s="3">
        <v>75000</v>
      </c>
      <c r="K825" s="3" t="s">
        <v>67</v>
      </c>
      <c r="L825" s="3" t="s">
        <v>38</v>
      </c>
    </row>
    <row r="826" spans="1:12" ht="16.2" customHeight="1">
      <c r="A826" s="2" t="s">
        <v>1760</v>
      </c>
      <c r="B826" s="2" t="s">
        <v>396</v>
      </c>
      <c r="C826" s="2">
        <v>82</v>
      </c>
      <c r="D826" s="2" t="s">
        <v>41</v>
      </c>
      <c r="E826" s="2" t="s">
        <v>70</v>
      </c>
      <c r="F826" s="2" t="s">
        <v>25</v>
      </c>
      <c r="G826" s="2" t="s">
        <v>48</v>
      </c>
      <c r="H826" s="2" t="s">
        <v>810</v>
      </c>
      <c r="I826" s="2" t="s">
        <v>765</v>
      </c>
      <c r="J826" s="2">
        <v>20000</v>
      </c>
      <c r="K826" s="2"/>
      <c r="L826" s="2" t="s">
        <v>21</v>
      </c>
    </row>
    <row r="827" spans="1:12" ht="16.2" customHeight="1">
      <c r="A827" s="3" t="s">
        <v>1761</v>
      </c>
      <c r="B827" s="3" t="s">
        <v>1762</v>
      </c>
      <c r="C827" s="3">
        <v>79</v>
      </c>
      <c r="D827" s="3" t="s">
        <v>32</v>
      </c>
      <c r="E827" s="3" t="s">
        <v>15</v>
      </c>
      <c r="F827" s="3" t="s">
        <v>127</v>
      </c>
      <c r="G827" s="3" t="s">
        <v>35</v>
      </c>
      <c r="H827" s="3" t="s">
        <v>738</v>
      </c>
      <c r="I827" s="3" t="s">
        <v>1335</v>
      </c>
      <c r="J827" s="3">
        <v>50000</v>
      </c>
      <c r="K827" s="3" t="s">
        <v>67</v>
      </c>
      <c r="L827" s="3" t="s">
        <v>21</v>
      </c>
    </row>
    <row r="828" spans="1:12" ht="16.2" customHeight="1">
      <c r="A828" s="2" t="s">
        <v>1763</v>
      </c>
      <c r="B828" s="2" t="s">
        <v>286</v>
      </c>
      <c r="C828" s="2">
        <v>25</v>
      </c>
      <c r="D828" s="2" t="s">
        <v>14</v>
      </c>
      <c r="E828" s="2" t="s">
        <v>15</v>
      </c>
      <c r="F828" s="2" t="s">
        <v>25</v>
      </c>
      <c r="G828" s="2" t="s">
        <v>35</v>
      </c>
      <c r="H828" s="2" t="s">
        <v>118</v>
      </c>
      <c r="I828" s="2" t="s">
        <v>1687</v>
      </c>
      <c r="J828" s="2">
        <v>100000</v>
      </c>
      <c r="K828" s="2" t="s">
        <v>168</v>
      </c>
      <c r="L828" s="2" t="s">
        <v>21</v>
      </c>
    </row>
    <row r="829" spans="1:12" ht="16.2" customHeight="1">
      <c r="A829" s="3" t="s">
        <v>1764</v>
      </c>
      <c r="B829" s="3" t="s">
        <v>1765</v>
      </c>
      <c r="C829" s="3">
        <v>46</v>
      </c>
      <c r="D829" s="3" t="s">
        <v>14</v>
      </c>
      <c r="E829" s="3" t="s">
        <v>15</v>
      </c>
      <c r="F829" s="3" t="s">
        <v>76</v>
      </c>
      <c r="G829" s="3" t="s">
        <v>48</v>
      </c>
      <c r="H829" s="3" t="s">
        <v>659</v>
      </c>
      <c r="I829" s="3" t="s">
        <v>1027</v>
      </c>
      <c r="J829" s="3">
        <v>100000</v>
      </c>
      <c r="K829" s="3" t="s">
        <v>67</v>
      </c>
      <c r="L829" s="3" t="s">
        <v>38</v>
      </c>
    </row>
    <row r="830" spans="1:12" ht="16.2" customHeight="1">
      <c r="A830" s="2" t="s">
        <v>1766</v>
      </c>
      <c r="B830" s="2" t="s">
        <v>1767</v>
      </c>
      <c r="C830" s="2">
        <v>6</v>
      </c>
      <c r="D830" s="2" t="s">
        <v>14</v>
      </c>
      <c r="E830" s="2" t="s">
        <v>15</v>
      </c>
      <c r="F830" s="2" t="s">
        <v>42</v>
      </c>
      <c r="G830" s="2" t="s">
        <v>53</v>
      </c>
      <c r="H830" s="2" t="s">
        <v>367</v>
      </c>
      <c r="I830" s="2" t="s">
        <v>460</v>
      </c>
      <c r="J830" s="2">
        <v>100000</v>
      </c>
      <c r="K830" s="2" t="s">
        <v>29</v>
      </c>
      <c r="L830" s="2" t="s">
        <v>21</v>
      </c>
    </row>
    <row r="831" spans="1:12" ht="16.2" customHeight="1">
      <c r="A831" s="3" t="s">
        <v>1768</v>
      </c>
      <c r="B831" s="3" t="s">
        <v>1091</v>
      </c>
      <c r="C831" s="3">
        <v>13</v>
      </c>
      <c r="D831" s="3" t="s">
        <v>14</v>
      </c>
      <c r="E831" s="3" t="s">
        <v>117</v>
      </c>
      <c r="F831" s="3" t="s">
        <v>42</v>
      </c>
      <c r="G831" s="3" t="s">
        <v>35</v>
      </c>
      <c r="H831" s="3" t="s">
        <v>344</v>
      </c>
      <c r="I831" s="3" t="s">
        <v>797</v>
      </c>
      <c r="J831" s="3">
        <v>12000</v>
      </c>
      <c r="K831" s="3" t="s">
        <v>67</v>
      </c>
      <c r="L831" s="3" t="s">
        <v>21</v>
      </c>
    </row>
    <row r="832" spans="1:12" ht="16.2" customHeight="1">
      <c r="A832" s="2" t="s">
        <v>1769</v>
      </c>
      <c r="B832" s="2" t="s">
        <v>1177</v>
      </c>
      <c r="C832" s="2">
        <v>21</v>
      </c>
      <c r="D832" s="2" t="s">
        <v>14</v>
      </c>
      <c r="E832" s="2" t="s">
        <v>85</v>
      </c>
      <c r="F832" s="2" t="s">
        <v>25</v>
      </c>
      <c r="G832" s="2" t="s">
        <v>53</v>
      </c>
      <c r="H832" s="2" t="s">
        <v>142</v>
      </c>
      <c r="I832" s="2" t="s">
        <v>1042</v>
      </c>
      <c r="J832" s="2">
        <v>25000</v>
      </c>
      <c r="K832" s="2" t="s">
        <v>37</v>
      </c>
      <c r="L832" s="2" t="s">
        <v>21</v>
      </c>
    </row>
    <row r="833" spans="1:12" ht="16.2" customHeight="1">
      <c r="A833" s="3" t="s">
        <v>1770</v>
      </c>
      <c r="B833" s="3" t="s">
        <v>678</v>
      </c>
      <c r="C833" s="3">
        <v>9</v>
      </c>
      <c r="D833" s="3" t="s">
        <v>32</v>
      </c>
      <c r="E833" s="3" t="s">
        <v>58</v>
      </c>
      <c r="F833" s="3" t="s">
        <v>25</v>
      </c>
      <c r="G833" s="3" t="s">
        <v>26</v>
      </c>
      <c r="H833" s="3" t="s">
        <v>159</v>
      </c>
      <c r="I833" s="3" t="s">
        <v>1707</v>
      </c>
      <c r="J833" s="3">
        <v>8000</v>
      </c>
      <c r="K833" s="3" t="s">
        <v>67</v>
      </c>
      <c r="L833" s="3" t="s">
        <v>21</v>
      </c>
    </row>
    <row r="834" spans="1:12" ht="16.2" customHeight="1">
      <c r="A834" s="2" t="s">
        <v>1771</v>
      </c>
      <c r="B834" s="2" t="s">
        <v>1772</v>
      </c>
      <c r="C834" s="2">
        <v>79</v>
      </c>
      <c r="D834" s="2" t="s">
        <v>14</v>
      </c>
      <c r="E834" s="2" t="s">
        <v>52</v>
      </c>
      <c r="F834" s="2" t="s">
        <v>16</v>
      </c>
      <c r="G834" s="2" t="s">
        <v>35</v>
      </c>
      <c r="H834" s="2" t="s">
        <v>426</v>
      </c>
      <c r="I834" s="2" t="s">
        <v>86</v>
      </c>
      <c r="J834" s="2">
        <v>5000</v>
      </c>
      <c r="K834" s="2" t="s">
        <v>20</v>
      </c>
      <c r="L834" s="2" t="s">
        <v>87</v>
      </c>
    </row>
    <row r="835" spans="1:12" ht="16.2" customHeight="1">
      <c r="A835" s="3" t="s">
        <v>1773</v>
      </c>
      <c r="B835" s="3" t="s">
        <v>1774</v>
      </c>
      <c r="C835" s="3">
        <v>11</v>
      </c>
      <c r="D835" s="3" t="s">
        <v>32</v>
      </c>
      <c r="E835" s="3" t="s">
        <v>1620</v>
      </c>
      <c r="F835" s="3" t="s">
        <v>127</v>
      </c>
      <c r="G835" s="3" t="s">
        <v>104</v>
      </c>
      <c r="H835" s="3" t="s">
        <v>1142</v>
      </c>
      <c r="I835" s="3" t="s">
        <v>266</v>
      </c>
      <c r="J835" s="3">
        <v>50000</v>
      </c>
      <c r="K835" s="3" t="s">
        <v>37</v>
      </c>
      <c r="L835" s="3" t="s">
        <v>55</v>
      </c>
    </row>
    <row r="836" spans="1:12" ht="16.2" customHeight="1">
      <c r="A836" s="2" t="s">
        <v>1775</v>
      </c>
      <c r="B836" s="2" t="s">
        <v>337</v>
      </c>
      <c r="C836" s="2">
        <v>69</v>
      </c>
      <c r="D836" s="2" t="s">
        <v>32</v>
      </c>
      <c r="E836" s="2" t="s">
        <v>33</v>
      </c>
      <c r="F836" s="2" t="s">
        <v>34</v>
      </c>
      <c r="G836" s="2" t="s">
        <v>53</v>
      </c>
      <c r="H836" s="2" t="s">
        <v>668</v>
      </c>
      <c r="I836" s="2" t="s">
        <v>60</v>
      </c>
      <c r="J836" s="2">
        <v>20000</v>
      </c>
      <c r="K836" s="2" t="s">
        <v>29</v>
      </c>
      <c r="L836" s="2" t="s">
        <v>55</v>
      </c>
    </row>
    <row r="837" spans="1:12" ht="16.2" customHeight="1">
      <c r="A837" s="3" t="s">
        <v>1776</v>
      </c>
      <c r="B837" s="3" t="s">
        <v>1777</v>
      </c>
      <c r="C837" s="3">
        <v>10</v>
      </c>
      <c r="D837" s="3" t="s">
        <v>299</v>
      </c>
      <c r="E837" s="3" t="s">
        <v>70</v>
      </c>
      <c r="F837" s="3" t="s">
        <v>34</v>
      </c>
      <c r="G837" s="3" t="s">
        <v>53</v>
      </c>
      <c r="H837" s="3" t="s">
        <v>659</v>
      </c>
      <c r="I837" s="3" t="s">
        <v>82</v>
      </c>
      <c r="J837" s="3">
        <v>75000</v>
      </c>
      <c r="K837" s="3" t="s">
        <v>37</v>
      </c>
      <c r="L837" s="3" t="s">
        <v>21</v>
      </c>
    </row>
    <row r="838" spans="1:12" ht="16.2" customHeight="1">
      <c r="A838" s="2" t="s">
        <v>1778</v>
      </c>
      <c r="B838" s="2" t="s">
        <v>1779</v>
      </c>
      <c r="C838" s="2">
        <v>88</v>
      </c>
      <c r="D838" s="2" t="s">
        <v>14</v>
      </c>
      <c r="E838" s="2" t="s">
        <v>33</v>
      </c>
      <c r="F838" s="2" t="s">
        <v>25</v>
      </c>
      <c r="G838" s="2" t="s">
        <v>17</v>
      </c>
      <c r="H838" s="2" t="s">
        <v>1780</v>
      </c>
      <c r="I838" s="2" t="s">
        <v>804</v>
      </c>
      <c r="J838" s="2">
        <v>12000</v>
      </c>
      <c r="K838" s="2" t="s">
        <v>20</v>
      </c>
      <c r="L838" s="2" t="s">
        <v>55</v>
      </c>
    </row>
    <row r="839" spans="1:12" ht="16.2" customHeight="1">
      <c r="A839" s="3" t="s">
        <v>1781</v>
      </c>
      <c r="B839" s="3" t="s">
        <v>781</v>
      </c>
      <c r="C839" s="3">
        <v>1</v>
      </c>
      <c r="D839" s="3" t="s">
        <v>14</v>
      </c>
      <c r="E839" s="3" t="s">
        <v>33</v>
      </c>
      <c r="F839" s="3" t="s">
        <v>342</v>
      </c>
      <c r="G839" s="3" t="s">
        <v>48</v>
      </c>
      <c r="H839" s="3" t="s">
        <v>1440</v>
      </c>
      <c r="I839" s="3" t="s">
        <v>729</v>
      </c>
      <c r="J839" s="3">
        <v>0</v>
      </c>
      <c r="K839" s="3" t="s">
        <v>20</v>
      </c>
      <c r="L839" s="3" t="s">
        <v>55</v>
      </c>
    </row>
    <row r="840" spans="1:12" ht="16.2" customHeight="1">
      <c r="A840" s="2" t="s">
        <v>1782</v>
      </c>
      <c r="B840" s="2" t="s">
        <v>870</v>
      </c>
      <c r="C840" s="2">
        <v>51</v>
      </c>
      <c r="D840" s="2" t="s">
        <v>321</v>
      </c>
      <c r="E840" s="2" t="s">
        <v>58</v>
      </c>
      <c r="F840" s="2" t="s">
        <v>16</v>
      </c>
      <c r="G840" s="2" t="s">
        <v>53</v>
      </c>
      <c r="H840" s="2" t="s">
        <v>374</v>
      </c>
      <c r="I840" s="2" t="s">
        <v>301</v>
      </c>
      <c r="J840" s="2">
        <v>12000</v>
      </c>
      <c r="K840" s="2" t="s">
        <v>37</v>
      </c>
      <c r="L840" s="2" t="s">
        <v>21</v>
      </c>
    </row>
    <row r="841" spans="1:12" ht="16.2" customHeight="1">
      <c r="A841" s="3" t="s">
        <v>1783</v>
      </c>
      <c r="B841" s="3" t="s">
        <v>1549</v>
      </c>
      <c r="C841" s="3">
        <v>56</v>
      </c>
      <c r="D841" s="3" t="s">
        <v>32</v>
      </c>
      <c r="E841" s="3" t="s">
        <v>52</v>
      </c>
      <c r="F841" s="3" t="s">
        <v>132</v>
      </c>
      <c r="G841" s="3" t="s">
        <v>53</v>
      </c>
      <c r="H841" s="3" t="s">
        <v>203</v>
      </c>
      <c r="I841" s="3" t="s">
        <v>280</v>
      </c>
      <c r="J841" s="3">
        <v>5000</v>
      </c>
      <c r="K841" s="3" t="s">
        <v>37</v>
      </c>
      <c r="L841" s="3" t="s">
        <v>87</v>
      </c>
    </row>
    <row r="842" spans="1:12" ht="16.2" customHeight="1">
      <c r="A842" s="2" t="s">
        <v>1784</v>
      </c>
      <c r="B842" s="2" t="s">
        <v>153</v>
      </c>
      <c r="C842" s="2">
        <v>150</v>
      </c>
      <c r="D842" s="2" t="s">
        <v>32</v>
      </c>
      <c r="E842" s="2" t="s">
        <v>33</v>
      </c>
      <c r="F842" s="2" t="s">
        <v>34</v>
      </c>
      <c r="G842" s="2" t="s">
        <v>17</v>
      </c>
      <c r="H842" s="2" t="s">
        <v>1127</v>
      </c>
      <c r="I842" s="2" t="s">
        <v>269</v>
      </c>
      <c r="J842" s="2">
        <v>75000</v>
      </c>
      <c r="K842" s="2" t="s">
        <v>67</v>
      </c>
      <c r="L842" s="2" t="s">
        <v>38</v>
      </c>
    </row>
    <row r="843" spans="1:12" ht="16.2" customHeight="1">
      <c r="A843" s="3" t="s">
        <v>1785</v>
      </c>
      <c r="B843" s="3" t="s">
        <v>380</v>
      </c>
      <c r="C843" s="3">
        <v>23</v>
      </c>
      <c r="D843" s="3" t="s">
        <v>32</v>
      </c>
      <c r="E843" s="3" t="s">
        <v>75</v>
      </c>
      <c r="F843" s="3" t="s">
        <v>127</v>
      </c>
      <c r="G843" s="3" t="s">
        <v>48</v>
      </c>
      <c r="H843" s="3" t="s">
        <v>1786</v>
      </c>
      <c r="I843" s="3" t="s">
        <v>682</v>
      </c>
      <c r="J843" s="3">
        <v>25000</v>
      </c>
      <c r="K843" s="3" t="s">
        <v>37</v>
      </c>
      <c r="L843" s="3" t="s">
        <v>38</v>
      </c>
    </row>
    <row r="844" spans="1:12" ht="16.2" customHeight="1">
      <c r="A844" s="2" t="s">
        <v>1787</v>
      </c>
      <c r="B844" s="2" t="s">
        <v>1788</v>
      </c>
      <c r="C844" s="2">
        <v>11</v>
      </c>
      <c r="D844" s="2"/>
      <c r="E844" s="2" t="s">
        <v>109</v>
      </c>
      <c r="F844" s="2" t="s">
        <v>34</v>
      </c>
      <c r="G844" s="2" t="s">
        <v>48</v>
      </c>
      <c r="H844" s="2" t="s">
        <v>612</v>
      </c>
      <c r="I844" s="2" t="s">
        <v>960</v>
      </c>
      <c r="J844" s="2">
        <v>12000</v>
      </c>
      <c r="K844" s="2" t="s">
        <v>238</v>
      </c>
      <c r="L844" s="2" t="s">
        <v>21</v>
      </c>
    </row>
    <row r="845" spans="1:12" ht="16.2" customHeight="1">
      <c r="A845" s="3" t="s">
        <v>1789</v>
      </c>
      <c r="B845" s="3" t="s">
        <v>1790</v>
      </c>
      <c r="C845" s="3"/>
      <c r="D845" s="3" t="s">
        <v>14</v>
      </c>
      <c r="E845" s="3" t="s">
        <v>52</v>
      </c>
      <c r="F845" s="3" t="s">
        <v>16</v>
      </c>
      <c r="G845" s="3" t="s">
        <v>99</v>
      </c>
      <c r="H845" s="3" t="s">
        <v>1017</v>
      </c>
      <c r="I845" s="3" t="s">
        <v>997</v>
      </c>
      <c r="J845" s="3">
        <v>12000</v>
      </c>
      <c r="K845" s="3" t="s">
        <v>20</v>
      </c>
      <c r="L845" s="3" t="s">
        <v>38</v>
      </c>
    </row>
    <row r="846" spans="1:12" ht="16.2" customHeight="1">
      <c r="A846" s="2" t="s">
        <v>1791</v>
      </c>
      <c r="B846" s="2" t="s">
        <v>1012</v>
      </c>
      <c r="C846" s="2">
        <v>74</v>
      </c>
      <c r="D846" s="2" t="s">
        <v>14</v>
      </c>
      <c r="E846" s="2" t="s">
        <v>58</v>
      </c>
      <c r="F846" s="2" t="s">
        <v>489</v>
      </c>
      <c r="G846" s="2" t="s">
        <v>104</v>
      </c>
      <c r="H846" s="2" t="s">
        <v>1706</v>
      </c>
      <c r="I846" s="2" t="s">
        <v>507</v>
      </c>
      <c r="J846" s="2">
        <v>35000</v>
      </c>
      <c r="K846" s="2" t="s">
        <v>67</v>
      </c>
      <c r="L846" s="2" t="s">
        <v>21</v>
      </c>
    </row>
    <row r="847" spans="1:12" ht="16.2" customHeight="1">
      <c r="A847" s="3" t="s">
        <v>1792</v>
      </c>
      <c r="B847" s="3" t="s">
        <v>1271</v>
      </c>
      <c r="C847" s="3">
        <v>71</v>
      </c>
      <c r="D847" s="3" t="s">
        <v>32</v>
      </c>
      <c r="E847" s="3" t="s">
        <v>33</v>
      </c>
      <c r="F847" s="3" t="s">
        <v>42</v>
      </c>
      <c r="G847" s="3" t="s">
        <v>53</v>
      </c>
      <c r="H847" s="3" t="s">
        <v>137</v>
      </c>
      <c r="I847" s="3" t="s">
        <v>754</v>
      </c>
      <c r="J847" s="3">
        <v>12000</v>
      </c>
      <c r="K847" s="3" t="s">
        <v>29</v>
      </c>
      <c r="L847" s="3" t="s">
        <v>87</v>
      </c>
    </row>
    <row r="848" spans="1:12" ht="16.2" customHeight="1">
      <c r="A848" s="2" t="s">
        <v>1793</v>
      </c>
      <c r="B848" s="2" t="s">
        <v>1543</v>
      </c>
      <c r="C848" s="2">
        <v>60</v>
      </c>
      <c r="D848" s="2" t="s">
        <v>321</v>
      </c>
      <c r="E848" s="2" t="s">
        <v>33</v>
      </c>
      <c r="F848" s="2" t="s">
        <v>25</v>
      </c>
      <c r="G848" s="2" t="s">
        <v>53</v>
      </c>
      <c r="H848" s="2" t="s">
        <v>1794</v>
      </c>
      <c r="I848" s="2" t="s">
        <v>738</v>
      </c>
      <c r="J848" s="2">
        <v>35000</v>
      </c>
      <c r="K848" s="2" t="s">
        <v>67</v>
      </c>
      <c r="L848" s="2" t="s">
        <v>38</v>
      </c>
    </row>
    <row r="849" spans="1:12" ht="16.2" customHeight="1">
      <c r="A849" s="3" t="s">
        <v>1795</v>
      </c>
      <c r="B849" s="3" t="s">
        <v>1796</v>
      </c>
      <c r="C849" s="3">
        <v>56</v>
      </c>
      <c r="D849" s="3" t="s">
        <v>14</v>
      </c>
      <c r="E849" s="3" t="s">
        <v>70</v>
      </c>
      <c r="F849" s="3" t="s">
        <v>25</v>
      </c>
      <c r="G849" s="3" t="s">
        <v>53</v>
      </c>
      <c r="H849" s="3" t="s">
        <v>60</v>
      </c>
      <c r="I849" s="3" t="s">
        <v>95</v>
      </c>
      <c r="J849" s="3">
        <v>20000</v>
      </c>
      <c r="K849" s="3" t="s">
        <v>37</v>
      </c>
      <c r="L849" s="3" t="s">
        <v>87</v>
      </c>
    </row>
    <row r="850" spans="1:12" ht="16.2" customHeight="1">
      <c r="A850" s="2" t="s">
        <v>1797</v>
      </c>
      <c r="B850" s="2" t="s">
        <v>875</v>
      </c>
      <c r="C850" s="2">
        <v>28</v>
      </c>
      <c r="D850" s="2" t="s">
        <v>32</v>
      </c>
      <c r="E850" s="2" t="s">
        <v>70</v>
      </c>
      <c r="F850" s="2" t="s">
        <v>132</v>
      </c>
      <c r="G850" s="2" t="s">
        <v>99</v>
      </c>
      <c r="H850" s="2" t="s">
        <v>210</v>
      </c>
      <c r="I850" s="2" t="s">
        <v>151</v>
      </c>
      <c r="J850" s="2">
        <v>12000</v>
      </c>
      <c r="K850" s="2" t="s">
        <v>29</v>
      </c>
      <c r="L850" s="2" t="s">
        <v>55</v>
      </c>
    </row>
    <row r="851" spans="1:12" ht="16.2" customHeight="1">
      <c r="A851" s="3" t="s">
        <v>1798</v>
      </c>
      <c r="B851" s="3" t="s">
        <v>875</v>
      </c>
      <c r="C851" s="3">
        <v>27</v>
      </c>
      <c r="D851" s="3"/>
      <c r="E851" s="3" t="s">
        <v>52</v>
      </c>
      <c r="F851" s="3" t="s">
        <v>42</v>
      </c>
      <c r="G851" s="3" t="s">
        <v>48</v>
      </c>
      <c r="H851" s="3" t="s">
        <v>905</v>
      </c>
      <c r="I851" s="3" t="s">
        <v>1084</v>
      </c>
      <c r="J851" s="3">
        <v>8000</v>
      </c>
      <c r="K851" s="3" t="s">
        <v>67</v>
      </c>
      <c r="L851" s="3" t="s">
        <v>87</v>
      </c>
    </row>
    <row r="852" spans="1:12" ht="16.2" customHeight="1">
      <c r="A852" s="2" t="s">
        <v>1799</v>
      </c>
      <c r="B852" s="2" t="s">
        <v>549</v>
      </c>
      <c r="C852" s="2">
        <v>10</v>
      </c>
      <c r="D852" s="2" t="s">
        <v>32</v>
      </c>
      <c r="E852" s="2" t="s">
        <v>52</v>
      </c>
      <c r="F852" s="2" t="s">
        <v>76</v>
      </c>
      <c r="G852" s="2" t="s">
        <v>35</v>
      </c>
      <c r="H852" s="2" t="s">
        <v>90</v>
      </c>
      <c r="I852" s="2" t="s">
        <v>1319</v>
      </c>
      <c r="J852" s="2">
        <v>50000</v>
      </c>
      <c r="K852" s="2" t="s">
        <v>37</v>
      </c>
      <c r="L852" s="2" t="s">
        <v>38</v>
      </c>
    </row>
    <row r="853" spans="1:12" ht="16.2" customHeight="1">
      <c r="A853" s="3" t="s">
        <v>1800</v>
      </c>
      <c r="B853" s="3" t="s">
        <v>1801</v>
      </c>
      <c r="C853" s="3">
        <v>2</v>
      </c>
      <c r="D853" s="3" t="s">
        <v>14</v>
      </c>
      <c r="E853" s="3" t="s">
        <v>70</v>
      </c>
      <c r="F853" s="3" t="s">
        <v>34</v>
      </c>
      <c r="G853" s="3" t="s">
        <v>53</v>
      </c>
      <c r="H853" s="3" t="s">
        <v>232</v>
      </c>
      <c r="I853" s="3" t="s">
        <v>908</v>
      </c>
      <c r="J853" s="3">
        <v>100000</v>
      </c>
      <c r="K853" s="3" t="s">
        <v>67</v>
      </c>
      <c r="L853" s="3" t="s">
        <v>38</v>
      </c>
    </row>
    <row r="854" spans="1:12" ht="16.2" customHeight="1">
      <c r="A854" s="2" t="s">
        <v>1802</v>
      </c>
      <c r="B854" s="2" t="s">
        <v>1472</v>
      </c>
      <c r="C854" s="2">
        <v>26</v>
      </c>
      <c r="D854" s="2" t="s">
        <v>506</v>
      </c>
      <c r="E854" s="2" t="s">
        <v>85</v>
      </c>
      <c r="F854" s="2" t="s">
        <v>409</v>
      </c>
      <c r="G854" s="2" t="s">
        <v>17</v>
      </c>
      <c r="H854" s="2" t="s">
        <v>110</v>
      </c>
      <c r="I854" s="2" t="s">
        <v>325</v>
      </c>
      <c r="J854" s="2">
        <v>75000</v>
      </c>
      <c r="K854" s="2" t="s">
        <v>349</v>
      </c>
      <c r="L854" s="2" t="s">
        <v>87</v>
      </c>
    </row>
    <row r="855" spans="1:12" ht="16.2" customHeight="1">
      <c r="A855" s="3" t="s">
        <v>1803</v>
      </c>
      <c r="B855" s="3" t="s">
        <v>1169</v>
      </c>
      <c r="C855" s="3">
        <v>19</v>
      </c>
      <c r="D855" s="3" t="s">
        <v>14</v>
      </c>
      <c r="E855" s="3" t="s">
        <v>15</v>
      </c>
      <c r="F855" s="3" t="s">
        <v>127</v>
      </c>
      <c r="G855" s="3" t="s">
        <v>17</v>
      </c>
      <c r="H855" s="3" t="s">
        <v>100</v>
      </c>
      <c r="I855" s="3" t="s">
        <v>594</v>
      </c>
      <c r="J855" s="3">
        <v>75000</v>
      </c>
      <c r="K855" s="3" t="s">
        <v>37</v>
      </c>
      <c r="L855" s="3" t="s">
        <v>38</v>
      </c>
    </row>
    <row r="856" spans="1:12" ht="16.2" customHeight="1">
      <c r="A856" s="2" t="s">
        <v>1804</v>
      </c>
      <c r="B856" s="2" t="s">
        <v>298</v>
      </c>
      <c r="C856" s="2">
        <v>42</v>
      </c>
      <c r="D856" s="2" t="s">
        <v>14</v>
      </c>
      <c r="E856" s="2" t="s">
        <v>58</v>
      </c>
      <c r="F856" s="2" t="s">
        <v>188</v>
      </c>
      <c r="G856" s="2" t="s">
        <v>35</v>
      </c>
      <c r="H856" s="2" t="s">
        <v>685</v>
      </c>
      <c r="I856" s="2" t="s">
        <v>445</v>
      </c>
      <c r="J856" s="2">
        <v>75000</v>
      </c>
      <c r="K856" s="2" t="s">
        <v>20</v>
      </c>
      <c r="L856" s="2" t="s">
        <v>87</v>
      </c>
    </row>
    <row r="857" spans="1:12" ht="16.2" customHeight="1">
      <c r="A857" s="3" t="s">
        <v>1805</v>
      </c>
      <c r="B857" s="3" t="s">
        <v>1262</v>
      </c>
      <c r="C857" s="3">
        <v>86</v>
      </c>
      <c r="D857" s="3" t="s">
        <v>32</v>
      </c>
      <c r="E857" s="3" t="s">
        <v>15</v>
      </c>
      <c r="F857" s="3" t="s">
        <v>34</v>
      </c>
      <c r="G857" s="3" t="s">
        <v>17</v>
      </c>
      <c r="H857" s="3" t="s">
        <v>668</v>
      </c>
      <c r="I857" s="3" t="s">
        <v>447</v>
      </c>
      <c r="J857" s="3">
        <v>12000</v>
      </c>
      <c r="K857" s="3" t="s">
        <v>20</v>
      </c>
      <c r="L857" s="3" t="s">
        <v>21</v>
      </c>
    </row>
    <row r="858" spans="1:12" ht="16.2" customHeight="1">
      <c r="A858" s="2" t="s">
        <v>1806</v>
      </c>
      <c r="B858" s="2" t="s">
        <v>1807</v>
      </c>
      <c r="C858" s="2">
        <v>2</v>
      </c>
      <c r="D858" s="2" t="s">
        <v>14</v>
      </c>
      <c r="E858" s="2" t="s">
        <v>58</v>
      </c>
      <c r="F858" s="2" t="s">
        <v>42</v>
      </c>
      <c r="G858" s="2" t="s">
        <v>99</v>
      </c>
      <c r="H858" s="2" t="s">
        <v>1657</v>
      </c>
      <c r="I858" s="2" t="s">
        <v>242</v>
      </c>
      <c r="J858" s="2">
        <v>100000</v>
      </c>
      <c r="K858" s="2" t="s">
        <v>67</v>
      </c>
      <c r="L858" s="2" t="s">
        <v>87</v>
      </c>
    </row>
    <row r="859" spans="1:12" ht="16.2" customHeight="1">
      <c r="A859" s="3" t="s">
        <v>1808</v>
      </c>
      <c r="B859" s="3" t="s">
        <v>1809</v>
      </c>
      <c r="C859" s="3">
        <v>73</v>
      </c>
      <c r="D859" s="3" t="s">
        <v>14</v>
      </c>
      <c r="E859" s="3" t="s">
        <v>33</v>
      </c>
      <c r="F859" s="3" t="s">
        <v>25</v>
      </c>
      <c r="G859" s="3" t="s">
        <v>48</v>
      </c>
      <c r="H859" s="3" t="s">
        <v>456</v>
      </c>
      <c r="I859" s="3" t="s">
        <v>1253</v>
      </c>
      <c r="J859" s="3">
        <v>12000</v>
      </c>
      <c r="K859" s="3" t="s">
        <v>67</v>
      </c>
      <c r="L859" s="3" t="s">
        <v>87</v>
      </c>
    </row>
    <row r="860" spans="1:12" ht="16.2" customHeight="1">
      <c r="A860" s="2" t="s">
        <v>1810</v>
      </c>
      <c r="B860" s="2" t="s">
        <v>1024</v>
      </c>
      <c r="C860" s="2">
        <v>37</v>
      </c>
      <c r="D860" s="2" t="s">
        <v>32</v>
      </c>
      <c r="E860" s="2" t="s">
        <v>85</v>
      </c>
      <c r="F860" s="2" t="s">
        <v>132</v>
      </c>
      <c r="G860" s="2" t="s">
        <v>17</v>
      </c>
      <c r="H860" s="2" t="s">
        <v>460</v>
      </c>
      <c r="I860" s="2" t="s">
        <v>334</v>
      </c>
      <c r="J860" s="2">
        <v>20000</v>
      </c>
      <c r="K860" s="2" t="s">
        <v>37</v>
      </c>
      <c r="L860" s="2" t="s">
        <v>21</v>
      </c>
    </row>
    <row r="861" spans="1:12" ht="16.2" customHeight="1">
      <c r="A861" s="3" t="s">
        <v>1811</v>
      </c>
      <c r="B861" s="3" t="s">
        <v>1744</v>
      </c>
      <c r="C861" s="3">
        <v>37</v>
      </c>
      <c r="D861" s="3" t="s">
        <v>14</v>
      </c>
      <c r="E861" s="3" t="s">
        <v>70</v>
      </c>
      <c r="F861" s="3" t="s">
        <v>132</v>
      </c>
      <c r="G861" s="3" t="s">
        <v>26</v>
      </c>
      <c r="H861" s="3" t="s">
        <v>306</v>
      </c>
      <c r="I861" s="3" t="s">
        <v>520</v>
      </c>
      <c r="J861" s="3">
        <v>75000</v>
      </c>
      <c r="K861" s="3" t="s">
        <v>67</v>
      </c>
      <c r="L861" s="3" t="s">
        <v>87</v>
      </c>
    </row>
    <row r="862" spans="1:12" ht="16.2" customHeight="1">
      <c r="A862" s="2" t="s">
        <v>1812</v>
      </c>
      <c r="B862" s="2" t="s">
        <v>89</v>
      </c>
      <c r="C862" s="2">
        <v>65</v>
      </c>
      <c r="D862" s="2" t="s">
        <v>32</v>
      </c>
      <c r="E862" s="2" t="s">
        <v>70</v>
      </c>
      <c r="F862" s="2" t="s">
        <v>34</v>
      </c>
      <c r="G862" s="2" t="s">
        <v>104</v>
      </c>
      <c r="H862" s="2" t="s">
        <v>785</v>
      </c>
      <c r="I862" s="2" t="s">
        <v>28</v>
      </c>
      <c r="J862" s="2">
        <v>25000</v>
      </c>
      <c r="K862" s="2" t="s">
        <v>29</v>
      </c>
      <c r="L862" s="2" t="s">
        <v>55</v>
      </c>
    </row>
    <row r="863" spans="1:12" ht="16.2" customHeight="1">
      <c r="A863" s="3" t="s">
        <v>1813</v>
      </c>
      <c r="B863" s="3" t="s">
        <v>1505</v>
      </c>
      <c r="C863" s="3">
        <v>18</v>
      </c>
      <c r="D863" s="3" t="s">
        <v>32</v>
      </c>
      <c r="E863" s="3" t="s">
        <v>58</v>
      </c>
      <c r="F863" s="3" t="s">
        <v>342</v>
      </c>
      <c r="G863" s="3" t="s">
        <v>35</v>
      </c>
      <c r="H863" s="3" t="s">
        <v>283</v>
      </c>
      <c r="I863" s="3" t="s">
        <v>696</v>
      </c>
      <c r="J863" s="3">
        <v>50000</v>
      </c>
      <c r="K863" s="3" t="s">
        <v>20</v>
      </c>
      <c r="L863" s="3" t="s">
        <v>21</v>
      </c>
    </row>
    <row r="864" spans="1:12" ht="16.2" customHeight="1">
      <c r="A864" s="2" t="s">
        <v>1814</v>
      </c>
      <c r="B864" s="2" t="s">
        <v>1815</v>
      </c>
      <c r="C864" s="2">
        <v>55</v>
      </c>
      <c r="D864" s="2" t="s">
        <v>32</v>
      </c>
      <c r="E864" s="2" t="s">
        <v>58</v>
      </c>
      <c r="F864" s="2" t="s">
        <v>132</v>
      </c>
      <c r="G864" s="2" t="s">
        <v>26</v>
      </c>
      <c r="H864" s="2" t="s">
        <v>764</v>
      </c>
      <c r="I864" s="2" t="s">
        <v>348</v>
      </c>
      <c r="J864" s="2">
        <v>100000</v>
      </c>
      <c r="K864" s="2" t="s">
        <v>67</v>
      </c>
      <c r="L864" s="2" t="s">
        <v>38</v>
      </c>
    </row>
    <row r="865" spans="1:12" ht="16.2" customHeight="1">
      <c r="A865" s="3" t="s">
        <v>1816</v>
      </c>
      <c r="B865" s="3" t="s">
        <v>1520</v>
      </c>
      <c r="C865" s="3">
        <v>18</v>
      </c>
      <c r="D865" s="3" t="s">
        <v>690</v>
      </c>
      <c r="E865" s="3" t="s">
        <v>70</v>
      </c>
      <c r="F865" s="3" t="s">
        <v>42</v>
      </c>
      <c r="G865" s="3" t="s">
        <v>99</v>
      </c>
      <c r="H865" s="3" t="s">
        <v>776</v>
      </c>
      <c r="I865" s="3" t="s">
        <v>777</v>
      </c>
      <c r="J865" s="3">
        <v>20000</v>
      </c>
      <c r="K865" s="3" t="s">
        <v>20</v>
      </c>
      <c r="L865" s="3" t="s">
        <v>21</v>
      </c>
    </row>
    <row r="866" spans="1:12" ht="16.2" customHeight="1">
      <c r="A866" s="2" t="s">
        <v>1817</v>
      </c>
      <c r="B866" s="2" t="s">
        <v>1242</v>
      </c>
      <c r="C866" s="2">
        <v>37</v>
      </c>
      <c r="D866" s="2" t="s">
        <v>14</v>
      </c>
      <c r="E866" s="2" t="s">
        <v>33</v>
      </c>
      <c r="F866" s="2" t="s">
        <v>132</v>
      </c>
      <c r="G866" s="2" t="s">
        <v>104</v>
      </c>
      <c r="H866" s="2" t="s">
        <v>265</v>
      </c>
      <c r="I866" s="2" t="s">
        <v>1129</v>
      </c>
      <c r="J866" s="2">
        <v>8000</v>
      </c>
      <c r="K866" s="2" t="s">
        <v>20</v>
      </c>
      <c r="L866" s="2" t="s">
        <v>55</v>
      </c>
    </row>
    <row r="867" spans="1:12" ht="16.2" customHeight="1">
      <c r="A867" s="3" t="s">
        <v>1818</v>
      </c>
      <c r="B867" s="3" t="s">
        <v>1819</v>
      </c>
      <c r="C867" s="3">
        <v>62</v>
      </c>
      <c r="D867" s="3" t="s">
        <v>14</v>
      </c>
      <c r="E867" s="3" t="s">
        <v>58</v>
      </c>
      <c r="F867" s="3" t="s">
        <v>76</v>
      </c>
      <c r="G867" s="3" t="s">
        <v>35</v>
      </c>
      <c r="H867" s="3" t="s">
        <v>134</v>
      </c>
      <c r="I867" s="3" t="s">
        <v>669</v>
      </c>
      <c r="J867" s="3">
        <v>5000</v>
      </c>
      <c r="K867" s="3" t="s">
        <v>67</v>
      </c>
      <c r="L867" s="3" t="s">
        <v>38</v>
      </c>
    </row>
    <row r="868" spans="1:12" ht="16.2" customHeight="1">
      <c r="A868" s="2" t="s">
        <v>1820</v>
      </c>
      <c r="B868" s="2" t="s">
        <v>1651</v>
      </c>
      <c r="C868" s="2">
        <v>35</v>
      </c>
      <c r="D868" s="2" t="s">
        <v>32</v>
      </c>
      <c r="E868" s="2" t="s">
        <v>109</v>
      </c>
      <c r="F868" s="2" t="s">
        <v>16</v>
      </c>
      <c r="G868" s="2" t="s">
        <v>48</v>
      </c>
      <c r="H868" s="2" t="s">
        <v>415</v>
      </c>
      <c r="I868" s="2" t="s">
        <v>416</v>
      </c>
      <c r="J868" s="2">
        <v>5000</v>
      </c>
      <c r="K868" s="2" t="s">
        <v>20</v>
      </c>
      <c r="L868" s="2" t="s">
        <v>55</v>
      </c>
    </row>
    <row r="869" spans="1:12" ht="16.2" customHeight="1">
      <c r="A869" s="3" t="s">
        <v>1821</v>
      </c>
      <c r="B869" s="3" t="s">
        <v>740</v>
      </c>
      <c r="C869" s="3">
        <v>34</v>
      </c>
      <c r="D869" s="3" t="s">
        <v>14</v>
      </c>
      <c r="E869" s="3" t="s">
        <v>58</v>
      </c>
      <c r="F869" s="3" t="s">
        <v>127</v>
      </c>
      <c r="G869" s="3" t="s">
        <v>48</v>
      </c>
      <c r="H869" s="3" t="s">
        <v>59</v>
      </c>
      <c r="I869" s="3" t="s">
        <v>317</v>
      </c>
      <c r="J869" s="3">
        <v>20000</v>
      </c>
      <c r="K869" s="3" t="s">
        <v>29</v>
      </c>
      <c r="L869" s="3" t="s">
        <v>38</v>
      </c>
    </row>
    <row r="870" spans="1:12" ht="16.2" customHeight="1">
      <c r="A870" s="2" t="s">
        <v>1822</v>
      </c>
      <c r="B870" s="2" t="s">
        <v>727</v>
      </c>
      <c r="C870" s="2">
        <v>84</v>
      </c>
      <c r="D870" s="2" t="s">
        <v>14</v>
      </c>
      <c r="E870" s="2" t="s">
        <v>58</v>
      </c>
      <c r="F870" s="2" t="s">
        <v>34</v>
      </c>
      <c r="G870" s="2" t="s">
        <v>48</v>
      </c>
      <c r="H870" s="2" t="s">
        <v>864</v>
      </c>
      <c r="I870" s="2" t="s">
        <v>383</v>
      </c>
      <c r="J870" s="2">
        <v>5000</v>
      </c>
      <c r="K870" s="2" t="s">
        <v>29</v>
      </c>
      <c r="L870" s="2" t="s">
        <v>55</v>
      </c>
    </row>
    <row r="871" spans="1:12" ht="16.2" customHeight="1">
      <c r="A871" s="3" t="s">
        <v>1823</v>
      </c>
      <c r="B871" s="3" t="s">
        <v>781</v>
      </c>
      <c r="C871" s="3">
        <v>63</v>
      </c>
      <c r="D871" s="3" t="s">
        <v>14</v>
      </c>
      <c r="E871" s="3" t="s">
        <v>15</v>
      </c>
      <c r="F871" s="3" t="s">
        <v>16</v>
      </c>
      <c r="G871" s="3" t="s">
        <v>26</v>
      </c>
      <c r="H871" s="3" t="s">
        <v>72</v>
      </c>
      <c r="I871" s="3" t="s">
        <v>259</v>
      </c>
      <c r="J871" s="3">
        <v>100000</v>
      </c>
      <c r="K871" s="3" t="s">
        <v>96</v>
      </c>
      <c r="L871" s="3" t="s">
        <v>55</v>
      </c>
    </row>
    <row r="872" spans="1:12" ht="16.2" customHeight="1">
      <c r="A872" s="2" t="s">
        <v>1824</v>
      </c>
      <c r="B872" s="2" t="s">
        <v>1001</v>
      </c>
      <c r="C872" s="2">
        <v>5</v>
      </c>
      <c r="D872" s="2" t="s">
        <v>14</v>
      </c>
      <c r="E872" s="2" t="s">
        <v>58</v>
      </c>
      <c r="F872" s="2" t="s">
        <v>127</v>
      </c>
      <c r="G872" s="2" t="s">
        <v>48</v>
      </c>
      <c r="H872" s="2" t="s">
        <v>1320</v>
      </c>
      <c r="I872" s="2" t="s">
        <v>594</v>
      </c>
      <c r="J872" s="2">
        <v>20000</v>
      </c>
      <c r="K872" s="2" t="s">
        <v>20</v>
      </c>
      <c r="L872" s="2" t="s">
        <v>38</v>
      </c>
    </row>
    <row r="873" spans="1:12" ht="16.2" customHeight="1">
      <c r="A873" s="3" t="s">
        <v>1825</v>
      </c>
      <c r="B873" s="3" t="s">
        <v>1826</v>
      </c>
      <c r="C873" s="3">
        <v>23</v>
      </c>
      <c r="D873" s="3" t="s">
        <v>32</v>
      </c>
      <c r="E873" s="3" t="s">
        <v>33</v>
      </c>
      <c r="F873" s="3" t="s">
        <v>42</v>
      </c>
      <c r="G873" s="3" t="s">
        <v>53</v>
      </c>
      <c r="H873" s="3" t="s">
        <v>1017</v>
      </c>
      <c r="I873" s="3" t="s">
        <v>283</v>
      </c>
      <c r="J873" s="3">
        <v>5000</v>
      </c>
      <c r="K873" s="3" t="s">
        <v>29</v>
      </c>
      <c r="L873" s="3" t="s">
        <v>38</v>
      </c>
    </row>
    <row r="874" spans="1:12" ht="16.2" customHeight="1">
      <c r="A874" s="2" t="s">
        <v>1827</v>
      </c>
      <c r="B874" s="2" t="s">
        <v>678</v>
      </c>
      <c r="C874" s="2">
        <v>17</v>
      </c>
      <c r="D874" s="2" t="s">
        <v>506</v>
      </c>
      <c r="E874" s="2" t="s">
        <v>52</v>
      </c>
      <c r="F874" s="2" t="s">
        <v>16</v>
      </c>
      <c r="G874" s="2" t="s">
        <v>104</v>
      </c>
      <c r="H874" s="2" t="s">
        <v>280</v>
      </c>
      <c r="I874" s="2" t="s">
        <v>283</v>
      </c>
      <c r="J874" s="2">
        <v>100000</v>
      </c>
      <c r="K874" s="2" t="s">
        <v>37</v>
      </c>
      <c r="L874" s="2" t="s">
        <v>38</v>
      </c>
    </row>
    <row r="875" spans="1:12" ht="16.2" customHeight="1">
      <c r="A875" s="3" t="s">
        <v>1828</v>
      </c>
      <c r="B875" s="3" t="s">
        <v>1409</v>
      </c>
      <c r="C875" s="3">
        <v>72</v>
      </c>
      <c r="D875" s="3" t="s">
        <v>14</v>
      </c>
      <c r="E875" s="3" t="s">
        <v>52</v>
      </c>
      <c r="F875" s="3" t="s">
        <v>25</v>
      </c>
      <c r="G875" s="3" t="s">
        <v>17</v>
      </c>
      <c r="H875" s="3" t="s">
        <v>394</v>
      </c>
      <c r="I875" s="3" t="s">
        <v>662</v>
      </c>
      <c r="J875" s="3">
        <v>75000</v>
      </c>
      <c r="K875" s="3" t="s">
        <v>67</v>
      </c>
      <c r="L875" s="3" t="s">
        <v>87</v>
      </c>
    </row>
    <row r="876" spans="1:12" ht="16.2" customHeight="1">
      <c r="A876" s="2" t="s">
        <v>1829</v>
      </c>
      <c r="B876" s="2" t="s">
        <v>401</v>
      </c>
      <c r="C876" s="2">
        <v>82</v>
      </c>
      <c r="D876" s="2" t="s">
        <v>14</v>
      </c>
      <c r="E876" s="2" t="s">
        <v>58</v>
      </c>
      <c r="F876" s="2" t="s">
        <v>76</v>
      </c>
      <c r="G876" s="2" t="s">
        <v>35</v>
      </c>
      <c r="H876" s="2" t="s">
        <v>1021</v>
      </c>
      <c r="I876" s="2" t="s">
        <v>206</v>
      </c>
      <c r="J876" s="2">
        <v>20000</v>
      </c>
      <c r="K876" s="2" t="s">
        <v>37</v>
      </c>
      <c r="L876" s="2" t="s">
        <v>38</v>
      </c>
    </row>
    <row r="877" spans="1:12" ht="16.2" customHeight="1">
      <c r="A877" s="3" t="s">
        <v>1830</v>
      </c>
      <c r="B877" s="3" t="s">
        <v>428</v>
      </c>
      <c r="C877" s="3">
        <v>72</v>
      </c>
      <c r="D877" s="3" t="s">
        <v>14</v>
      </c>
      <c r="E877" s="3"/>
      <c r="F877" s="3" t="s">
        <v>42</v>
      </c>
      <c r="G877" s="3" t="s">
        <v>104</v>
      </c>
      <c r="H877" s="3" t="s">
        <v>314</v>
      </c>
      <c r="I877" s="3" t="s">
        <v>685</v>
      </c>
      <c r="J877" s="3">
        <v>100000</v>
      </c>
      <c r="K877" s="3" t="s">
        <v>20</v>
      </c>
      <c r="L877" s="3" t="s">
        <v>87</v>
      </c>
    </row>
    <row r="878" spans="1:12" ht="16.2" customHeight="1">
      <c r="A878" s="2" t="s">
        <v>1831</v>
      </c>
      <c r="B878" s="2" t="s">
        <v>652</v>
      </c>
      <c r="C878" s="2">
        <v>68</v>
      </c>
      <c r="D878" s="2" t="s">
        <v>14</v>
      </c>
      <c r="E878" s="2" t="s">
        <v>109</v>
      </c>
      <c r="F878" s="2" t="s">
        <v>127</v>
      </c>
      <c r="G878" s="2" t="s">
        <v>48</v>
      </c>
      <c r="H878" s="2" t="s">
        <v>1121</v>
      </c>
      <c r="I878" s="2" t="s">
        <v>464</v>
      </c>
      <c r="J878" s="2">
        <v>12000</v>
      </c>
      <c r="K878" s="2" t="s">
        <v>20</v>
      </c>
      <c r="L878" s="2" t="s">
        <v>87</v>
      </c>
    </row>
    <row r="879" spans="1:12" ht="16.2" customHeight="1">
      <c r="A879" s="3" t="s">
        <v>1832</v>
      </c>
      <c r="B879" s="3" t="s">
        <v>1360</v>
      </c>
      <c r="C879" s="3">
        <v>90</v>
      </c>
      <c r="D879" s="3" t="s">
        <v>41</v>
      </c>
      <c r="E879" s="3" t="s">
        <v>33</v>
      </c>
      <c r="F879" s="3" t="s">
        <v>76</v>
      </c>
      <c r="G879" s="3" t="s">
        <v>35</v>
      </c>
      <c r="H879" s="3" t="s">
        <v>557</v>
      </c>
      <c r="I879" s="3" t="s">
        <v>627</v>
      </c>
      <c r="J879" s="3">
        <v>50000</v>
      </c>
      <c r="K879" s="3" t="s">
        <v>29</v>
      </c>
      <c r="L879" s="3" t="s">
        <v>87</v>
      </c>
    </row>
    <row r="880" spans="1:12" ht="16.2" customHeight="1">
      <c r="A880" s="2" t="s">
        <v>1833</v>
      </c>
      <c r="B880" s="2" t="s">
        <v>1069</v>
      </c>
      <c r="C880" s="2">
        <v>56</v>
      </c>
      <c r="D880" s="2" t="s">
        <v>287</v>
      </c>
      <c r="E880" s="2" t="s">
        <v>52</v>
      </c>
      <c r="F880" s="2" t="s">
        <v>132</v>
      </c>
      <c r="G880" s="2" t="s">
        <v>53</v>
      </c>
      <c r="H880" s="2" t="s">
        <v>504</v>
      </c>
      <c r="I880" s="2" t="s">
        <v>335</v>
      </c>
      <c r="J880" s="2">
        <v>35000</v>
      </c>
      <c r="K880" s="2" t="s">
        <v>20</v>
      </c>
      <c r="L880" s="2" t="s">
        <v>55</v>
      </c>
    </row>
    <row r="881" spans="1:12" ht="16.2" customHeight="1">
      <c r="A881" s="3" t="s">
        <v>1834</v>
      </c>
      <c r="B881" s="3" t="s">
        <v>1777</v>
      </c>
      <c r="C881" s="3">
        <v>63</v>
      </c>
      <c r="D881" s="3" t="s">
        <v>14</v>
      </c>
      <c r="E881" s="3" t="s">
        <v>15</v>
      </c>
      <c r="F881" s="3" t="s">
        <v>127</v>
      </c>
      <c r="G881" s="3" t="s">
        <v>48</v>
      </c>
      <c r="H881" s="3" t="s">
        <v>111</v>
      </c>
      <c r="I881" s="3" t="s">
        <v>313</v>
      </c>
      <c r="J881" s="3">
        <v>20000</v>
      </c>
      <c r="K881" s="3" t="s">
        <v>37</v>
      </c>
      <c r="L881" s="3" t="s">
        <v>87</v>
      </c>
    </row>
    <row r="882" spans="1:12" ht="16.2" customHeight="1">
      <c r="A882" s="2" t="s">
        <v>1835</v>
      </c>
      <c r="B882" s="2" t="s">
        <v>1836</v>
      </c>
      <c r="C882" s="2">
        <v>67</v>
      </c>
      <c r="D882" s="2" t="s">
        <v>14</v>
      </c>
      <c r="E882" s="2" t="s">
        <v>33</v>
      </c>
      <c r="F882" s="2" t="s">
        <v>127</v>
      </c>
      <c r="G882" s="2" t="s">
        <v>99</v>
      </c>
      <c r="H882" s="2" t="s">
        <v>1042</v>
      </c>
      <c r="I882" s="2" t="s">
        <v>145</v>
      </c>
      <c r="J882" s="2">
        <v>5000</v>
      </c>
      <c r="K882" s="2" t="s">
        <v>67</v>
      </c>
      <c r="L882" s="2" t="s">
        <v>55</v>
      </c>
    </row>
    <row r="883" spans="1:12" ht="16.2" customHeight="1">
      <c r="A883" s="3" t="s">
        <v>1837</v>
      </c>
      <c r="B883" s="3" t="s">
        <v>1563</v>
      </c>
      <c r="C883" s="3">
        <v>42</v>
      </c>
      <c r="D883" s="3" t="s">
        <v>14</v>
      </c>
      <c r="E883" s="3" t="s">
        <v>70</v>
      </c>
      <c r="F883" s="3" t="s">
        <v>132</v>
      </c>
      <c r="G883" s="3" t="s">
        <v>53</v>
      </c>
      <c r="H883" s="3" t="s">
        <v>816</v>
      </c>
      <c r="I883" s="3" t="s">
        <v>179</v>
      </c>
      <c r="J883" s="3">
        <v>20000</v>
      </c>
      <c r="K883" s="3" t="s">
        <v>67</v>
      </c>
      <c r="L883" s="3" t="s">
        <v>38</v>
      </c>
    </row>
    <row r="884" spans="1:12" ht="16.2" customHeight="1">
      <c r="A884" s="2" t="s">
        <v>1838</v>
      </c>
      <c r="B884" s="2" t="s">
        <v>1839</v>
      </c>
      <c r="C884" s="2">
        <v>84</v>
      </c>
      <c r="D884" s="2" t="s">
        <v>14</v>
      </c>
      <c r="E884" s="2" t="s">
        <v>58</v>
      </c>
      <c r="F884" s="2" t="s">
        <v>76</v>
      </c>
      <c r="G884" s="2" t="s">
        <v>53</v>
      </c>
      <c r="H884" s="2" t="s">
        <v>154</v>
      </c>
      <c r="I884" s="2" t="s">
        <v>696</v>
      </c>
      <c r="J884" s="2">
        <v>8000</v>
      </c>
      <c r="K884" s="2" t="s">
        <v>37</v>
      </c>
      <c r="L884" s="2" t="s">
        <v>38</v>
      </c>
    </row>
    <row r="885" spans="1:12" ht="16.2" customHeight="1">
      <c r="A885" s="3" t="s">
        <v>1840</v>
      </c>
      <c r="B885" s="3" t="s">
        <v>593</v>
      </c>
      <c r="C885" s="3">
        <v>88</v>
      </c>
      <c r="D885" s="3" t="s">
        <v>32</v>
      </c>
      <c r="E885" s="3" t="s">
        <v>15</v>
      </c>
      <c r="F885" s="3" t="s">
        <v>132</v>
      </c>
      <c r="G885" s="3" t="s">
        <v>99</v>
      </c>
      <c r="H885" s="3" t="s">
        <v>167</v>
      </c>
      <c r="I885" s="3" t="s">
        <v>94</v>
      </c>
      <c r="J885" s="3">
        <v>25000</v>
      </c>
      <c r="K885" s="3" t="s">
        <v>37</v>
      </c>
      <c r="L885" s="3" t="s">
        <v>87</v>
      </c>
    </row>
    <row r="886" spans="1:12" ht="16.2" customHeight="1">
      <c r="A886" s="2" t="s">
        <v>1841</v>
      </c>
      <c r="B886" s="2" t="s">
        <v>1842</v>
      </c>
      <c r="C886" s="2">
        <v>82</v>
      </c>
      <c r="D886" s="2" t="s">
        <v>287</v>
      </c>
      <c r="E886" s="2" t="s">
        <v>541</v>
      </c>
      <c r="F886" s="2" t="s">
        <v>34</v>
      </c>
      <c r="G886" s="2" t="s">
        <v>53</v>
      </c>
      <c r="H886" s="2" t="s">
        <v>1843</v>
      </c>
      <c r="I886" s="2" t="s">
        <v>317</v>
      </c>
      <c r="J886" s="2">
        <v>8000</v>
      </c>
      <c r="K886" s="2" t="s">
        <v>20</v>
      </c>
      <c r="L886" s="2" t="s">
        <v>55</v>
      </c>
    </row>
    <row r="887" spans="1:12" ht="16.2" customHeight="1">
      <c r="A887" s="3" t="s">
        <v>1841</v>
      </c>
      <c r="B887" s="3" t="s">
        <v>553</v>
      </c>
      <c r="C887" s="3">
        <v>82</v>
      </c>
      <c r="D887" s="3" t="s">
        <v>14</v>
      </c>
      <c r="E887" s="3" t="s">
        <v>70</v>
      </c>
      <c r="F887" s="3" t="s">
        <v>34</v>
      </c>
      <c r="G887" s="3" t="s">
        <v>53</v>
      </c>
      <c r="H887" s="3" t="s">
        <v>1843</v>
      </c>
      <c r="I887" s="3" t="s">
        <v>317</v>
      </c>
      <c r="J887" s="3">
        <v>8000</v>
      </c>
      <c r="K887" s="3" t="s">
        <v>20</v>
      </c>
      <c r="L887" s="3" t="s">
        <v>55</v>
      </c>
    </row>
    <row r="888" spans="1:12" ht="16.2" customHeight="1">
      <c r="A888" s="2" t="s">
        <v>1844</v>
      </c>
      <c r="B888" s="2" t="s">
        <v>103</v>
      </c>
      <c r="C888" s="2">
        <v>62</v>
      </c>
      <c r="D888" s="2" t="s">
        <v>32</v>
      </c>
      <c r="E888" s="2" t="s">
        <v>15</v>
      </c>
      <c r="F888" s="2" t="s">
        <v>132</v>
      </c>
      <c r="G888" s="2" t="s">
        <v>26</v>
      </c>
      <c r="H888" s="2" t="s">
        <v>842</v>
      </c>
      <c r="I888" s="2" t="s">
        <v>95</v>
      </c>
      <c r="J888" s="2">
        <v>5000</v>
      </c>
      <c r="K888" s="2" t="s">
        <v>37</v>
      </c>
      <c r="L888" s="2" t="s">
        <v>38</v>
      </c>
    </row>
    <row r="889" spans="1:12" ht="16.2" customHeight="1">
      <c r="A889" s="3" t="s">
        <v>1845</v>
      </c>
      <c r="B889" s="3" t="s">
        <v>153</v>
      </c>
      <c r="C889" s="3">
        <v>88</v>
      </c>
      <c r="D889" s="3" t="s">
        <v>14</v>
      </c>
      <c r="E889" s="3" t="s">
        <v>15</v>
      </c>
      <c r="F889" s="3" t="s">
        <v>16</v>
      </c>
      <c r="G889" s="3" t="s">
        <v>53</v>
      </c>
      <c r="H889" s="3" t="s">
        <v>507</v>
      </c>
      <c r="I889" s="3" t="s">
        <v>754</v>
      </c>
      <c r="J889" s="3">
        <v>8000</v>
      </c>
      <c r="K889" s="3" t="s">
        <v>37</v>
      </c>
      <c r="L889" s="3" t="s">
        <v>21</v>
      </c>
    </row>
    <row r="890" spans="1:12" ht="16.2" customHeight="1">
      <c r="A890" s="2" t="s">
        <v>1846</v>
      </c>
      <c r="B890" s="2" t="s">
        <v>1847</v>
      </c>
      <c r="C890" s="2">
        <v>5</v>
      </c>
      <c r="D890" s="2" t="s">
        <v>32</v>
      </c>
      <c r="E890" s="2" t="s">
        <v>85</v>
      </c>
      <c r="F890" s="2" t="s">
        <v>34</v>
      </c>
      <c r="G890" s="2" t="s">
        <v>35</v>
      </c>
      <c r="H890" s="2" t="s">
        <v>406</v>
      </c>
      <c r="I890" s="2" t="s">
        <v>861</v>
      </c>
      <c r="J890" s="2">
        <v>20000</v>
      </c>
      <c r="K890" s="2" t="s">
        <v>37</v>
      </c>
      <c r="L890" s="2" t="s">
        <v>21</v>
      </c>
    </row>
    <row r="891" spans="1:12" ht="16.2" customHeight="1">
      <c r="A891" s="3" t="s">
        <v>1848</v>
      </c>
      <c r="B891" s="3" t="s">
        <v>1849</v>
      </c>
      <c r="C891" s="3">
        <v>58</v>
      </c>
      <c r="D891" s="3" t="s">
        <v>14</v>
      </c>
      <c r="E891" s="3" t="s">
        <v>109</v>
      </c>
      <c r="F891" s="3" t="s">
        <v>127</v>
      </c>
      <c r="G891" s="3" t="s">
        <v>17</v>
      </c>
      <c r="H891" s="3" t="s">
        <v>511</v>
      </c>
      <c r="I891" s="3" t="s">
        <v>821</v>
      </c>
      <c r="J891" s="3">
        <v>20000</v>
      </c>
      <c r="K891" s="3" t="s">
        <v>67</v>
      </c>
      <c r="L891" s="3" t="s">
        <v>21</v>
      </c>
    </row>
    <row r="892" spans="1:12" ht="16.2" customHeight="1">
      <c r="A892" s="2" t="s">
        <v>1850</v>
      </c>
      <c r="B892" s="2" t="s">
        <v>1851</v>
      </c>
      <c r="C892" s="2">
        <v>41</v>
      </c>
      <c r="D892" s="2" t="s">
        <v>321</v>
      </c>
      <c r="E892" s="2" t="s">
        <v>15</v>
      </c>
      <c r="F892" s="2" t="s">
        <v>76</v>
      </c>
      <c r="G892" s="2" t="s">
        <v>26</v>
      </c>
      <c r="H892" s="2" t="s">
        <v>95</v>
      </c>
      <c r="I892" s="2" t="s">
        <v>226</v>
      </c>
      <c r="J892" s="2">
        <v>5000</v>
      </c>
      <c r="K892" s="2" t="s">
        <v>20</v>
      </c>
      <c r="L892" s="2" t="s">
        <v>87</v>
      </c>
    </row>
    <row r="893" spans="1:12" ht="16.2" customHeight="1">
      <c r="A893" s="3" t="s">
        <v>1852</v>
      </c>
      <c r="B893" s="3" t="s">
        <v>740</v>
      </c>
      <c r="C893" s="3">
        <v>20</v>
      </c>
      <c r="D893" s="3" t="s">
        <v>14</v>
      </c>
      <c r="E893" s="3" t="s">
        <v>58</v>
      </c>
      <c r="F893" s="3" t="s">
        <v>127</v>
      </c>
      <c r="G893" s="3" t="s">
        <v>99</v>
      </c>
      <c r="H893" s="3" t="s">
        <v>741</v>
      </c>
      <c r="I893" s="3" t="s">
        <v>742</v>
      </c>
      <c r="J893" s="3">
        <v>100000</v>
      </c>
      <c r="K893" s="3" t="s">
        <v>29</v>
      </c>
      <c r="L893" s="3" t="s">
        <v>38</v>
      </c>
    </row>
    <row r="894" spans="1:12" ht="16.2" customHeight="1">
      <c r="A894" s="2" t="s">
        <v>1853</v>
      </c>
      <c r="B894" s="2" t="s">
        <v>1854</v>
      </c>
      <c r="C894" s="2">
        <v>8</v>
      </c>
      <c r="D894" s="2" t="s">
        <v>32</v>
      </c>
      <c r="E894" s="2" t="s">
        <v>1526</v>
      </c>
      <c r="F894" s="2" t="s">
        <v>127</v>
      </c>
      <c r="G894" s="2" t="s">
        <v>35</v>
      </c>
      <c r="H894" s="2" t="s">
        <v>1121</v>
      </c>
      <c r="I894" s="2" t="s">
        <v>1227</v>
      </c>
      <c r="J894" s="2">
        <v>25000</v>
      </c>
      <c r="K894" s="2" t="s">
        <v>29</v>
      </c>
      <c r="L894" s="2" t="s">
        <v>21</v>
      </c>
    </row>
    <row r="895" spans="1:12" ht="16.2" customHeight="1">
      <c r="A895" s="3" t="s">
        <v>1855</v>
      </c>
      <c r="B895" s="3" t="s">
        <v>1856</v>
      </c>
      <c r="C895" s="3">
        <v>83</v>
      </c>
      <c r="D895" s="3" t="s">
        <v>32</v>
      </c>
      <c r="E895" s="3" t="s">
        <v>109</v>
      </c>
      <c r="F895" s="3" t="s">
        <v>132</v>
      </c>
      <c r="G895" s="3" t="s">
        <v>53</v>
      </c>
      <c r="H895" s="3" t="s">
        <v>1156</v>
      </c>
      <c r="I895" s="3" t="s">
        <v>478</v>
      </c>
      <c r="J895" s="3">
        <v>75000</v>
      </c>
      <c r="K895" s="3" t="s">
        <v>37</v>
      </c>
      <c r="L895" s="3" t="s">
        <v>87</v>
      </c>
    </row>
    <row r="896" spans="1:12" ht="16.2" customHeight="1">
      <c r="A896" s="2" t="s">
        <v>1857</v>
      </c>
      <c r="B896" s="2" t="s">
        <v>1461</v>
      </c>
      <c r="C896" s="2">
        <v>53</v>
      </c>
      <c r="D896" s="2" t="s">
        <v>14</v>
      </c>
      <c r="E896" s="2" t="s">
        <v>994</v>
      </c>
      <c r="F896" s="2" t="s">
        <v>34</v>
      </c>
      <c r="G896" s="2" t="s">
        <v>26</v>
      </c>
      <c r="H896" s="2" t="s">
        <v>194</v>
      </c>
      <c r="I896" s="2" t="s">
        <v>1015</v>
      </c>
      <c r="J896" s="2">
        <v>5000</v>
      </c>
      <c r="K896" s="2" t="s">
        <v>29</v>
      </c>
      <c r="L896" s="2" t="s">
        <v>38</v>
      </c>
    </row>
    <row r="897" spans="1:12" ht="16.2" customHeight="1">
      <c r="A897" s="3" t="s">
        <v>1858</v>
      </c>
      <c r="B897" s="3" t="s">
        <v>214</v>
      </c>
      <c r="C897" s="3">
        <v>11</v>
      </c>
      <c r="D897" s="3" t="s">
        <v>32</v>
      </c>
      <c r="E897" s="3" t="s">
        <v>85</v>
      </c>
      <c r="F897" s="3" t="s">
        <v>42</v>
      </c>
      <c r="G897" s="3" t="s">
        <v>104</v>
      </c>
      <c r="H897" s="3" t="s">
        <v>91</v>
      </c>
      <c r="I897" s="3" t="s">
        <v>377</v>
      </c>
      <c r="J897" s="3">
        <v>20000</v>
      </c>
      <c r="K897" s="3" t="s">
        <v>37</v>
      </c>
      <c r="L897" s="3" t="s">
        <v>38</v>
      </c>
    </row>
    <row r="898" spans="1:12" ht="16.2" customHeight="1">
      <c r="A898" s="2" t="s">
        <v>1859</v>
      </c>
      <c r="B898" s="2" t="s">
        <v>887</v>
      </c>
      <c r="C898" s="2">
        <v>54</v>
      </c>
      <c r="D898" s="2" t="s">
        <v>14</v>
      </c>
      <c r="E898" s="2" t="s">
        <v>70</v>
      </c>
      <c r="F898" s="2" t="s">
        <v>127</v>
      </c>
      <c r="G898" s="2" t="s">
        <v>99</v>
      </c>
      <c r="H898" s="2" t="s">
        <v>1132</v>
      </c>
      <c r="I898" s="2" t="s">
        <v>405</v>
      </c>
      <c r="J898" s="2">
        <v>25000</v>
      </c>
      <c r="K898" s="2" t="s">
        <v>29</v>
      </c>
      <c r="L898" s="2" t="s">
        <v>55</v>
      </c>
    </row>
    <row r="899" spans="1:12" ht="16.2" customHeight="1">
      <c r="A899" s="3" t="s">
        <v>1860</v>
      </c>
      <c r="B899" s="3" t="s">
        <v>845</v>
      </c>
      <c r="C899" s="3">
        <v>33</v>
      </c>
      <c r="D899" s="3" t="s">
        <v>32</v>
      </c>
      <c r="E899" s="3" t="s">
        <v>466</v>
      </c>
      <c r="F899" s="3" t="s">
        <v>25</v>
      </c>
      <c r="G899" s="3" t="s">
        <v>48</v>
      </c>
      <c r="H899" s="3" t="s">
        <v>36</v>
      </c>
      <c r="I899" s="3" t="s">
        <v>301</v>
      </c>
      <c r="J899" s="3">
        <v>12000</v>
      </c>
      <c r="K899" s="3" t="s">
        <v>37</v>
      </c>
      <c r="L899" s="3" t="s">
        <v>55</v>
      </c>
    </row>
    <row r="900" spans="1:12" ht="16.2" customHeight="1">
      <c r="A900" s="2" t="s">
        <v>1861</v>
      </c>
      <c r="B900" s="2" t="s">
        <v>1774</v>
      </c>
      <c r="C900" s="2">
        <v>78</v>
      </c>
      <c r="D900" s="2" t="s">
        <v>32</v>
      </c>
      <c r="E900" s="2" t="s">
        <v>441</v>
      </c>
      <c r="F900" s="2" t="s">
        <v>76</v>
      </c>
      <c r="G900" s="2" t="s">
        <v>104</v>
      </c>
      <c r="H900" s="2" t="s">
        <v>610</v>
      </c>
      <c r="I900" s="2" t="s">
        <v>44</v>
      </c>
      <c r="J900" s="2">
        <v>20000</v>
      </c>
      <c r="K900" s="2" t="s">
        <v>67</v>
      </c>
      <c r="L900" s="2" t="s">
        <v>55</v>
      </c>
    </row>
    <row r="901" spans="1:12" ht="16.2" customHeight="1">
      <c r="A901" s="3" t="s">
        <v>1862</v>
      </c>
      <c r="B901" s="3" t="s">
        <v>40</v>
      </c>
      <c r="C901" s="3">
        <v>42</v>
      </c>
      <c r="D901" s="3" t="s">
        <v>14</v>
      </c>
      <c r="E901" s="3" t="s">
        <v>15</v>
      </c>
      <c r="F901" s="3" t="s">
        <v>127</v>
      </c>
      <c r="G901" s="3" t="s">
        <v>17</v>
      </c>
      <c r="H901" s="3" t="s">
        <v>405</v>
      </c>
      <c r="I901" s="3" t="s">
        <v>190</v>
      </c>
      <c r="J901" s="3">
        <v>15000</v>
      </c>
      <c r="K901" s="3" t="s">
        <v>67</v>
      </c>
      <c r="L901" s="3" t="s">
        <v>55</v>
      </c>
    </row>
    <row r="902" spans="1:12" ht="16.2" customHeight="1">
      <c r="A902" s="2" t="s">
        <v>1863</v>
      </c>
      <c r="B902" s="2" t="s">
        <v>1478</v>
      </c>
      <c r="C902" s="2">
        <v>14</v>
      </c>
      <c r="D902" s="2" t="s">
        <v>32</v>
      </c>
      <c r="E902" s="2" t="s">
        <v>33</v>
      </c>
      <c r="F902" s="2" t="s">
        <v>25</v>
      </c>
      <c r="G902" s="2" t="s">
        <v>35</v>
      </c>
      <c r="H902" s="2" t="s">
        <v>1319</v>
      </c>
      <c r="I902" s="2" t="s">
        <v>383</v>
      </c>
      <c r="J902" s="2"/>
      <c r="K902" s="2" t="s">
        <v>29</v>
      </c>
      <c r="L902" s="2" t="s">
        <v>21</v>
      </c>
    </row>
    <row r="903" spans="1:12" ht="16.2" customHeight="1">
      <c r="A903" s="3" t="s">
        <v>1864</v>
      </c>
      <c r="B903" s="3" t="s">
        <v>704</v>
      </c>
      <c r="C903" s="3">
        <v>34</v>
      </c>
      <c r="D903" s="3" t="s">
        <v>32</v>
      </c>
      <c r="E903" s="3" t="s">
        <v>58</v>
      </c>
      <c r="F903" s="3" t="s">
        <v>1865</v>
      </c>
      <c r="G903" s="3" t="s">
        <v>48</v>
      </c>
      <c r="H903" s="3" t="s">
        <v>1866</v>
      </c>
      <c r="I903" s="3" t="s">
        <v>133</v>
      </c>
      <c r="J903" s="3">
        <v>5000</v>
      </c>
      <c r="K903" s="3" t="s">
        <v>67</v>
      </c>
      <c r="L903" s="3" t="s">
        <v>87</v>
      </c>
    </row>
    <row r="904" spans="1:12" ht="16.2" customHeight="1">
      <c r="A904" s="2" t="s">
        <v>1867</v>
      </c>
      <c r="B904" s="2" t="s">
        <v>1868</v>
      </c>
      <c r="C904" s="2">
        <v>62</v>
      </c>
      <c r="D904" s="2" t="s">
        <v>14</v>
      </c>
      <c r="E904" s="2" t="s">
        <v>109</v>
      </c>
      <c r="F904" s="2" t="s">
        <v>25</v>
      </c>
      <c r="G904" s="2" t="s">
        <v>26</v>
      </c>
      <c r="H904" s="2" t="s">
        <v>577</v>
      </c>
      <c r="I904" s="2" t="s">
        <v>86</v>
      </c>
      <c r="J904" s="2">
        <v>20000</v>
      </c>
      <c r="K904" s="2" t="s">
        <v>29</v>
      </c>
      <c r="L904" s="2" t="s">
        <v>87</v>
      </c>
    </row>
    <row r="905" spans="1:12" ht="16.2" customHeight="1">
      <c r="A905" s="3" t="s">
        <v>1869</v>
      </c>
      <c r="B905" s="3" t="s">
        <v>1603</v>
      </c>
      <c r="C905" s="3">
        <v>53</v>
      </c>
      <c r="D905" s="3" t="s">
        <v>14</v>
      </c>
      <c r="E905" s="3" t="s">
        <v>70</v>
      </c>
      <c r="F905" s="3" t="s">
        <v>16</v>
      </c>
      <c r="G905" s="3" t="s">
        <v>17</v>
      </c>
      <c r="H905" s="3" t="s">
        <v>28</v>
      </c>
      <c r="I905" s="3" t="s">
        <v>464</v>
      </c>
      <c r="J905" s="3">
        <v>5000</v>
      </c>
      <c r="K905" s="3" t="s">
        <v>37</v>
      </c>
      <c r="L905" s="3"/>
    </row>
    <row r="906" spans="1:12" ht="16.2" customHeight="1">
      <c r="A906" s="2" t="s">
        <v>1870</v>
      </c>
      <c r="B906" s="2" t="s">
        <v>783</v>
      </c>
      <c r="C906" s="2">
        <v>69</v>
      </c>
      <c r="D906" s="2" t="s">
        <v>14</v>
      </c>
      <c r="E906" s="2" t="s">
        <v>85</v>
      </c>
      <c r="F906" s="2" t="s">
        <v>76</v>
      </c>
      <c r="G906" s="2" t="s">
        <v>26</v>
      </c>
      <c r="H906" s="2" t="s">
        <v>607</v>
      </c>
      <c r="I906" s="2" t="s">
        <v>864</v>
      </c>
      <c r="J906" s="2">
        <v>20000</v>
      </c>
      <c r="K906" s="2" t="s">
        <v>67</v>
      </c>
      <c r="L906" s="2" t="s">
        <v>87</v>
      </c>
    </row>
    <row r="907" spans="1:12" ht="16.2" customHeight="1">
      <c r="A907" s="3" t="s">
        <v>1871</v>
      </c>
      <c r="B907" s="3" t="s">
        <v>902</v>
      </c>
      <c r="C907" s="3">
        <v>-5</v>
      </c>
      <c r="D907" s="3" t="s">
        <v>32</v>
      </c>
      <c r="E907" s="3" t="s">
        <v>109</v>
      </c>
      <c r="F907" s="3" t="s">
        <v>127</v>
      </c>
      <c r="G907" s="3" t="s">
        <v>35</v>
      </c>
      <c r="H907" s="3" t="s">
        <v>1866</v>
      </c>
      <c r="I907" s="3" t="s">
        <v>624</v>
      </c>
      <c r="J907" s="3">
        <v>999999999</v>
      </c>
      <c r="K907" s="3" t="s">
        <v>29</v>
      </c>
      <c r="L907" s="3" t="s">
        <v>21</v>
      </c>
    </row>
    <row r="908" spans="1:12" ht="16.2" customHeight="1">
      <c r="A908" s="2" t="s">
        <v>1872</v>
      </c>
      <c r="B908" s="2" t="s">
        <v>1153</v>
      </c>
      <c r="C908" s="2">
        <v>35</v>
      </c>
      <c r="D908" s="2" t="s">
        <v>14</v>
      </c>
      <c r="E908" s="2" t="s">
        <v>15</v>
      </c>
      <c r="F908" s="2" t="s">
        <v>76</v>
      </c>
      <c r="G908" s="2" t="s">
        <v>53</v>
      </c>
      <c r="H908" s="2" t="s">
        <v>627</v>
      </c>
      <c r="I908" s="2" t="s">
        <v>44</v>
      </c>
      <c r="J908" s="2">
        <v>25000</v>
      </c>
      <c r="K908" s="2" t="s">
        <v>29</v>
      </c>
      <c r="L908" s="2" t="s">
        <v>55</v>
      </c>
    </row>
    <row r="909" spans="1:12" ht="16.2" customHeight="1">
      <c r="A909" s="3" t="s">
        <v>1873</v>
      </c>
      <c r="B909" s="3" t="s">
        <v>1874</v>
      </c>
      <c r="C909" s="3">
        <v>6</v>
      </c>
      <c r="D909" s="3" t="s">
        <v>32</v>
      </c>
      <c r="E909" s="3" t="s">
        <v>70</v>
      </c>
      <c r="F909" s="3" t="s">
        <v>127</v>
      </c>
      <c r="G909" s="3" t="s">
        <v>17</v>
      </c>
      <c r="H909" s="3" t="s">
        <v>202</v>
      </c>
      <c r="I909" s="3" t="s">
        <v>203</v>
      </c>
      <c r="J909" s="3">
        <v>20000</v>
      </c>
      <c r="K909" s="3" t="s">
        <v>67</v>
      </c>
      <c r="L909" s="3" t="s">
        <v>87</v>
      </c>
    </row>
    <row r="910" spans="1:12" ht="16.2" customHeight="1">
      <c r="A910" s="2" t="s">
        <v>1875</v>
      </c>
      <c r="B910" s="2" t="s">
        <v>1236</v>
      </c>
      <c r="C910" s="2">
        <v>27</v>
      </c>
      <c r="D910" s="2" t="s">
        <v>32</v>
      </c>
      <c r="E910" s="2" t="s">
        <v>15</v>
      </c>
      <c r="F910" s="2" t="s">
        <v>34</v>
      </c>
      <c r="G910" s="2" t="s">
        <v>53</v>
      </c>
      <c r="H910" s="2" t="s">
        <v>793</v>
      </c>
      <c r="I910" s="2" t="s">
        <v>236</v>
      </c>
      <c r="J910" s="2">
        <v>15000</v>
      </c>
      <c r="K910" s="2" t="s">
        <v>67</v>
      </c>
      <c r="L910" s="2" t="s">
        <v>38</v>
      </c>
    </row>
    <row r="911" spans="1:12" ht="16.2" customHeight="1">
      <c r="A911" s="3" t="s">
        <v>1876</v>
      </c>
      <c r="B911" s="3" t="s">
        <v>1026</v>
      </c>
      <c r="C911" s="3">
        <v>62</v>
      </c>
      <c r="D911" s="3" t="s">
        <v>32</v>
      </c>
      <c r="E911" s="3" t="s">
        <v>70</v>
      </c>
      <c r="F911" s="3" t="s">
        <v>34</v>
      </c>
      <c r="G911" s="3" t="s">
        <v>35</v>
      </c>
      <c r="H911" s="3" t="s">
        <v>464</v>
      </c>
      <c r="I911" s="3" t="s">
        <v>111</v>
      </c>
      <c r="J911" s="3">
        <v>75000</v>
      </c>
      <c r="K911" s="3" t="s">
        <v>37</v>
      </c>
      <c r="L911" s="3"/>
    </row>
    <row r="912" spans="1:12" ht="16.2" customHeight="1">
      <c r="A912" s="2" t="s">
        <v>1877</v>
      </c>
      <c r="B912" s="2" t="s">
        <v>1486</v>
      </c>
      <c r="C912" s="2">
        <v>25</v>
      </c>
      <c r="D912" s="2" t="s">
        <v>14</v>
      </c>
      <c r="E912" s="2" t="s">
        <v>15</v>
      </c>
      <c r="F912" s="2" t="s">
        <v>76</v>
      </c>
      <c r="G912" s="2" t="s">
        <v>99</v>
      </c>
      <c r="H912" s="2" t="s">
        <v>322</v>
      </c>
      <c r="I912" s="2" t="s">
        <v>560</v>
      </c>
      <c r="J912" s="2">
        <v>25000</v>
      </c>
      <c r="K912" s="2" t="s">
        <v>37</v>
      </c>
      <c r="L912" s="2" t="s">
        <v>38</v>
      </c>
    </row>
    <row r="913" spans="1:12" ht="16.2" customHeight="1">
      <c r="A913" s="3" t="s">
        <v>1878</v>
      </c>
      <c r="B913" s="3" t="s">
        <v>963</v>
      </c>
      <c r="C913" s="3">
        <v>83</v>
      </c>
      <c r="D913" s="3" t="s">
        <v>14</v>
      </c>
      <c r="E913" s="3" t="s">
        <v>33</v>
      </c>
      <c r="F913" s="3" t="s">
        <v>34</v>
      </c>
      <c r="G913" s="3" t="s">
        <v>17</v>
      </c>
      <c r="H913" s="3" t="s">
        <v>309</v>
      </c>
      <c r="I913" s="3" t="s">
        <v>908</v>
      </c>
      <c r="J913" s="3">
        <v>15000</v>
      </c>
      <c r="K913" s="3" t="s">
        <v>29</v>
      </c>
      <c r="L913" s="3" t="s">
        <v>87</v>
      </c>
    </row>
    <row r="914" spans="1:12" ht="16.2" customHeight="1">
      <c r="A914" s="2" t="s">
        <v>1879</v>
      </c>
      <c r="B914" s="2" t="s">
        <v>1880</v>
      </c>
      <c r="C914" s="2">
        <v>80</v>
      </c>
      <c r="D914" s="2" t="s">
        <v>14</v>
      </c>
      <c r="E914" s="2" t="s">
        <v>15</v>
      </c>
      <c r="F914" s="2" t="s">
        <v>34</v>
      </c>
      <c r="G914" s="2" t="s">
        <v>26</v>
      </c>
      <c r="H914" s="2" t="s">
        <v>1319</v>
      </c>
      <c r="I914" s="2" t="s">
        <v>72</v>
      </c>
      <c r="J914" s="2">
        <v>25000</v>
      </c>
      <c r="K914" s="2" t="s">
        <v>37</v>
      </c>
      <c r="L914" s="2" t="s">
        <v>21</v>
      </c>
    </row>
    <row r="915" spans="1:12" ht="16.2" customHeight="1">
      <c r="A915" s="3" t="s">
        <v>1881</v>
      </c>
      <c r="B915" s="3" t="s">
        <v>234</v>
      </c>
      <c r="C915" s="3">
        <v>75</v>
      </c>
      <c r="D915" s="3" t="s">
        <v>338</v>
      </c>
      <c r="E915" s="3" t="s">
        <v>58</v>
      </c>
      <c r="F915" s="3" t="s">
        <v>76</v>
      </c>
      <c r="G915" s="3" t="s">
        <v>99</v>
      </c>
      <c r="H915" s="3" t="s">
        <v>78</v>
      </c>
      <c r="I915" s="3" t="s">
        <v>728</v>
      </c>
      <c r="J915" s="3">
        <v>8000</v>
      </c>
      <c r="K915" s="3" t="s">
        <v>37</v>
      </c>
      <c r="L915" s="3" t="s">
        <v>38</v>
      </c>
    </row>
    <row r="916" spans="1:12" ht="16.2" customHeight="1">
      <c r="A916" s="2" t="s">
        <v>1882</v>
      </c>
      <c r="B916" s="2" t="s">
        <v>1108</v>
      </c>
      <c r="C916" s="2">
        <v>76</v>
      </c>
      <c r="D916" s="2" t="s">
        <v>32</v>
      </c>
      <c r="E916" s="2" t="s">
        <v>58</v>
      </c>
      <c r="F916" s="2" t="s">
        <v>25</v>
      </c>
      <c r="G916" s="2" t="s">
        <v>99</v>
      </c>
      <c r="H916" s="2" t="s">
        <v>100</v>
      </c>
      <c r="I916" s="2" t="s">
        <v>101</v>
      </c>
      <c r="J916" s="2">
        <v>15000</v>
      </c>
      <c r="K916" s="2" t="s">
        <v>238</v>
      </c>
      <c r="L916" s="2" t="s">
        <v>87</v>
      </c>
    </row>
    <row r="917" spans="1:12" ht="16.2" customHeight="1">
      <c r="A917" s="3" t="s">
        <v>1882</v>
      </c>
      <c r="B917" s="3" t="s">
        <v>1108</v>
      </c>
      <c r="C917" s="3">
        <v>76</v>
      </c>
      <c r="D917" s="3" t="s">
        <v>32</v>
      </c>
      <c r="E917" s="3" t="s">
        <v>58</v>
      </c>
      <c r="F917" s="3" t="s">
        <v>25</v>
      </c>
      <c r="G917" s="3" t="s">
        <v>99</v>
      </c>
      <c r="H917" s="3" t="s">
        <v>100</v>
      </c>
      <c r="I917" s="3" t="s">
        <v>101</v>
      </c>
      <c r="J917" s="3">
        <v>15000</v>
      </c>
      <c r="K917" s="3" t="s">
        <v>191</v>
      </c>
      <c r="L917" s="3" t="s">
        <v>87</v>
      </c>
    </row>
    <row r="918" spans="1:12" ht="16.2" customHeight="1">
      <c r="A918" s="2" t="s">
        <v>1883</v>
      </c>
      <c r="B918" s="2" t="s">
        <v>1884</v>
      </c>
      <c r="C918" s="2">
        <v>61</v>
      </c>
      <c r="D918" s="2" t="s">
        <v>14</v>
      </c>
      <c r="E918" s="2" t="s">
        <v>85</v>
      </c>
      <c r="F918" s="2" t="s">
        <v>573</v>
      </c>
      <c r="G918" s="2" t="s">
        <v>53</v>
      </c>
      <c r="H918" s="2" t="s">
        <v>973</v>
      </c>
      <c r="I918" s="2" t="s">
        <v>1209</v>
      </c>
      <c r="J918" s="2">
        <v>15000</v>
      </c>
      <c r="K918" s="2" t="s">
        <v>37</v>
      </c>
      <c r="L918" s="2" t="s">
        <v>87</v>
      </c>
    </row>
    <row r="919" spans="1:12" ht="16.2" customHeight="1">
      <c r="A919" s="3" t="s">
        <v>1885</v>
      </c>
      <c r="B919" s="3" t="s">
        <v>1886</v>
      </c>
      <c r="C919" s="3">
        <v>60</v>
      </c>
      <c r="D919" s="3" t="s">
        <v>287</v>
      </c>
      <c r="E919" s="3" t="s">
        <v>70</v>
      </c>
      <c r="F919" s="3" t="s">
        <v>42</v>
      </c>
      <c r="G919" s="3" t="s">
        <v>99</v>
      </c>
      <c r="H919" s="3" t="s">
        <v>451</v>
      </c>
      <c r="I919" s="3" t="s">
        <v>810</v>
      </c>
      <c r="J919" s="3">
        <v>35000</v>
      </c>
      <c r="K919" s="3" t="s">
        <v>29</v>
      </c>
      <c r="L919" s="3" t="s">
        <v>55</v>
      </c>
    </row>
    <row r="920" spans="1:12" ht="16.2" customHeight="1">
      <c r="A920" s="2" t="s">
        <v>1887</v>
      </c>
      <c r="B920" s="2" t="s">
        <v>121</v>
      </c>
      <c r="C920" s="2">
        <v>82</v>
      </c>
      <c r="D920" s="2" t="s">
        <v>32</v>
      </c>
      <c r="E920" s="2" t="s">
        <v>109</v>
      </c>
      <c r="F920" s="2" t="s">
        <v>201</v>
      </c>
      <c r="G920" s="2" t="s">
        <v>104</v>
      </c>
      <c r="H920" s="2" t="s">
        <v>471</v>
      </c>
      <c r="I920" s="2" t="s">
        <v>769</v>
      </c>
      <c r="J920" s="2">
        <v>8000</v>
      </c>
      <c r="K920" s="2" t="s">
        <v>20</v>
      </c>
      <c r="L920" s="2" t="s">
        <v>87</v>
      </c>
    </row>
    <row r="921" spans="1:12" ht="16.2" customHeight="1">
      <c r="A921" s="3" t="s">
        <v>1888</v>
      </c>
      <c r="B921" s="3" t="s">
        <v>380</v>
      </c>
      <c r="C921" s="3">
        <v>44</v>
      </c>
      <c r="D921" s="3" t="s">
        <v>32</v>
      </c>
      <c r="E921" s="3" t="s">
        <v>85</v>
      </c>
      <c r="F921" s="3" t="s">
        <v>141</v>
      </c>
      <c r="G921" s="3" t="s">
        <v>35</v>
      </c>
      <c r="H921" s="3" t="s">
        <v>430</v>
      </c>
      <c r="I921" s="3" t="s">
        <v>562</v>
      </c>
      <c r="J921" s="3">
        <v>15000</v>
      </c>
      <c r="K921" s="3" t="s">
        <v>37</v>
      </c>
      <c r="L921" s="3" t="s">
        <v>55</v>
      </c>
    </row>
    <row r="922" spans="1:12" ht="16.2" customHeight="1">
      <c r="A922" s="2" t="s">
        <v>1889</v>
      </c>
      <c r="B922" s="2" t="s">
        <v>932</v>
      </c>
      <c r="C922" s="2">
        <v>57</v>
      </c>
      <c r="D922" s="2" t="s">
        <v>14</v>
      </c>
      <c r="E922" s="2"/>
      <c r="F922" s="2" t="s">
        <v>132</v>
      </c>
      <c r="G922" s="2" t="s">
        <v>99</v>
      </c>
      <c r="H922" s="2" t="s">
        <v>134</v>
      </c>
      <c r="I922" s="2" t="s">
        <v>198</v>
      </c>
      <c r="J922" s="2">
        <v>20000</v>
      </c>
      <c r="K922" s="2" t="s">
        <v>20</v>
      </c>
      <c r="L922" s="2" t="s">
        <v>21</v>
      </c>
    </row>
    <row r="923" spans="1:12" ht="16.2" customHeight="1">
      <c r="A923" s="3" t="s">
        <v>1890</v>
      </c>
      <c r="B923" s="3" t="s">
        <v>1891</v>
      </c>
      <c r="C923" s="3">
        <v>56</v>
      </c>
      <c r="D923" s="3" t="s">
        <v>32</v>
      </c>
      <c r="E923" s="3" t="s">
        <v>58</v>
      </c>
      <c r="F923" s="3" t="s">
        <v>16</v>
      </c>
      <c r="G923" s="3" t="s">
        <v>99</v>
      </c>
      <c r="H923" s="3" t="s">
        <v>722</v>
      </c>
      <c r="I923" s="3" t="s">
        <v>433</v>
      </c>
      <c r="J923" s="3">
        <v>25000</v>
      </c>
      <c r="K923" s="3" t="s">
        <v>29</v>
      </c>
      <c r="L923" s="3" t="s">
        <v>21</v>
      </c>
    </row>
    <row r="924" spans="1:12" ht="16.2" customHeight="1">
      <c r="A924" s="2" t="s">
        <v>1892</v>
      </c>
      <c r="B924" s="2" t="s">
        <v>1543</v>
      </c>
      <c r="C924" s="2">
        <v>81</v>
      </c>
      <c r="D924" s="2" t="s">
        <v>32</v>
      </c>
      <c r="E924" s="2" t="s">
        <v>58</v>
      </c>
      <c r="F924" s="2" t="s">
        <v>16</v>
      </c>
      <c r="G924" s="2" t="s">
        <v>99</v>
      </c>
      <c r="H924" s="2" t="s">
        <v>367</v>
      </c>
      <c r="I924" s="2" t="s">
        <v>415</v>
      </c>
      <c r="J924" s="2">
        <v>12000</v>
      </c>
      <c r="K924" s="2" t="s">
        <v>37</v>
      </c>
      <c r="L924" s="2" t="s">
        <v>55</v>
      </c>
    </row>
    <row r="925" spans="1:12" ht="16.2" customHeight="1">
      <c r="A925" s="3" t="s">
        <v>1893</v>
      </c>
      <c r="B925" s="3" t="s">
        <v>661</v>
      </c>
      <c r="C925" s="3">
        <v>44</v>
      </c>
      <c r="D925" s="3" t="s">
        <v>32</v>
      </c>
      <c r="E925" s="3" t="s">
        <v>994</v>
      </c>
      <c r="F925" s="3" t="s">
        <v>132</v>
      </c>
      <c r="G925" s="3" t="s">
        <v>99</v>
      </c>
      <c r="H925" s="3" t="s">
        <v>851</v>
      </c>
      <c r="I925" s="3" t="s">
        <v>105</v>
      </c>
      <c r="J925" s="3">
        <v>100000</v>
      </c>
      <c r="K925" s="3" t="s">
        <v>67</v>
      </c>
      <c r="L925" s="3" t="s">
        <v>21</v>
      </c>
    </row>
    <row r="926" spans="1:12" ht="16.2" customHeight="1">
      <c r="A926" s="2" t="s">
        <v>1894</v>
      </c>
      <c r="B926" s="2" t="s">
        <v>1874</v>
      </c>
      <c r="C926" s="2">
        <v>85</v>
      </c>
      <c r="D926" s="2" t="s">
        <v>32</v>
      </c>
      <c r="E926" s="2" t="s">
        <v>85</v>
      </c>
      <c r="F926" s="2" t="s">
        <v>16</v>
      </c>
      <c r="G926" s="2" t="s">
        <v>48</v>
      </c>
      <c r="H926" s="2" t="s">
        <v>943</v>
      </c>
      <c r="I926" s="2" t="s">
        <v>936</v>
      </c>
      <c r="J926" s="2">
        <v>75000</v>
      </c>
      <c r="K926" s="2" t="s">
        <v>67</v>
      </c>
      <c r="L926" s="2" t="s">
        <v>55</v>
      </c>
    </row>
    <row r="927" spans="1:12" ht="16.2" customHeight="1">
      <c r="A927" s="3" t="s">
        <v>1895</v>
      </c>
      <c r="B927" s="3" t="s">
        <v>630</v>
      </c>
      <c r="C927" s="3">
        <v>45</v>
      </c>
      <c r="D927" s="3" t="s">
        <v>32</v>
      </c>
      <c r="E927" s="3" t="s">
        <v>58</v>
      </c>
      <c r="F927" s="3" t="s">
        <v>42</v>
      </c>
      <c r="G927" s="3" t="s">
        <v>35</v>
      </c>
      <c r="H927" s="3" t="s">
        <v>106</v>
      </c>
      <c r="I927" s="3" t="s">
        <v>423</v>
      </c>
      <c r="J927" s="3">
        <v>50000</v>
      </c>
      <c r="K927" s="3" t="s">
        <v>37</v>
      </c>
      <c r="L927" s="3" t="s">
        <v>21</v>
      </c>
    </row>
    <row r="928" spans="1:12" ht="16.2" customHeight="1">
      <c r="A928" s="2" t="s">
        <v>1896</v>
      </c>
      <c r="B928" s="2" t="s">
        <v>1897</v>
      </c>
      <c r="C928" s="2">
        <v>4</v>
      </c>
      <c r="D928" s="2" t="s">
        <v>14</v>
      </c>
      <c r="E928" s="2" t="s">
        <v>52</v>
      </c>
      <c r="F928" s="2" t="s">
        <v>76</v>
      </c>
      <c r="G928" s="2" t="s">
        <v>35</v>
      </c>
      <c r="H928" s="2" t="s">
        <v>296</v>
      </c>
      <c r="I928" s="2" t="s">
        <v>129</v>
      </c>
      <c r="J928" s="2">
        <v>50000</v>
      </c>
      <c r="K928" s="2" t="s">
        <v>29</v>
      </c>
      <c r="L928" s="2" t="s">
        <v>21</v>
      </c>
    </row>
    <row r="929" spans="1:12" ht="16.2" customHeight="1">
      <c r="A929" s="3" t="s">
        <v>1898</v>
      </c>
      <c r="B929" s="3" t="s">
        <v>1899</v>
      </c>
      <c r="C929" s="3">
        <v>18</v>
      </c>
      <c r="D929" s="3" t="s">
        <v>32</v>
      </c>
      <c r="E929" s="3" t="s">
        <v>70</v>
      </c>
      <c r="F929" s="3" t="s">
        <v>16</v>
      </c>
      <c r="G929" s="3" t="s">
        <v>26</v>
      </c>
      <c r="H929" s="3" t="s">
        <v>1132</v>
      </c>
      <c r="I929" s="3" t="s">
        <v>405</v>
      </c>
      <c r="J929" s="3">
        <v>8000</v>
      </c>
      <c r="K929" s="3" t="s">
        <v>29</v>
      </c>
      <c r="L929" s="3" t="s">
        <v>38</v>
      </c>
    </row>
    <row r="930" spans="1:12" ht="16.2" customHeight="1">
      <c r="A930" s="2" t="s">
        <v>1900</v>
      </c>
      <c r="B930" s="2" t="s">
        <v>1505</v>
      </c>
      <c r="C930" s="2">
        <v>55</v>
      </c>
      <c r="D930" s="2" t="s">
        <v>14</v>
      </c>
      <c r="E930" s="2" t="s">
        <v>109</v>
      </c>
      <c r="F930" s="2" t="s">
        <v>132</v>
      </c>
      <c r="G930" s="2" t="s">
        <v>104</v>
      </c>
      <c r="H930" s="2" t="s">
        <v>438</v>
      </c>
      <c r="I930" s="2" t="s">
        <v>684</v>
      </c>
      <c r="J930" s="2">
        <v>12000</v>
      </c>
      <c r="K930" s="2" t="s">
        <v>37</v>
      </c>
      <c r="L930" s="2" t="s">
        <v>87</v>
      </c>
    </row>
    <row r="931" spans="1:12" ht="16.2" customHeight="1">
      <c r="A931" s="3" t="s">
        <v>1900</v>
      </c>
      <c r="B931" s="3" t="s">
        <v>1505</v>
      </c>
      <c r="C931" s="3">
        <v>55</v>
      </c>
      <c r="D931" s="3" t="s">
        <v>14</v>
      </c>
      <c r="E931" s="3" t="s">
        <v>109</v>
      </c>
      <c r="F931" s="3" t="s">
        <v>132</v>
      </c>
      <c r="G931" s="3" t="s">
        <v>104</v>
      </c>
      <c r="H931" s="3" t="s">
        <v>438</v>
      </c>
      <c r="I931" s="3" t="s">
        <v>684</v>
      </c>
      <c r="J931" s="3">
        <v>12000</v>
      </c>
      <c r="K931" s="3" t="s">
        <v>37</v>
      </c>
      <c r="L931" s="3" t="s">
        <v>87</v>
      </c>
    </row>
    <row r="932" spans="1:12" ht="16.2" customHeight="1">
      <c r="A932" s="2" t="s">
        <v>1901</v>
      </c>
      <c r="B932" s="2" t="s">
        <v>1712</v>
      </c>
      <c r="C932" s="2">
        <v>26</v>
      </c>
      <c r="D932" s="2" t="s">
        <v>14</v>
      </c>
      <c r="E932" s="2" t="s">
        <v>52</v>
      </c>
      <c r="F932" s="2" t="s">
        <v>42</v>
      </c>
      <c r="G932" s="2" t="s">
        <v>53</v>
      </c>
      <c r="H932" s="2" t="s">
        <v>405</v>
      </c>
      <c r="I932" s="2" t="s">
        <v>574</v>
      </c>
      <c r="J932" s="2">
        <v>50000</v>
      </c>
      <c r="K932" s="2" t="s">
        <v>191</v>
      </c>
      <c r="L932" s="2" t="s">
        <v>21</v>
      </c>
    </row>
    <row r="933" spans="1:12" ht="16.2" customHeight="1">
      <c r="A933" s="3" t="s">
        <v>1902</v>
      </c>
      <c r="B933" s="3" t="s">
        <v>1283</v>
      </c>
      <c r="C933" s="3">
        <v>45</v>
      </c>
      <c r="D933" s="3" t="s">
        <v>32</v>
      </c>
      <c r="E933" s="3" t="s">
        <v>47</v>
      </c>
      <c r="F933" s="3" t="s">
        <v>76</v>
      </c>
      <c r="G933" s="3" t="s">
        <v>48</v>
      </c>
      <c r="H933" s="3" t="s">
        <v>256</v>
      </c>
      <c r="I933" s="3" t="s">
        <v>1187</v>
      </c>
      <c r="J933" s="3">
        <v>8000</v>
      </c>
      <c r="K933" s="3" t="s">
        <v>67</v>
      </c>
      <c r="L933" s="3" t="s">
        <v>38</v>
      </c>
    </row>
    <row r="934" spans="1:12" ht="16.2" customHeight="1">
      <c r="A934" s="2" t="s">
        <v>1903</v>
      </c>
      <c r="B934" s="2" t="s">
        <v>1819</v>
      </c>
      <c r="C934" s="2">
        <v>49</v>
      </c>
      <c r="D934" s="2" t="s">
        <v>506</v>
      </c>
      <c r="E934" s="2" t="s">
        <v>58</v>
      </c>
      <c r="F934" s="2" t="s">
        <v>34</v>
      </c>
      <c r="G934" s="2" t="s">
        <v>104</v>
      </c>
      <c r="H934" s="2" t="s">
        <v>419</v>
      </c>
      <c r="I934" s="2" t="s">
        <v>433</v>
      </c>
      <c r="J934" s="2">
        <v>75000</v>
      </c>
      <c r="K934" s="2" t="s">
        <v>29</v>
      </c>
      <c r="L934" s="2" t="s">
        <v>21</v>
      </c>
    </row>
    <row r="935" spans="1:12" ht="16.2" customHeight="1">
      <c r="A935" s="3" t="s">
        <v>1904</v>
      </c>
      <c r="B935" s="3" t="s">
        <v>711</v>
      </c>
      <c r="C935" s="3">
        <v>89</v>
      </c>
      <c r="D935" s="3" t="s">
        <v>14</v>
      </c>
      <c r="E935" s="3" t="s">
        <v>85</v>
      </c>
      <c r="F935" s="3" t="s">
        <v>76</v>
      </c>
      <c r="G935" s="3" t="s">
        <v>99</v>
      </c>
      <c r="H935" s="3" t="s">
        <v>828</v>
      </c>
      <c r="I935" s="3" t="s">
        <v>1017</v>
      </c>
      <c r="J935" s="3">
        <v>12000</v>
      </c>
      <c r="K935" s="3" t="s">
        <v>37</v>
      </c>
      <c r="L935" s="3" t="s">
        <v>21</v>
      </c>
    </row>
    <row r="936" spans="1:12" ht="16.2" customHeight="1">
      <c r="A936" s="2" t="s">
        <v>1905</v>
      </c>
      <c r="B936" s="2" t="s">
        <v>1906</v>
      </c>
      <c r="C936" s="2">
        <v>57</v>
      </c>
      <c r="D936" s="2" t="s">
        <v>321</v>
      </c>
      <c r="E936" s="2" t="s">
        <v>33</v>
      </c>
      <c r="F936" s="2" t="s">
        <v>127</v>
      </c>
      <c r="G936" s="2" t="s">
        <v>48</v>
      </c>
      <c r="H936" s="2" t="s">
        <v>1320</v>
      </c>
      <c r="I936" s="2" t="s">
        <v>878</v>
      </c>
      <c r="J936" s="2">
        <v>75000</v>
      </c>
      <c r="K936" s="2" t="s">
        <v>67</v>
      </c>
      <c r="L936" s="2" t="s">
        <v>38</v>
      </c>
    </row>
    <row r="937" spans="1:12" ht="16.2" customHeight="1">
      <c r="A937" s="3" t="s">
        <v>1907</v>
      </c>
      <c r="B937" s="3" t="s">
        <v>801</v>
      </c>
      <c r="C937" s="3">
        <v>84</v>
      </c>
      <c r="D937" s="3" t="s">
        <v>32</v>
      </c>
      <c r="E937" s="3" t="s">
        <v>15</v>
      </c>
      <c r="F937" s="3" t="s">
        <v>127</v>
      </c>
      <c r="G937" s="3" t="s">
        <v>17</v>
      </c>
      <c r="H937" s="3" t="s">
        <v>1908</v>
      </c>
      <c r="I937" s="3" t="s">
        <v>348</v>
      </c>
      <c r="J937" s="3">
        <v>15000</v>
      </c>
      <c r="K937" s="3" t="s">
        <v>20</v>
      </c>
      <c r="L937" s="3" t="s">
        <v>55</v>
      </c>
    </row>
    <row r="938" spans="1:12" ht="16.2" customHeight="1">
      <c r="A938" s="2" t="s">
        <v>1909</v>
      </c>
      <c r="B938" s="2" t="s">
        <v>1910</v>
      </c>
      <c r="C938" s="2">
        <v>82</v>
      </c>
      <c r="D938" s="2" t="s">
        <v>32</v>
      </c>
      <c r="E938" s="2" t="s">
        <v>58</v>
      </c>
      <c r="F938" s="2" t="s">
        <v>34</v>
      </c>
      <c r="G938" s="2" t="s">
        <v>17</v>
      </c>
      <c r="H938" s="2" t="s">
        <v>1655</v>
      </c>
      <c r="I938" s="2" t="s">
        <v>806</v>
      </c>
      <c r="J938" s="2">
        <v>8000</v>
      </c>
      <c r="K938" s="2" t="s">
        <v>67</v>
      </c>
      <c r="L938" s="2" t="s">
        <v>21</v>
      </c>
    </row>
    <row r="939" spans="1:12" ht="16.2" customHeight="1">
      <c r="A939" s="3" t="s">
        <v>1911</v>
      </c>
      <c r="B939" s="3" t="s">
        <v>253</v>
      </c>
      <c r="C939" s="3">
        <v>65</v>
      </c>
      <c r="D939" s="3"/>
      <c r="E939" s="3" t="s">
        <v>85</v>
      </c>
      <c r="F939" s="3" t="s">
        <v>76</v>
      </c>
      <c r="G939" s="3" t="s">
        <v>53</v>
      </c>
      <c r="H939" s="3" t="s">
        <v>322</v>
      </c>
      <c r="I939" s="3" t="s">
        <v>804</v>
      </c>
      <c r="J939" s="3">
        <v>5000</v>
      </c>
      <c r="K939" s="3" t="s">
        <v>37</v>
      </c>
      <c r="L939" s="3" t="s">
        <v>55</v>
      </c>
    </row>
    <row r="940" spans="1:12" ht="16.2" customHeight="1">
      <c r="A940" s="2" t="s">
        <v>1912</v>
      </c>
      <c r="B940" s="2" t="s">
        <v>327</v>
      </c>
      <c r="C940" s="2">
        <v>57</v>
      </c>
      <c r="D940" s="2" t="s">
        <v>14</v>
      </c>
      <c r="E940" s="2" t="s">
        <v>58</v>
      </c>
      <c r="F940" s="2" t="s">
        <v>132</v>
      </c>
      <c r="G940" s="2" t="s">
        <v>35</v>
      </c>
      <c r="H940" s="2" t="s">
        <v>374</v>
      </c>
      <c r="I940" s="2" t="s">
        <v>90</v>
      </c>
      <c r="J940" s="2">
        <v>5000</v>
      </c>
      <c r="K940" s="2" t="s">
        <v>29</v>
      </c>
      <c r="L940" s="2" t="s">
        <v>38</v>
      </c>
    </row>
    <row r="941" spans="1:12" ht="16.2" customHeight="1">
      <c r="A941" s="3" t="s">
        <v>1913</v>
      </c>
      <c r="B941" s="3" t="s">
        <v>1091</v>
      </c>
      <c r="C941" s="3">
        <v>3</v>
      </c>
      <c r="D941" s="3" t="s">
        <v>32</v>
      </c>
      <c r="E941" s="3" t="s">
        <v>15</v>
      </c>
      <c r="F941" s="3" t="s">
        <v>342</v>
      </c>
      <c r="G941" s="3" t="s">
        <v>104</v>
      </c>
      <c r="H941" s="3" t="s">
        <v>445</v>
      </c>
      <c r="I941" s="3" t="s">
        <v>1631</v>
      </c>
      <c r="J941" s="3">
        <v>15000</v>
      </c>
      <c r="K941" s="3" t="s">
        <v>67</v>
      </c>
      <c r="L941" s="3" t="s">
        <v>87</v>
      </c>
    </row>
    <row r="942" spans="1:12" ht="16.2" customHeight="1">
      <c r="A942" s="2" t="s">
        <v>1914</v>
      </c>
      <c r="B942" s="2" t="s">
        <v>1297</v>
      </c>
      <c r="C942" s="2">
        <v>63</v>
      </c>
      <c r="D942" s="2" t="s">
        <v>14</v>
      </c>
      <c r="E942" s="2" t="s">
        <v>52</v>
      </c>
      <c r="F942" s="2" t="s">
        <v>34</v>
      </c>
      <c r="G942" s="2" t="s">
        <v>104</v>
      </c>
      <c r="H942" s="2" t="s">
        <v>1915</v>
      </c>
      <c r="I942" s="2" t="s">
        <v>386</v>
      </c>
      <c r="J942" s="2">
        <v>75000</v>
      </c>
      <c r="K942" s="2" t="s">
        <v>67</v>
      </c>
      <c r="L942" s="2" t="s">
        <v>21</v>
      </c>
    </row>
    <row r="943" spans="1:12" ht="16.2" customHeight="1">
      <c r="A943" s="3" t="s">
        <v>1916</v>
      </c>
      <c r="B943" s="3" t="s">
        <v>1917</v>
      </c>
      <c r="C943" s="3">
        <v>5</v>
      </c>
      <c r="D943" s="3" t="s">
        <v>32</v>
      </c>
      <c r="E943" s="3" t="s">
        <v>15</v>
      </c>
      <c r="F943" s="3" t="s">
        <v>25</v>
      </c>
      <c r="G943" s="3" t="s">
        <v>99</v>
      </c>
      <c r="H943" s="3" t="s">
        <v>1918</v>
      </c>
      <c r="I943" s="3" t="s">
        <v>607</v>
      </c>
      <c r="J943" s="3">
        <v>25000</v>
      </c>
      <c r="K943" s="3" t="s">
        <v>20</v>
      </c>
      <c r="L943" s="3" t="s">
        <v>21</v>
      </c>
    </row>
    <row r="944" spans="1:12" ht="16.2" customHeight="1">
      <c r="A944" s="2" t="s">
        <v>1919</v>
      </c>
      <c r="B944" s="2" t="s">
        <v>1062</v>
      </c>
      <c r="C944" s="2">
        <v>47</v>
      </c>
      <c r="D944" s="2" t="s">
        <v>14</v>
      </c>
      <c r="E944" s="2" t="s">
        <v>15</v>
      </c>
      <c r="F944" s="2" t="s">
        <v>76</v>
      </c>
      <c r="G944" s="2" t="s">
        <v>26</v>
      </c>
      <c r="H944" s="2" t="s">
        <v>1920</v>
      </c>
      <c r="I944" s="2" t="s">
        <v>353</v>
      </c>
      <c r="J944" s="2">
        <v>50000</v>
      </c>
      <c r="K944" s="2" t="s">
        <v>67</v>
      </c>
      <c r="L944" s="2" t="s">
        <v>87</v>
      </c>
    </row>
    <row r="945" spans="1:12" ht="16.2" customHeight="1">
      <c r="A945" s="3" t="s">
        <v>1921</v>
      </c>
      <c r="B945" s="3" t="s">
        <v>1240</v>
      </c>
      <c r="C945" s="3">
        <v>21</v>
      </c>
      <c r="D945" s="3" t="s">
        <v>14</v>
      </c>
      <c r="E945" s="3" t="s">
        <v>85</v>
      </c>
      <c r="F945" s="3" t="s">
        <v>832</v>
      </c>
      <c r="G945" s="3" t="s">
        <v>48</v>
      </c>
      <c r="H945" s="3" t="s">
        <v>123</v>
      </c>
      <c r="I945" s="3" t="s">
        <v>95</v>
      </c>
      <c r="J945" s="3">
        <v>12000</v>
      </c>
      <c r="K945" s="3" t="s">
        <v>227</v>
      </c>
      <c r="L945" s="3" t="s">
        <v>21</v>
      </c>
    </row>
    <row r="946" spans="1:12" ht="16.2" customHeight="1">
      <c r="A946" s="2" t="s">
        <v>1922</v>
      </c>
      <c r="B946" s="2" t="s">
        <v>1923</v>
      </c>
      <c r="C946" s="2">
        <v>5</v>
      </c>
      <c r="D946" s="2" t="s">
        <v>14</v>
      </c>
      <c r="E946" s="2" t="s">
        <v>52</v>
      </c>
      <c r="F946" s="2" t="s">
        <v>342</v>
      </c>
      <c r="G946" s="2" t="s">
        <v>26</v>
      </c>
      <c r="H946" s="2" t="s">
        <v>578</v>
      </c>
      <c r="I946" s="2" t="s">
        <v>90</v>
      </c>
      <c r="J946" s="2">
        <v>20000</v>
      </c>
      <c r="K946" s="2" t="s">
        <v>37</v>
      </c>
      <c r="L946" s="2" t="s">
        <v>38</v>
      </c>
    </row>
    <row r="947" spans="1:12" ht="16.2" customHeight="1">
      <c r="A947" s="3" t="s">
        <v>1924</v>
      </c>
      <c r="B947" s="3" t="s">
        <v>1106</v>
      </c>
      <c r="C947" s="3">
        <v>41</v>
      </c>
      <c r="D947" s="3" t="s">
        <v>14</v>
      </c>
      <c r="E947" s="3" t="s">
        <v>58</v>
      </c>
      <c r="F947" s="3" t="s">
        <v>127</v>
      </c>
      <c r="G947" s="3" t="s">
        <v>99</v>
      </c>
      <c r="H947" s="3" t="s">
        <v>682</v>
      </c>
      <c r="I947" s="3" t="s">
        <v>851</v>
      </c>
      <c r="J947" s="3">
        <v>5000</v>
      </c>
      <c r="K947" s="3" t="s">
        <v>67</v>
      </c>
      <c r="L947" s="3" t="s">
        <v>21</v>
      </c>
    </row>
    <row r="948" spans="1:12" ht="16.2" customHeight="1">
      <c r="A948" s="2" t="s">
        <v>1925</v>
      </c>
      <c r="B948" s="2" t="s">
        <v>758</v>
      </c>
      <c r="C948" s="2">
        <v>61</v>
      </c>
      <c r="D948" s="2" t="s">
        <v>32</v>
      </c>
      <c r="E948" s="2" t="s">
        <v>85</v>
      </c>
      <c r="F948" s="2" t="s">
        <v>132</v>
      </c>
      <c r="G948" s="2" t="s">
        <v>35</v>
      </c>
      <c r="H948" s="2" t="s">
        <v>545</v>
      </c>
      <c r="I948" s="2" t="s">
        <v>806</v>
      </c>
      <c r="J948" s="2">
        <v>5000</v>
      </c>
      <c r="K948" s="2" t="s">
        <v>331</v>
      </c>
      <c r="L948" s="2" t="s">
        <v>21</v>
      </c>
    </row>
    <row r="949" spans="1:12" ht="16.2" customHeight="1">
      <c r="A949" s="3" t="s">
        <v>1926</v>
      </c>
      <c r="B949" s="3" t="s">
        <v>1439</v>
      </c>
      <c r="C949" s="3">
        <v>90</v>
      </c>
      <c r="D949" s="3" t="s">
        <v>32</v>
      </c>
      <c r="E949" s="3" t="s">
        <v>117</v>
      </c>
      <c r="F949" s="3" t="s">
        <v>127</v>
      </c>
      <c r="G949" s="3" t="s">
        <v>26</v>
      </c>
      <c r="H949" s="3" t="s">
        <v>1509</v>
      </c>
      <c r="I949" s="3" t="s">
        <v>569</v>
      </c>
      <c r="J949" s="3">
        <v>8000</v>
      </c>
      <c r="K949" s="3" t="s">
        <v>29</v>
      </c>
      <c r="L949" s="3" t="s">
        <v>38</v>
      </c>
    </row>
    <row r="950" spans="1:12" ht="16.2" customHeight="1">
      <c r="A950" s="2" t="s">
        <v>1927</v>
      </c>
      <c r="B950" s="2" t="s">
        <v>866</v>
      </c>
      <c r="C950" s="2">
        <v>73</v>
      </c>
      <c r="D950" s="2" t="s">
        <v>32</v>
      </c>
      <c r="E950" s="2" t="s">
        <v>122</v>
      </c>
      <c r="F950" s="2" t="s">
        <v>25</v>
      </c>
      <c r="G950" s="2" t="s">
        <v>17</v>
      </c>
      <c r="H950" s="2" t="s">
        <v>578</v>
      </c>
      <c r="I950" s="2" t="s">
        <v>852</v>
      </c>
      <c r="J950" s="2">
        <v>5000</v>
      </c>
      <c r="K950" s="2" t="s">
        <v>20</v>
      </c>
      <c r="L950" s="2" t="s">
        <v>21</v>
      </c>
    </row>
    <row r="951" spans="1:12" ht="16.2" customHeight="1">
      <c r="A951" s="3" t="s">
        <v>1928</v>
      </c>
      <c r="B951" s="3" t="s">
        <v>341</v>
      </c>
      <c r="C951" s="3">
        <v>54</v>
      </c>
      <c r="D951" s="3" t="s">
        <v>32</v>
      </c>
      <c r="E951" s="3" t="s">
        <v>85</v>
      </c>
      <c r="F951" s="3" t="s">
        <v>132</v>
      </c>
      <c r="G951" s="3" t="s">
        <v>48</v>
      </c>
      <c r="H951" s="3" t="s">
        <v>249</v>
      </c>
      <c r="I951" s="3" t="s">
        <v>415</v>
      </c>
      <c r="J951" s="3">
        <v>8000</v>
      </c>
      <c r="K951" s="3" t="s">
        <v>20</v>
      </c>
      <c r="L951" s="3" t="s">
        <v>87</v>
      </c>
    </row>
    <row r="952" spans="1:12" ht="16.2" customHeight="1">
      <c r="A952" s="2" t="s">
        <v>1929</v>
      </c>
      <c r="B952" s="2" t="s">
        <v>791</v>
      </c>
      <c r="C952" s="2">
        <v>87</v>
      </c>
      <c r="D952" s="2" t="s">
        <v>32</v>
      </c>
      <c r="E952" s="2" t="s">
        <v>85</v>
      </c>
      <c r="F952" s="2" t="s">
        <v>42</v>
      </c>
      <c r="G952" s="2" t="s">
        <v>99</v>
      </c>
      <c r="H952" s="2" t="s">
        <v>198</v>
      </c>
      <c r="I952" s="2" t="s">
        <v>339</v>
      </c>
      <c r="J952" s="2">
        <v>20000</v>
      </c>
      <c r="K952" s="2" t="s">
        <v>29</v>
      </c>
      <c r="L952" s="2" t="s">
        <v>55</v>
      </c>
    </row>
    <row r="953" spans="1:12" ht="16.2" customHeight="1">
      <c r="A953" s="3" t="s">
        <v>1930</v>
      </c>
      <c r="B953" s="3" t="s">
        <v>549</v>
      </c>
      <c r="C953" s="3">
        <v>35</v>
      </c>
      <c r="D953" s="3" t="s">
        <v>32</v>
      </c>
      <c r="E953" s="3" t="s">
        <v>109</v>
      </c>
      <c r="F953" s="3" t="s">
        <v>34</v>
      </c>
      <c r="G953" s="3" t="s">
        <v>53</v>
      </c>
      <c r="H953" s="3" t="s">
        <v>377</v>
      </c>
      <c r="I953" s="3" t="s">
        <v>725</v>
      </c>
      <c r="J953" s="3">
        <v>12000</v>
      </c>
      <c r="K953" s="3" t="s">
        <v>29</v>
      </c>
      <c r="L953" s="3" t="s">
        <v>38</v>
      </c>
    </row>
    <row r="954" spans="1:12" ht="16.2" customHeight="1">
      <c r="A954" s="2" t="s">
        <v>1931</v>
      </c>
      <c r="B954" s="2" t="s">
        <v>706</v>
      </c>
      <c r="C954" s="2">
        <v>88</v>
      </c>
      <c r="D954" s="2" t="s">
        <v>14</v>
      </c>
      <c r="E954" s="2" t="s">
        <v>52</v>
      </c>
      <c r="F954" s="2" t="s">
        <v>76</v>
      </c>
      <c r="G954" s="2" t="s">
        <v>35</v>
      </c>
      <c r="H954" s="2" t="s">
        <v>1227</v>
      </c>
      <c r="I954" s="2" t="s">
        <v>318</v>
      </c>
      <c r="J954" s="2">
        <v>100000</v>
      </c>
      <c r="K954" s="2" t="s">
        <v>67</v>
      </c>
      <c r="L954" s="2" t="s">
        <v>21</v>
      </c>
    </row>
    <row r="955" spans="1:12" ht="16.2" customHeight="1">
      <c r="A955" s="3" t="s">
        <v>1932</v>
      </c>
      <c r="B955" s="3" t="s">
        <v>1505</v>
      </c>
      <c r="C955" s="3">
        <v>11</v>
      </c>
      <c r="D955" s="3" t="s">
        <v>32</v>
      </c>
      <c r="E955" s="3" t="s">
        <v>58</v>
      </c>
      <c r="F955" s="3" t="s">
        <v>127</v>
      </c>
      <c r="G955" s="3" t="s">
        <v>104</v>
      </c>
      <c r="H955" s="3" t="s">
        <v>1305</v>
      </c>
      <c r="I955" s="3" t="s">
        <v>765</v>
      </c>
      <c r="J955" s="3">
        <v>50000</v>
      </c>
      <c r="K955" s="3" t="s">
        <v>20</v>
      </c>
      <c r="L955" s="3" t="s">
        <v>38</v>
      </c>
    </row>
    <row r="956" spans="1:12" ht="16.2" customHeight="1">
      <c r="A956" s="2" t="s">
        <v>1933</v>
      </c>
      <c r="B956" s="2" t="s">
        <v>312</v>
      </c>
      <c r="C956" s="2">
        <v>82</v>
      </c>
      <c r="D956" s="2" t="s">
        <v>14</v>
      </c>
      <c r="E956" s="2" t="s">
        <v>359</v>
      </c>
      <c r="F956" s="2" t="s">
        <v>42</v>
      </c>
      <c r="G956" s="2" t="s">
        <v>48</v>
      </c>
      <c r="H956" s="2" t="s">
        <v>430</v>
      </c>
      <c r="I956" s="2" t="s">
        <v>628</v>
      </c>
      <c r="J956" s="2">
        <v>50000</v>
      </c>
      <c r="K956" s="2" t="s">
        <v>67</v>
      </c>
      <c r="L956" s="2" t="s">
        <v>21</v>
      </c>
    </row>
    <row r="957" spans="1:12" ht="16.2" customHeight="1">
      <c r="A957" s="3" t="s">
        <v>1934</v>
      </c>
      <c r="B957" s="3" t="s">
        <v>432</v>
      </c>
      <c r="C957" s="3">
        <v>84</v>
      </c>
      <c r="D957" s="3" t="s">
        <v>32</v>
      </c>
      <c r="E957" s="3" t="s">
        <v>58</v>
      </c>
      <c r="F957" s="3" t="s">
        <v>34</v>
      </c>
      <c r="G957" s="3" t="s">
        <v>104</v>
      </c>
      <c r="H957" s="3" t="s">
        <v>685</v>
      </c>
      <c r="I957" s="3" t="s">
        <v>445</v>
      </c>
      <c r="J957" s="3">
        <v>-1000</v>
      </c>
      <c r="K957" s="3" t="s">
        <v>29</v>
      </c>
      <c r="L957" s="3" t="s">
        <v>21</v>
      </c>
    </row>
    <row r="958" spans="1:12" ht="16.2" customHeight="1">
      <c r="A958" s="2" t="s">
        <v>1935</v>
      </c>
      <c r="B958" s="2" t="s">
        <v>1047</v>
      </c>
      <c r="C958" s="2">
        <v>61</v>
      </c>
      <c r="D958" s="2" t="s">
        <v>14</v>
      </c>
      <c r="E958" s="2" t="s">
        <v>58</v>
      </c>
      <c r="F958" s="2" t="s">
        <v>42</v>
      </c>
      <c r="G958" s="2" t="s">
        <v>99</v>
      </c>
      <c r="H958" s="2" t="s">
        <v>1618</v>
      </c>
      <c r="I958" s="2" t="s">
        <v>378</v>
      </c>
      <c r="J958" s="2">
        <v>50000</v>
      </c>
      <c r="K958" s="2" t="s">
        <v>67</v>
      </c>
      <c r="L958" s="2" t="s">
        <v>38</v>
      </c>
    </row>
    <row r="959" spans="1:12" ht="16.2" customHeight="1">
      <c r="A959" s="3" t="s">
        <v>1936</v>
      </c>
      <c r="B959" s="3" t="s">
        <v>910</v>
      </c>
      <c r="C959" s="3">
        <v>88</v>
      </c>
      <c r="D959" s="3" t="s">
        <v>32</v>
      </c>
      <c r="E959" s="3" t="s">
        <v>52</v>
      </c>
      <c r="F959" s="3" t="s">
        <v>16</v>
      </c>
      <c r="G959" s="3" t="s">
        <v>17</v>
      </c>
      <c r="H959" s="3" t="s">
        <v>1937</v>
      </c>
      <c r="I959" s="3" t="s">
        <v>124</v>
      </c>
      <c r="J959" s="3">
        <v>15000</v>
      </c>
      <c r="K959" s="3" t="s">
        <v>20</v>
      </c>
      <c r="L959" s="3" t="s">
        <v>55</v>
      </c>
    </row>
    <row r="960" spans="1:12" ht="16.2" customHeight="1">
      <c r="A960" s="2" t="s">
        <v>1938</v>
      </c>
      <c r="B960" s="2" t="s">
        <v>1108</v>
      </c>
      <c r="C960" s="2">
        <v>82</v>
      </c>
      <c r="D960" s="2" t="s">
        <v>32</v>
      </c>
      <c r="E960" s="2" t="s">
        <v>15</v>
      </c>
      <c r="F960" s="2" t="s">
        <v>1170</v>
      </c>
      <c r="G960" s="2" t="s">
        <v>26</v>
      </c>
      <c r="H960" s="2" t="s">
        <v>577</v>
      </c>
      <c r="I960" s="2" t="s">
        <v>905</v>
      </c>
      <c r="J960" s="2">
        <v>35000</v>
      </c>
      <c r="K960" s="2" t="s">
        <v>37</v>
      </c>
      <c r="L960" s="2" t="s">
        <v>38</v>
      </c>
    </row>
    <row r="961" spans="1:12" ht="16.2" customHeight="1">
      <c r="A961" s="3" t="s">
        <v>1939</v>
      </c>
      <c r="B961" s="3" t="s">
        <v>596</v>
      </c>
      <c r="C961" s="3">
        <v>84</v>
      </c>
      <c r="D961" s="3" t="s">
        <v>14</v>
      </c>
      <c r="E961" s="3" t="s">
        <v>70</v>
      </c>
      <c r="F961" s="3" t="s">
        <v>42</v>
      </c>
      <c r="G961" s="3" t="s">
        <v>17</v>
      </c>
      <c r="H961" s="3" t="s">
        <v>245</v>
      </c>
      <c r="I961" s="3" t="s">
        <v>249</v>
      </c>
      <c r="J961" s="3">
        <v>50000</v>
      </c>
      <c r="K961" s="3" t="s">
        <v>20</v>
      </c>
      <c r="L961" s="3" t="s">
        <v>21</v>
      </c>
    </row>
    <row r="962" spans="1:12" ht="16.2" customHeight="1">
      <c r="A962" s="2" t="s">
        <v>1940</v>
      </c>
      <c r="B962" s="2" t="s">
        <v>1941</v>
      </c>
      <c r="C962" s="2">
        <v>34</v>
      </c>
      <c r="D962" s="2" t="s">
        <v>32</v>
      </c>
      <c r="E962" s="2" t="s">
        <v>109</v>
      </c>
      <c r="F962" s="2" t="s">
        <v>16</v>
      </c>
      <c r="G962" s="2" t="s">
        <v>17</v>
      </c>
      <c r="H962" s="2" t="s">
        <v>569</v>
      </c>
      <c r="I962" s="2" t="s">
        <v>387</v>
      </c>
      <c r="J962" s="2">
        <v>8000</v>
      </c>
      <c r="K962" s="2" t="s">
        <v>227</v>
      </c>
      <c r="L962" s="2" t="s">
        <v>38</v>
      </c>
    </row>
    <row r="963" spans="1:12" ht="16.2" customHeight="1">
      <c r="A963" s="3" t="s">
        <v>1942</v>
      </c>
      <c r="B963" s="3" t="s">
        <v>735</v>
      </c>
      <c r="C963" s="3">
        <v>21</v>
      </c>
      <c r="D963" s="3" t="s">
        <v>32</v>
      </c>
      <c r="E963" s="3" t="s">
        <v>85</v>
      </c>
      <c r="F963" s="3" t="s">
        <v>34</v>
      </c>
      <c r="G963" s="3" t="s">
        <v>17</v>
      </c>
      <c r="H963" s="3" t="s">
        <v>438</v>
      </c>
      <c r="I963" s="3" t="s">
        <v>797</v>
      </c>
      <c r="J963" s="3">
        <v>8000</v>
      </c>
      <c r="K963" s="3" t="s">
        <v>29</v>
      </c>
      <c r="L963" s="3" t="s">
        <v>87</v>
      </c>
    </row>
    <row r="964" spans="1:12" ht="16.2" customHeight="1">
      <c r="A964" s="2" t="s">
        <v>1943</v>
      </c>
      <c r="B964" s="2" t="s">
        <v>932</v>
      </c>
      <c r="C964" s="2">
        <v>85</v>
      </c>
      <c r="D964" s="2"/>
      <c r="E964" s="2" t="s">
        <v>33</v>
      </c>
      <c r="F964" s="2" t="s">
        <v>25</v>
      </c>
      <c r="G964" s="2" t="s">
        <v>35</v>
      </c>
      <c r="H964" s="2" t="s">
        <v>974</v>
      </c>
      <c r="I964" s="2" t="s">
        <v>265</v>
      </c>
      <c r="J964" s="2">
        <v>8000</v>
      </c>
      <c r="K964" s="2" t="s">
        <v>29</v>
      </c>
      <c r="L964" s="2" t="s">
        <v>38</v>
      </c>
    </row>
    <row r="965" spans="1:12" ht="16.2" customHeight="1">
      <c r="A965" s="3" t="s">
        <v>1944</v>
      </c>
      <c r="B965" s="3" t="s">
        <v>1945</v>
      </c>
      <c r="C965" s="3">
        <v>87</v>
      </c>
      <c r="D965" s="3" t="s">
        <v>14</v>
      </c>
      <c r="E965" s="3" t="s">
        <v>359</v>
      </c>
      <c r="F965" s="3" t="s">
        <v>42</v>
      </c>
      <c r="G965" s="3" t="s">
        <v>48</v>
      </c>
      <c r="H965" s="3" t="s">
        <v>416</v>
      </c>
      <c r="I965" s="3" t="s">
        <v>266</v>
      </c>
      <c r="J965" s="3"/>
      <c r="K965" s="3" t="s">
        <v>37</v>
      </c>
      <c r="L965" s="3" t="s">
        <v>55</v>
      </c>
    </row>
    <row r="966" spans="1:12" ht="16.2" customHeight="1">
      <c r="A966" s="2" t="s">
        <v>1946</v>
      </c>
      <c r="B966" s="2" t="s">
        <v>1947</v>
      </c>
      <c r="C966" s="2">
        <v>34</v>
      </c>
      <c r="D966" s="2" t="s">
        <v>32</v>
      </c>
      <c r="E966" s="2" t="s">
        <v>58</v>
      </c>
      <c r="F966" s="2" t="s">
        <v>450</v>
      </c>
      <c r="G966" s="2" t="s">
        <v>17</v>
      </c>
      <c r="H966" s="2" t="s">
        <v>545</v>
      </c>
      <c r="I966" s="2" t="s">
        <v>483</v>
      </c>
      <c r="J966" s="2">
        <v>5000</v>
      </c>
      <c r="K966" s="2" t="s">
        <v>37</v>
      </c>
      <c r="L966" s="2" t="s">
        <v>21</v>
      </c>
    </row>
    <row r="967" spans="1:12" ht="16.2" customHeight="1">
      <c r="A967" s="3" t="s">
        <v>1948</v>
      </c>
      <c r="B967" s="3" t="s">
        <v>341</v>
      </c>
      <c r="C967" s="3">
        <v>18</v>
      </c>
      <c r="D967" s="3" t="s">
        <v>14</v>
      </c>
      <c r="E967" s="3" t="s">
        <v>510</v>
      </c>
      <c r="F967" s="3" t="s">
        <v>34</v>
      </c>
      <c r="G967" s="3" t="s">
        <v>99</v>
      </c>
      <c r="H967" s="3" t="s">
        <v>1039</v>
      </c>
      <c r="I967" s="3" t="s">
        <v>933</v>
      </c>
      <c r="J967" s="3">
        <v>12000</v>
      </c>
      <c r="K967" s="3" t="s">
        <v>29</v>
      </c>
      <c r="L967" s="3" t="s">
        <v>21</v>
      </c>
    </row>
    <row r="968" spans="1:12" ht="16.2" customHeight="1">
      <c r="A968" s="2" t="s">
        <v>1949</v>
      </c>
      <c r="B968" s="2" t="s">
        <v>850</v>
      </c>
      <c r="C968" s="2">
        <v>84</v>
      </c>
      <c r="D968" s="2" t="s">
        <v>32</v>
      </c>
      <c r="E968" s="2" t="s">
        <v>994</v>
      </c>
      <c r="F968" s="2" t="s">
        <v>16</v>
      </c>
      <c r="G968" s="2" t="s">
        <v>99</v>
      </c>
      <c r="H968" s="2" t="s">
        <v>242</v>
      </c>
      <c r="I968" s="2" t="s">
        <v>370</v>
      </c>
      <c r="J968" s="2">
        <v>35000</v>
      </c>
      <c r="K968" s="2" t="s">
        <v>20</v>
      </c>
      <c r="L968" s="2"/>
    </row>
    <row r="969" spans="1:12" ht="16.2" customHeight="1">
      <c r="A969" s="3" t="s">
        <v>1950</v>
      </c>
      <c r="B969" s="3" t="s">
        <v>1098</v>
      </c>
      <c r="C969" s="3">
        <v>68</v>
      </c>
      <c r="D969" s="3" t="s">
        <v>14</v>
      </c>
      <c r="E969" s="3" t="s">
        <v>15</v>
      </c>
      <c r="F969" s="3" t="s">
        <v>25</v>
      </c>
      <c r="G969" s="3" t="s">
        <v>26</v>
      </c>
      <c r="H969" s="3" t="s">
        <v>620</v>
      </c>
      <c r="I969" s="3" t="s">
        <v>797</v>
      </c>
      <c r="J969" s="3">
        <v>25000</v>
      </c>
      <c r="K969" s="3" t="s">
        <v>29</v>
      </c>
      <c r="L969" s="3" t="s">
        <v>21</v>
      </c>
    </row>
    <row r="970" spans="1:12" ht="16.2" customHeight="1">
      <c r="A970" s="2" t="s">
        <v>1951</v>
      </c>
      <c r="B970" s="2" t="s">
        <v>883</v>
      </c>
      <c r="C970" s="2">
        <v>20</v>
      </c>
      <c r="D970" s="2" t="s">
        <v>14</v>
      </c>
      <c r="E970" s="2" t="s">
        <v>52</v>
      </c>
      <c r="F970" s="2" t="s">
        <v>42</v>
      </c>
      <c r="G970" s="2" t="s">
        <v>35</v>
      </c>
      <c r="H970" s="2" t="s">
        <v>95</v>
      </c>
      <c r="I970" s="2" t="s">
        <v>363</v>
      </c>
      <c r="J970" s="2">
        <v>5000</v>
      </c>
      <c r="K970" s="2" t="s">
        <v>37</v>
      </c>
      <c r="L970" s="2" t="s">
        <v>87</v>
      </c>
    </row>
    <row r="971" spans="1:12" ht="16.2" customHeight="1">
      <c r="A971" s="3" t="s">
        <v>1952</v>
      </c>
      <c r="B971" s="3" t="s">
        <v>1953</v>
      </c>
      <c r="C971" s="3">
        <v>25</v>
      </c>
      <c r="D971" s="3" t="s">
        <v>14</v>
      </c>
      <c r="E971" s="3" t="s">
        <v>541</v>
      </c>
      <c r="F971" s="3" t="s">
        <v>450</v>
      </c>
      <c r="G971" s="3" t="s">
        <v>26</v>
      </c>
      <c r="H971" s="3" t="s">
        <v>1039</v>
      </c>
      <c r="I971" s="3" t="s">
        <v>644</v>
      </c>
      <c r="J971" s="3">
        <v>20000</v>
      </c>
      <c r="K971" s="3" t="s">
        <v>37</v>
      </c>
      <c r="L971" s="3" t="s">
        <v>38</v>
      </c>
    </row>
    <row r="972" spans="1:12" ht="16.2" customHeight="1">
      <c r="A972" s="2" t="s">
        <v>1954</v>
      </c>
      <c r="B972" s="2" t="s">
        <v>469</v>
      </c>
      <c r="C972" s="2">
        <v>74</v>
      </c>
      <c r="D972" s="2" t="s">
        <v>14</v>
      </c>
      <c r="E972" s="2" t="s">
        <v>33</v>
      </c>
      <c r="F972" s="2" t="s">
        <v>127</v>
      </c>
      <c r="G972" s="2" t="s">
        <v>26</v>
      </c>
      <c r="H972" s="2" t="s">
        <v>415</v>
      </c>
      <c r="I972" s="2" t="s">
        <v>206</v>
      </c>
      <c r="J972" s="2">
        <v>12000</v>
      </c>
      <c r="K972" s="2" t="s">
        <v>37</v>
      </c>
      <c r="L972" s="2" t="s">
        <v>87</v>
      </c>
    </row>
    <row r="973" spans="1:12" ht="16.2" customHeight="1">
      <c r="A973" s="3" t="s">
        <v>1955</v>
      </c>
      <c r="B973" s="3" t="s">
        <v>923</v>
      </c>
      <c r="C973" s="3" t="s">
        <v>530</v>
      </c>
      <c r="D973" s="3" t="s">
        <v>14</v>
      </c>
      <c r="E973" s="3" t="s">
        <v>52</v>
      </c>
      <c r="F973" s="3" t="s">
        <v>76</v>
      </c>
      <c r="G973" s="3" t="s">
        <v>104</v>
      </c>
      <c r="H973" s="3" t="s">
        <v>1956</v>
      </c>
      <c r="I973" s="3" t="s">
        <v>114</v>
      </c>
      <c r="J973" s="3">
        <v>50000</v>
      </c>
      <c r="K973" s="3" t="s">
        <v>37</v>
      </c>
      <c r="L973" s="3" t="s">
        <v>38</v>
      </c>
    </row>
    <row r="974" spans="1:12" ht="16.2" customHeight="1">
      <c r="A974" s="2" t="s">
        <v>1957</v>
      </c>
      <c r="B974" s="2" t="s">
        <v>1726</v>
      </c>
      <c r="C974" s="2">
        <v>89</v>
      </c>
      <c r="D974" s="2" t="s">
        <v>14</v>
      </c>
      <c r="E974" s="2" t="s">
        <v>58</v>
      </c>
      <c r="F974" s="2" t="s">
        <v>132</v>
      </c>
      <c r="G974" s="2" t="s">
        <v>99</v>
      </c>
      <c r="H974" s="2" t="s">
        <v>363</v>
      </c>
      <c r="I974" s="2" t="s">
        <v>545</v>
      </c>
      <c r="J974" s="2">
        <v>0</v>
      </c>
      <c r="K974" s="2" t="s">
        <v>67</v>
      </c>
      <c r="L974" s="2" t="s">
        <v>21</v>
      </c>
    </row>
    <row r="975" spans="1:12" ht="16.2" customHeight="1">
      <c r="A975" s="3" t="s">
        <v>1958</v>
      </c>
      <c r="B975" s="3" t="s">
        <v>1366</v>
      </c>
      <c r="C975" s="3">
        <v>11</v>
      </c>
      <c r="D975" s="3" t="s">
        <v>14</v>
      </c>
      <c r="E975" s="3" t="s">
        <v>58</v>
      </c>
      <c r="F975" s="3" t="s">
        <v>127</v>
      </c>
      <c r="G975" s="3" t="s">
        <v>26</v>
      </c>
      <c r="H975" s="3" t="s">
        <v>266</v>
      </c>
      <c r="I975" s="3" t="s">
        <v>296</v>
      </c>
      <c r="J975" s="3">
        <v>100000</v>
      </c>
      <c r="K975" s="3" t="s">
        <v>37</v>
      </c>
      <c r="L975" s="3" t="s">
        <v>55</v>
      </c>
    </row>
    <row r="976" spans="1:12" ht="16.2" customHeight="1">
      <c r="A976" s="2" t="s">
        <v>1959</v>
      </c>
      <c r="B976" s="2" t="s">
        <v>1960</v>
      </c>
      <c r="C976" s="2">
        <v>55</v>
      </c>
      <c r="D976" s="2" t="s">
        <v>32</v>
      </c>
      <c r="E976" s="2" t="s">
        <v>58</v>
      </c>
      <c r="F976" s="2" t="s">
        <v>132</v>
      </c>
      <c r="G976" s="2" t="s">
        <v>26</v>
      </c>
      <c r="H976" s="2" t="s">
        <v>1961</v>
      </c>
      <c r="I976" s="2" t="s">
        <v>905</v>
      </c>
      <c r="J976" s="2">
        <v>100000</v>
      </c>
      <c r="K976" s="2" t="s">
        <v>67</v>
      </c>
      <c r="L976" s="2" t="s">
        <v>55</v>
      </c>
    </row>
    <row r="977" spans="1:12" ht="16.2" customHeight="1">
      <c r="A977" s="3" t="s">
        <v>1962</v>
      </c>
      <c r="B977" s="3" t="s">
        <v>958</v>
      </c>
      <c r="C977" s="3">
        <v>29</v>
      </c>
      <c r="D977" s="3" t="s">
        <v>32</v>
      </c>
      <c r="E977" s="3" t="s">
        <v>52</v>
      </c>
      <c r="F977" s="3" t="s">
        <v>42</v>
      </c>
      <c r="G977" s="3" t="s">
        <v>17</v>
      </c>
      <c r="H977" s="3" t="s">
        <v>905</v>
      </c>
      <c r="I977" s="3" t="s">
        <v>877</v>
      </c>
      <c r="J977" s="3">
        <v>999999999</v>
      </c>
      <c r="K977" s="3" t="s">
        <v>67</v>
      </c>
      <c r="L977" s="3" t="s">
        <v>38</v>
      </c>
    </row>
    <row r="978" spans="1:12" ht="16.2" customHeight="1">
      <c r="A978" s="2" t="s">
        <v>1963</v>
      </c>
      <c r="B978" s="2" t="s">
        <v>1964</v>
      </c>
      <c r="C978" s="2">
        <v>82</v>
      </c>
      <c r="D978" s="2" t="s">
        <v>14</v>
      </c>
      <c r="E978" s="2" t="s">
        <v>109</v>
      </c>
      <c r="F978" s="2" t="s">
        <v>127</v>
      </c>
      <c r="G978" s="2" t="s">
        <v>48</v>
      </c>
      <c r="H978" s="2" t="s">
        <v>952</v>
      </c>
      <c r="I978" s="2" t="s">
        <v>878</v>
      </c>
      <c r="J978" s="2">
        <v>12000</v>
      </c>
      <c r="K978" s="2" t="s">
        <v>20</v>
      </c>
      <c r="L978" s="2" t="s">
        <v>21</v>
      </c>
    </row>
    <row r="979" spans="1:12" ht="16.2" customHeight="1">
      <c r="A979" s="3" t="s">
        <v>1965</v>
      </c>
      <c r="B979" s="3" t="s">
        <v>1966</v>
      </c>
      <c r="C979" s="3">
        <v>46</v>
      </c>
      <c r="D979" s="3" t="s">
        <v>32</v>
      </c>
      <c r="E979" s="3" t="s">
        <v>122</v>
      </c>
      <c r="F979" s="3" t="s">
        <v>25</v>
      </c>
      <c r="G979" s="3" t="s">
        <v>48</v>
      </c>
      <c r="H979" s="3" t="s">
        <v>1967</v>
      </c>
      <c r="I979" s="3" t="s">
        <v>393</v>
      </c>
      <c r="J979" s="3">
        <v>5000</v>
      </c>
      <c r="K979" s="3" t="s">
        <v>37</v>
      </c>
      <c r="L979" s="3" t="s">
        <v>55</v>
      </c>
    </row>
    <row r="980" spans="1:12" ht="16.2" customHeight="1">
      <c r="A980" s="2" t="s">
        <v>1968</v>
      </c>
      <c r="B980" s="2" t="s">
        <v>294</v>
      </c>
      <c r="C980" s="2">
        <v>22</v>
      </c>
      <c r="D980" s="2" t="s">
        <v>14</v>
      </c>
      <c r="E980" s="2" t="s">
        <v>70</v>
      </c>
      <c r="F980" s="2" t="s">
        <v>76</v>
      </c>
      <c r="G980" s="2" t="s">
        <v>48</v>
      </c>
      <c r="H980" s="2" t="s">
        <v>569</v>
      </c>
      <c r="I980" s="2" t="s">
        <v>306</v>
      </c>
      <c r="J980" s="2">
        <v>35000</v>
      </c>
      <c r="K980" s="2" t="s">
        <v>29</v>
      </c>
      <c r="L980" s="2" t="s">
        <v>21</v>
      </c>
    </row>
    <row r="981" spans="1:12" ht="16.2" customHeight="1">
      <c r="A981" s="3" t="s">
        <v>1969</v>
      </c>
      <c r="B981" s="3" t="s">
        <v>761</v>
      </c>
      <c r="C981" s="3">
        <v>43</v>
      </c>
      <c r="D981" s="3" t="s">
        <v>32</v>
      </c>
      <c r="E981" s="3" t="s">
        <v>33</v>
      </c>
      <c r="F981" s="3" t="s">
        <v>42</v>
      </c>
      <c r="G981" s="3" t="s">
        <v>99</v>
      </c>
      <c r="H981" s="3" t="s">
        <v>1970</v>
      </c>
      <c r="I981" s="3" t="s">
        <v>852</v>
      </c>
      <c r="J981" s="3">
        <v>-1000</v>
      </c>
      <c r="K981" s="3" t="s">
        <v>20</v>
      </c>
      <c r="L981" s="3" t="s">
        <v>21</v>
      </c>
    </row>
    <row r="982" spans="1:12" ht="16.2" customHeight="1">
      <c r="A982" s="2" t="s">
        <v>1971</v>
      </c>
      <c r="B982" s="2" t="s">
        <v>985</v>
      </c>
      <c r="C982" s="2">
        <v>1</v>
      </c>
      <c r="D982" s="2" t="s">
        <v>32</v>
      </c>
      <c r="E982" s="2" t="s">
        <v>381</v>
      </c>
      <c r="F982" s="2" t="s">
        <v>76</v>
      </c>
      <c r="G982" s="2" t="s">
        <v>99</v>
      </c>
      <c r="H982" s="2" t="s">
        <v>659</v>
      </c>
      <c r="I982" s="2" t="s">
        <v>507</v>
      </c>
      <c r="J982" s="2">
        <v>100000</v>
      </c>
      <c r="K982" s="2" t="s">
        <v>983</v>
      </c>
      <c r="L982" s="2" t="s">
        <v>55</v>
      </c>
    </row>
    <row r="983" spans="1:12" ht="16.2" customHeight="1">
      <c r="A983" s="3" t="s">
        <v>1972</v>
      </c>
      <c r="B983" s="3" t="s">
        <v>329</v>
      </c>
      <c r="C983" s="3">
        <v>31</v>
      </c>
      <c r="D983" s="3" t="s">
        <v>32</v>
      </c>
      <c r="E983" s="3" t="s">
        <v>52</v>
      </c>
      <c r="F983" s="3" t="s">
        <v>127</v>
      </c>
      <c r="G983" s="3" t="s">
        <v>104</v>
      </c>
      <c r="H983" s="3" t="s">
        <v>669</v>
      </c>
      <c r="I983" s="3" t="s">
        <v>393</v>
      </c>
      <c r="J983" s="3">
        <v>20000</v>
      </c>
      <c r="K983" s="3" t="s">
        <v>37</v>
      </c>
      <c r="L983" s="3" t="s">
        <v>87</v>
      </c>
    </row>
    <row r="984" spans="1:12" ht="16.2" customHeight="1">
      <c r="A984" s="2" t="s">
        <v>1973</v>
      </c>
      <c r="B984" s="2" t="s">
        <v>733</v>
      </c>
      <c r="C984" s="2">
        <v>47</v>
      </c>
      <c r="D984" s="2" t="s">
        <v>32</v>
      </c>
      <c r="E984" s="2" t="s">
        <v>117</v>
      </c>
      <c r="F984" s="2" t="s">
        <v>76</v>
      </c>
      <c r="G984" s="2" t="s">
        <v>35</v>
      </c>
      <c r="H984" s="2" t="s">
        <v>347</v>
      </c>
      <c r="I984" s="2" t="s">
        <v>1974</v>
      </c>
      <c r="J984" s="2">
        <v>75000</v>
      </c>
      <c r="K984" s="2" t="s">
        <v>37</v>
      </c>
      <c r="L984" s="2" t="s">
        <v>55</v>
      </c>
    </row>
    <row r="985" spans="1:12" ht="16.2" customHeight="1">
      <c r="A985" s="3" t="s">
        <v>1975</v>
      </c>
      <c r="B985" s="3" t="s">
        <v>1976</v>
      </c>
      <c r="C985" s="3">
        <v>81</v>
      </c>
      <c r="D985" s="3" t="s">
        <v>14</v>
      </c>
      <c r="E985" s="3" t="s">
        <v>52</v>
      </c>
      <c r="F985" s="3" t="s">
        <v>76</v>
      </c>
      <c r="G985" s="3" t="s">
        <v>35</v>
      </c>
      <c r="H985" s="3" t="s">
        <v>335</v>
      </c>
      <c r="I985" s="3" t="s">
        <v>454</v>
      </c>
      <c r="J985" s="3">
        <v>15000</v>
      </c>
      <c r="K985" s="3" t="s">
        <v>20</v>
      </c>
      <c r="L985" s="3" t="s">
        <v>55</v>
      </c>
    </row>
    <row r="986" spans="1:12" ht="16.2" customHeight="1">
      <c r="A986" s="2" t="s">
        <v>1977</v>
      </c>
      <c r="B986" s="2" t="s">
        <v>667</v>
      </c>
      <c r="C986" s="2">
        <v>8</v>
      </c>
      <c r="D986" s="2" t="s">
        <v>14</v>
      </c>
      <c r="E986" s="2" t="s">
        <v>15</v>
      </c>
      <c r="F986" s="2" t="s">
        <v>76</v>
      </c>
      <c r="G986" s="2" t="s">
        <v>53</v>
      </c>
      <c r="H986" s="2" t="s">
        <v>855</v>
      </c>
      <c r="I986" s="2" t="s">
        <v>797</v>
      </c>
      <c r="J986" s="2">
        <v>15000</v>
      </c>
      <c r="K986" s="2" t="s">
        <v>37</v>
      </c>
      <c r="L986" s="2" t="s">
        <v>38</v>
      </c>
    </row>
    <row r="987" spans="1:12" ht="16.2" customHeight="1">
      <c r="A987" s="3" t="s">
        <v>1978</v>
      </c>
      <c r="B987" s="3" t="s">
        <v>727</v>
      </c>
      <c r="C987" s="3">
        <v>16</v>
      </c>
      <c r="D987" s="3" t="s">
        <v>32</v>
      </c>
      <c r="E987" s="3" t="s">
        <v>33</v>
      </c>
      <c r="F987" s="3" t="s">
        <v>34</v>
      </c>
      <c r="G987" s="3" t="s">
        <v>99</v>
      </c>
      <c r="H987" s="3" t="s">
        <v>1292</v>
      </c>
      <c r="I987" s="3" t="s">
        <v>557</v>
      </c>
      <c r="J987" s="3">
        <v>20000</v>
      </c>
      <c r="K987" s="3" t="s">
        <v>37</v>
      </c>
      <c r="L987" s="3" t="s">
        <v>87</v>
      </c>
    </row>
    <row r="988" spans="1:12" ht="16.2" customHeight="1">
      <c r="A988" s="2" t="s">
        <v>1979</v>
      </c>
      <c r="B988" s="2" t="s">
        <v>1163</v>
      </c>
      <c r="C988" s="2">
        <v>74</v>
      </c>
      <c r="D988" s="2" t="s">
        <v>32</v>
      </c>
      <c r="E988" s="2" t="s">
        <v>70</v>
      </c>
      <c r="F988" s="2" t="s">
        <v>450</v>
      </c>
      <c r="G988" s="2" t="s">
        <v>104</v>
      </c>
      <c r="H988" s="2" t="s">
        <v>295</v>
      </c>
      <c r="I988" s="2" t="s">
        <v>296</v>
      </c>
      <c r="J988" s="2">
        <v>8000</v>
      </c>
      <c r="K988" s="2" t="s">
        <v>29</v>
      </c>
      <c r="L988" s="2" t="s">
        <v>21</v>
      </c>
    </row>
    <row r="989" spans="1:12" ht="16.2" customHeight="1">
      <c r="A989" s="3" t="s">
        <v>1980</v>
      </c>
      <c r="B989" s="3" t="s">
        <v>1981</v>
      </c>
      <c r="C989" s="3">
        <v>87</v>
      </c>
      <c r="D989" s="3" t="s">
        <v>14</v>
      </c>
      <c r="E989" s="3" t="s">
        <v>15</v>
      </c>
      <c r="F989" s="3" t="s">
        <v>132</v>
      </c>
      <c r="G989" s="3" t="s">
        <v>48</v>
      </c>
      <c r="H989" s="3" t="s">
        <v>669</v>
      </c>
      <c r="I989" s="3" t="s">
        <v>752</v>
      </c>
      <c r="J989" s="3">
        <v>999999999</v>
      </c>
      <c r="K989" s="3" t="s">
        <v>29</v>
      </c>
      <c r="L989" s="3" t="s">
        <v>87</v>
      </c>
    </row>
    <row r="990" spans="1:12" ht="16.2" customHeight="1">
      <c r="A990" s="2" t="s">
        <v>1982</v>
      </c>
      <c r="B990" s="2" t="s">
        <v>1868</v>
      </c>
      <c r="C990" s="2">
        <v>54</v>
      </c>
      <c r="D990" s="2" t="s">
        <v>32</v>
      </c>
      <c r="E990" s="2" t="s">
        <v>70</v>
      </c>
      <c r="F990" s="2" t="s">
        <v>132</v>
      </c>
      <c r="G990" s="2" t="s">
        <v>53</v>
      </c>
      <c r="H990" s="2" t="s">
        <v>184</v>
      </c>
      <c r="I990" s="2" t="s">
        <v>588</v>
      </c>
      <c r="J990" s="2">
        <v>100000</v>
      </c>
      <c r="K990" s="2" t="s">
        <v>67</v>
      </c>
      <c r="L990" s="2" t="s">
        <v>38</v>
      </c>
    </row>
    <row r="991" spans="1:12" ht="16.2" customHeight="1">
      <c r="A991" s="3" t="s">
        <v>1983</v>
      </c>
      <c r="B991" s="3" t="s">
        <v>996</v>
      </c>
      <c r="C991" s="3">
        <v>39</v>
      </c>
      <c r="D991" s="3" t="s">
        <v>14</v>
      </c>
      <c r="E991" s="3" t="s">
        <v>70</v>
      </c>
      <c r="F991" s="3" t="s">
        <v>16</v>
      </c>
      <c r="G991" s="3" t="s">
        <v>26</v>
      </c>
      <c r="H991" s="3" t="s">
        <v>1984</v>
      </c>
      <c r="I991" s="3" t="s">
        <v>151</v>
      </c>
      <c r="J991" s="3">
        <v>5000</v>
      </c>
      <c r="K991" s="3" t="s">
        <v>37</v>
      </c>
      <c r="L991" s="3" t="s">
        <v>21</v>
      </c>
    </row>
    <row r="992" spans="1:12" ht="16.2" customHeight="1">
      <c r="A992" s="2" t="s">
        <v>1985</v>
      </c>
      <c r="B992" s="2" t="s">
        <v>197</v>
      </c>
      <c r="C992" s="2"/>
      <c r="D992" s="2" t="s">
        <v>32</v>
      </c>
      <c r="E992" s="2" t="s">
        <v>52</v>
      </c>
      <c r="F992" s="2" t="s">
        <v>76</v>
      </c>
      <c r="G992" s="2" t="s">
        <v>48</v>
      </c>
      <c r="H992" s="2" t="s">
        <v>973</v>
      </c>
      <c r="I992" s="2" t="s">
        <v>195</v>
      </c>
      <c r="J992" s="2">
        <v>20000</v>
      </c>
      <c r="K992" s="2" t="s">
        <v>20</v>
      </c>
      <c r="L992" s="2" t="s">
        <v>21</v>
      </c>
    </row>
    <row r="993" spans="1:12" ht="16.2" customHeight="1">
      <c r="A993" s="3" t="s">
        <v>1986</v>
      </c>
      <c r="B993" s="3" t="s">
        <v>251</v>
      </c>
      <c r="C993" s="3">
        <v>87</v>
      </c>
      <c r="D993" s="3" t="s">
        <v>14</v>
      </c>
      <c r="E993" s="3" t="s">
        <v>85</v>
      </c>
      <c r="F993" s="3" t="s">
        <v>25</v>
      </c>
      <c r="G993" s="3" t="s">
        <v>99</v>
      </c>
      <c r="H993" s="3" t="s">
        <v>134</v>
      </c>
      <c r="I993" s="3" t="s">
        <v>198</v>
      </c>
      <c r="J993" s="3">
        <v>100000</v>
      </c>
      <c r="K993" s="3" t="s">
        <v>67</v>
      </c>
      <c r="L993" s="3" t="s">
        <v>87</v>
      </c>
    </row>
    <row r="994" spans="1:12" ht="16.2" customHeight="1">
      <c r="A994" s="2" t="s">
        <v>1987</v>
      </c>
      <c r="B994" s="2" t="s">
        <v>1577</v>
      </c>
      <c r="C994" s="2">
        <v>7</v>
      </c>
      <c r="D994" s="2" t="s">
        <v>14</v>
      </c>
      <c r="E994" s="2" t="s">
        <v>15</v>
      </c>
      <c r="F994" s="2" t="s">
        <v>132</v>
      </c>
      <c r="G994" s="2" t="s">
        <v>104</v>
      </c>
      <c r="H994" s="2" t="s">
        <v>973</v>
      </c>
      <c r="I994" s="2" t="s">
        <v>383</v>
      </c>
      <c r="J994" s="2">
        <v>35000</v>
      </c>
      <c r="K994" s="2" t="s">
        <v>67</v>
      </c>
      <c r="L994" s="2" t="s">
        <v>55</v>
      </c>
    </row>
    <row r="995" spans="1:12" ht="16.2" customHeight="1">
      <c r="A995" s="3" t="s">
        <v>1988</v>
      </c>
      <c r="B995" s="3" t="s">
        <v>518</v>
      </c>
      <c r="C995" s="3">
        <v>31</v>
      </c>
      <c r="D995" s="3" t="s">
        <v>32</v>
      </c>
      <c r="E995" s="3" t="s">
        <v>70</v>
      </c>
      <c r="F995" s="3" t="s">
        <v>34</v>
      </c>
      <c r="G995" s="3" t="s">
        <v>99</v>
      </c>
      <c r="H995" s="3" t="s">
        <v>62</v>
      </c>
      <c r="I995" s="3" t="s">
        <v>105</v>
      </c>
      <c r="J995" s="3">
        <v>100000</v>
      </c>
      <c r="K995" s="3" t="s">
        <v>67</v>
      </c>
      <c r="L995" s="3" t="s">
        <v>38</v>
      </c>
    </row>
    <row r="996" spans="1:12" ht="16.2" customHeight="1">
      <c r="A996" s="2" t="s">
        <v>1989</v>
      </c>
      <c r="B996" s="2" t="s">
        <v>1990</v>
      </c>
      <c r="C996" s="2">
        <v>45</v>
      </c>
      <c r="D996" s="2" t="s">
        <v>32</v>
      </c>
      <c r="E996" s="2" t="s">
        <v>254</v>
      </c>
      <c r="F996" s="2" t="s">
        <v>127</v>
      </c>
      <c r="G996" s="2" t="s">
        <v>104</v>
      </c>
      <c r="H996" s="2" t="s">
        <v>1206</v>
      </c>
      <c r="I996" s="2" t="s">
        <v>816</v>
      </c>
      <c r="J996" s="2">
        <v>12000</v>
      </c>
      <c r="K996" s="2" t="s">
        <v>20</v>
      </c>
      <c r="L996" s="2" t="s">
        <v>21</v>
      </c>
    </row>
    <row r="997" spans="1:12" ht="16.2" customHeight="1">
      <c r="A997" s="3" t="s">
        <v>1991</v>
      </c>
      <c r="B997" s="3" t="s">
        <v>1992</v>
      </c>
      <c r="C997" s="3">
        <v>29</v>
      </c>
      <c r="D997" s="3" t="s">
        <v>14</v>
      </c>
      <c r="E997" s="3" t="s">
        <v>52</v>
      </c>
      <c r="F997" s="3" t="s">
        <v>25</v>
      </c>
      <c r="G997" s="3" t="s">
        <v>48</v>
      </c>
      <c r="H997" s="3" t="s">
        <v>556</v>
      </c>
      <c r="I997" s="3" t="s">
        <v>223</v>
      </c>
      <c r="J997" s="3">
        <v>15000</v>
      </c>
      <c r="K997" s="3" t="s">
        <v>67</v>
      </c>
      <c r="L997" s="3" t="s">
        <v>21</v>
      </c>
    </row>
    <row r="998" spans="1:12" ht="16.2" customHeight="1">
      <c r="A998" s="2" t="s">
        <v>1993</v>
      </c>
      <c r="B998" s="2" t="s">
        <v>1251</v>
      </c>
      <c r="C998" s="2">
        <v>53</v>
      </c>
      <c r="D998" s="2" t="s">
        <v>690</v>
      </c>
      <c r="E998" s="2" t="s">
        <v>359</v>
      </c>
      <c r="F998" s="2" t="s">
        <v>76</v>
      </c>
      <c r="G998" s="2" t="s">
        <v>48</v>
      </c>
      <c r="H998" s="2" t="s">
        <v>1994</v>
      </c>
      <c r="I998" s="2" t="s">
        <v>195</v>
      </c>
      <c r="J998" s="2">
        <v>50000</v>
      </c>
      <c r="K998" s="2" t="s">
        <v>37</v>
      </c>
      <c r="L998" s="2" t="s">
        <v>38</v>
      </c>
    </row>
    <row r="999" spans="1:12" ht="16.2" customHeight="1">
      <c r="A999" s="3" t="s">
        <v>1995</v>
      </c>
      <c r="B999" s="3" t="s">
        <v>1540</v>
      </c>
      <c r="C999" s="3">
        <v>23</v>
      </c>
      <c r="D999" s="3" t="s">
        <v>14</v>
      </c>
      <c r="E999" s="3" t="s">
        <v>1086</v>
      </c>
      <c r="F999" s="3" t="s">
        <v>16</v>
      </c>
      <c r="G999" s="3" t="s">
        <v>35</v>
      </c>
      <c r="H999" s="3" t="s">
        <v>492</v>
      </c>
      <c r="I999" s="3" t="s">
        <v>810</v>
      </c>
      <c r="J999" s="3">
        <v>75000</v>
      </c>
      <c r="K999" s="3" t="s">
        <v>331</v>
      </c>
      <c r="L999" s="3" t="s">
        <v>38</v>
      </c>
    </row>
    <row r="1000" spans="1:12" ht="16.2" customHeight="1">
      <c r="A1000" s="2" t="s">
        <v>1996</v>
      </c>
      <c r="B1000" s="2" t="s">
        <v>758</v>
      </c>
      <c r="C1000" s="2">
        <v>63</v>
      </c>
      <c r="D1000" s="2" t="s">
        <v>14</v>
      </c>
      <c r="E1000" s="2" t="s">
        <v>109</v>
      </c>
      <c r="F1000" s="2" t="s">
        <v>25</v>
      </c>
      <c r="G1000" s="2" t="s">
        <v>104</v>
      </c>
      <c r="H1000" s="2" t="s">
        <v>49</v>
      </c>
      <c r="I1000" s="2" t="s">
        <v>111</v>
      </c>
      <c r="J1000" s="2">
        <v>999999999</v>
      </c>
      <c r="K1000" s="2" t="s">
        <v>67</v>
      </c>
      <c r="L1000" s="2" t="s">
        <v>87</v>
      </c>
    </row>
    <row r="1001" spans="1:12" ht="16.2" customHeight="1">
      <c r="A1001" s="3" t="s">
        <v>1997</v>
      </c>
      <c r="B1001" s="3" t="s">
        <v>1014</v>
      </c>
      <c r="C1001" s="3">
        <v>29</v>
      </c>
      <c r="D1001" s="3" t="s">
        <v>14</v>
      </c>
      <c r="E1001" s="3" t="s">
        <v>52</v>
      </c>
      <c r="F1001" s="3" t="s">
        <v>34</v>
      </c>
      <c r="G1001" s="3" t="s">
        <v>17</v>
      </c>
      <c r="H1001" s="3" t="s">
        <v>123</v>
      </c>
      <c r="I1001" s="3" t="s">
        <v>318</v>
      </c>
      <c r="J1001" s="3">
        <v>50000</v>
      </c>
      <c r="K1001" s="3" t="s">
        <v>20</v>
      </c>
      <c r="L1001" s="3" t="s">
        <v>55</v>
      </c>
    </row>
    <row r="1002" spans="1:12" ht="16.2" customHeight="1">
      <c r="A1002" s="2" t="s">
        <v>1998</v>
      </c>
      <c r="B1002" s="2" t="s">
        <v>1110</v>
      </c>
      <c r="C1002" s="2">
        <v>39</v>
      </c>
      <c r="D1002" s="2" t="s">
        <v>32</v>
      </c>
      <c r="E1002" s="2" t="s">
        <v>15</v>
      </c>
      <c r="F1002" s="2" t="s">
        <v>34</v>
      </c>
      <c r="G1002" s="2" t="s">
        <v>48</v>
      </c>
      <c r="H1002" s="2" t="s">
        <v>662</v>
      </c>
      <c r="I1002" s="2" t="s">
        <v>574</v>
      </c>
      <c r="J1002" s="2">
        <v>5000</v>
      </c>
      <c r="K1002" s="2" t="s">
        <v>37</v>
      </c>
      <c r="L1002" s="2" t="s">
        <v>87</v>
      </c>
    </row>
    <row r="1003" spans="1:12" ht="16.2" customHeight="1">
      <c r="A1003" s="3" t="s">
        <v>1999</v>
      </c>
      <c r="B1003" s="3" t="s">
        <v>1486</v>
      </c>
      <c r="C1003" s="3">
        <v>5</v>
      </c>
      <c r="D1003" s="3" t="s">
        <v>14</v>
      </c>
      <c r="E1003" s="3" t="s">
        <v>15</v>
      </c>
      <c r="F1003" s="3" t="s">
        <v>76</v>
      </c>
      <c r="G1003" s="3" t="s">
        <v>48</v>
      </c>
      <c r="H1003" s="3" t="s">
        <v>2000</v>
      </c>
      <c r="I1003" s="3" t="s">
        <v>464</v>
      </c>
      <c r="J1003" s="3">
        <v>8000</v>
      </c>
      <c r="K1003" s="3"/>
      <c r="L1003" s="3" t="s">
        <v>38</v>
      </c>
    </row>
    <row r="1004" spans="1:12" ht="16.2" customHeight="1">
      <c r="A1004" s="2" t="s">
        <v>2001</v>
      </c>
      <c r="B1004" s="2" t="s">
        <v>2002</v>
      </c>
      <c r="C1004" s="2">
        <v>86</v>
      </c>
      <c r="D1004" s="2" t="s">
        <v>14</v>
      </c>
      <c r="E1004" s="2" t="s">
        <v>987</v>
      </c>
      <c r="F1004" s="2" t="s">
        <v>42</v>
      </c>
      <c r="G1004" s="2" t="s">
        <v>35</v>
      </c>
      <c r="H1004" s="2" t="s">
        <v>1967</v>
      </c>
      <c r="I1004" s="2" t="s">
        <v>437</v>
      </c>
      <c r="J1004" s="2">
        <v>75000</v>
      </c>
      <c r="K1004" s="2" t="s">
        <v>29</v>
      </c>
      <c r="L1004" s="2" t="s">
        <v>21</v>
      </c>
    </row>
    <row r="1005" spans="1:12" ht="16.2" customHeight="1">
      <c r="A1005" s="3" t="s">
        <v>2003</v>
      </c>
      <c r="B1005" s="3" t="s">
        <v>2004</v>
      </c>
      <c r="C1005" s="3">
        <v>7</v>
      </c>
      <c r="D1005" s="3" t="s">
        <v>32</v>
      </c>
      <c r="E1005" s="3" t="s">
        <v>70</v>
      </c>
      <c r="F1005" s="3" t="s">
        <v>76</v>
      </c>
      <c r="G1005" s="3" t="s">
        <v>35</v>
      </c>
      <c r="H1005" s="3" t="s">
        <v>171</v>
      </c>
      <c r="I1005" s="3" t="s">
        <v>974</v>
      </c>
      <c r="J1005" s="3">
        <v>15000</v>
      </c>
      <c r="K1005" s="3" t="s">
        <v>67</v>
      </c>
      <c r="L1005" s="3" t="s">
        <v>38</v>
      </c>
    </row>
    <row r="1006" spans="1:12" ht="16.2" customHeight="1">
      <c r="A1006" s="2" t="s">
        <v>2005</v>
      </c>
      <c r="B1006" s="2" t="s">
        <v>1110</v>
      </c>
      <c r="C1006" s="2">
        <v>89</v>
      </c>
      <c r="D1006" s="2" t="s">
        <v>32</v>
      </c>
      <c r="E1006" s="2" t="s">
        <v>70</v>
      </c>
      <c r="F1006" s="2" t="s">
        <v>16</v>
      </c>
      <c r="G1006" s="2" t="s">
        <v>53</v>
      </c>
      <c r="H1006" s="2" t="s">
        <v>2006</v>
      </c>
      <c r="I1006" s="2" t="s">
        <v>676</v>
      </c>
      <c r="J1006" s="2">
        <v>50000</v>
      </c>
      <c r="K1006" s="2" t="s">
        <v>67</v>
      </c>
      <c r="L1006" s="2" t="s">
        <v>55</v>
      </c>
    </row>
    <row r="1007" spans="1:12" ht="16.2" customHeight="1">
      <c r="A1007" s="3" t="s">
        <v>2007</v>
      </c>
      <c r="B1007" s="3" t="s">
        <v>2008</v>
      </c>
      <c r="C1007" s="3">
        <v>150</v>
      </c>
      <c r="D1007" s="3" t="s">
        <v>14</v>
      </c>
      <c r="E1007" s="3" t="s">
        <v>75</v>
      </c>
      <c r="F1007" s="3" t="s">
        <v>76</v>
      </c>
      <c r="G1007" s="3" t="s">
        <v>53</v>
      </c>
      <c r="H1007" s="3" t="s">
        <v>322</v>
      </c>
      <c r="I1007" s="3" t="s">
        <v>764</v>
      </c>
      <c r="J1007" s="3">
        <v>8000</v>
      </c>
      <c r="K1007" s="3" t="s">
        <v>20</v>
      </c>
      <c r="L1007" s="3" t="s">
        <v>38</v>
      </c>
    </row>
    <row r="1008" spans="1:12" ht="16.2" customHeight="1">
      <c r="A1008" s="2" t="s">
        <v>2009</v>
      </c>
      <c r="B1008" s="2" t="s">
        <v>585</v>
      </c>
      <c r="C1008" s="2">
        <v>25</v>
      </c>
      <c r="D1008" s="2" t="s">
        <v>14</v>
      </c>
      <c r="E1008" s="2" t="s">
        <v>109</v>
      </c>
      <c r="F1008" s="2" t="s">
        <v>42</v>
      </c>
      <c r="G1008" s="2" t="s">
        <v>99</v>
      </c>
      <c r="H1008" s="2" t="s">
        <v>878</v>
      </c>
      <c r="I1008" s="2" t="s">
        <v>725</v>
      </c>
      <c r="J1008" s="2">
        <v>-1000</v>
      </c>
      <c r="K1008" s="2" t="s">
        <v>20</v>
      </c>
      <c r="L1008" s="2" t="s">
        <v>55</v>
      </c>
    </row>
    <row r="1009" spans="1:12" ht="16.2" customHeight="1">
      <c r="A1009" s="3" t="s">
        <v>2010</v>
      </c>
      <c r="B1009" s="3" t="s">
        <v>2011</v>
      </c>
      <c r="C1009" s="3">
        <v>79</v>
      </c>
      <c r="D1009" s="3" t="s">
        <v>32</v>
      </c>
      <c r="E1009" s="3" t="s">
        <v>70</v>
      </c>
      <c r="F1009" s="3" t="s">
        <v>42</v>
      </c>
      <c r="G1009" s="3" t="s">
        <v>17</v>
      </c>
      <c r="H1009" s="3" t="s">
        <v>2012</v>
      </c>
      <c r="I1009" s="3" t="s">
        <v>607</v>
      </c>
      <c r="J1009" s="3">
        <v>35000</v>
      </c>
      <c r="K1009" s="3" t="s">
        <v>37</v>
      </c>
      <c r="L1009" s="3" t="s">
        <v>55</v>
      </c>
    </row>
    <row r="1010" spans="1:12" ht="16.2" customHeight="1">
      <c r="A1010" s="2" t="s">
        <v>2013</v>
      </c>
      <c r="B1010" s="2" t="s">
        <v>2014</v>
      </c>
      <c r="C1010" s="2">
        <v>25</v>
      </c>
      <c r="D1010" s="2" t="s">
        <v>14</v>
      </c>
      <c r="E1010" s="2" t="s">
        <v>109</v>
      </c>
      <c r="F1010" s="2" t="s">
        <v>42</v>
      </c>
      <c r="G1010" s="2" t="s">
        <v>53</v>
      </c>
      <c r="H1010" s="2" t="s">
        <v>339</v>
      </c>
      <c r="I1010" s="2" t="s">
        <v>94</v>
      </c>
      <c r="J1010" s="2">
        <v>8000</v>
      </c>
      <c r="K1010" s="2" t="s">
        <v>168</v>
      </c>
      <c r="L1010" s="2" t="s">
        <v>87</v>
      </c>
    </row>
    <row r="1011" spans="1:12" ht="16.2" customHeight="1">
      <c r="A1011" s="3" t="s">
        <v>2015</v>
      </c>
      <c r="B1011" s="3" t="s">
        <v>1024</v>
      </c>
      <c r="C1011" s="3">
        <v>56</v>
      </c>
      <c r="D1011" s="3" t="s">
        <v>32</v>
      </c>
      <c r="E1011" s="3" t="s">
        <v>70</v>
      </c>
      <c r="F1011" s="3" t="s">
        <v>25</v>
      </c>
      <c r="G1011" s="3" t="s">
        <v>53</v>
      </c>
      <c r="H1011" s="3" t="s">
        <v>44</v>
      </c>
      <c r="I1011" s="3" t="s">
        <v>90</v>
      </c>
      <c r="J1011" s="3">
        <v>12000</v>
      </c>
      <c r="K1011" s="3" t="s">
        <v>67</v>
      </c>
      <c r="L1011" s="3" t="s">
        <v>55</v>
      </c>
    </row>
    <row r="1012" spans="1:12" ht="16.2" customHeight="1">
      <c r="A1012" s="2" t="s">
        <v>2016</v>
      </c>
      <c r="B1012" s="2" t="s">
        <v>779</v>
      </c>
      <c r="C1012" s="2">
        <v>15</v>
      </c>
      <c r="D1012" s="2" t="s">
        <v>32</v>
      </c>
      <c r="E1012" s="2" t="s">
        <v>359</v>
      </c>
      <c r="F1012" s="2" t="s">
        <v>76</v>
      </c>
      <c r="G1012" s="2" t="s">
        <v>17</v>
      </c>
      <c r="H1012" s="2" t="s">
        <v>588</v>
      </c>
      <c r="I1012" s="2" t="s">
        <v>453</v>
      </c>
      <c r="J1012" s="2">
        <v>8000</v>
      </c>
      <c r="K1012" s="2" t="s">
        <v>37</v>
      </c>
      <c r="L1012" s="2" t="s">
        <v>21</v>
      </c>
    </row>
    <row r="1013" spans="1:12" ht="16.2" customHeight="1">
      <c r="A1013" s="3" t="s">
        <v>2017</v>
      </c>
      <c r="B1013" s="3" t="s">
        <v>346</v>
      </c>
      <c r="C1013" s="3">
        <v>63</v>
      </c>
      <c r="D1013" s="3" t="s">
        <v>32</v>
      </c>
      <c r="E1013" s="3" t="s">
        <v>109</v>
      </c>
      <c r="F1013" s="3" t="s">
        <v>127</v>
      </c>
      <c r="G1013" s="3" t="s">
        <v>99</v>
      </c>
      <c r="H1013" s="3" t="s">
        <v>317</v>
      </c>
      <c r="I1013" s="3" t="s">
        <v>394</v>
      </c>
      <c r="J1013" s="3">
        <v>20000</v>
      </c>
      <c r="K1013" s="3" t="s">
        <v>37</v>
      </c>
      <c r="L1013" s="3" t="s">
        <v>55</v>
      </c>
    </row>
    <row r="1014" spans="1:12" ht="16.2" customHeight="1">
      <c r="A1014" s="2" t="s">
        <v>2018</v>
      </c>
      <c r="B1014" s="2" t="s">
        <v>2019</v>
      </c>
      <c r="C1014" s="2">
        <v>4</v>
      </c>
      <c r="D1014" s="2" t="s">
        <v>14</v>
      </c>
      <c r="E1014" s="2" t="s">
        <v>58</v>
      </c>
      <c r="F1014" s="2" t="s">
        <v>25</v>
      </c>
      <c r="G1014" s="2" t="s">
        <v>104</v>
      </c>
      <c r="H1014" s="2" t="s">
        <v>288</v>
      </c>
      <c r="I1014" s="2" t="s">
        <v>878</v>
      </c>
      <c r="J1014" s="2">
        <v>5000</v>
      </c>
      <c r="K1014" s="2" t="s">
        <v>67</v>
      </c>
      <c r="L1014" s="2" t="s">
        <v>87</v>
      </c>
    </row>
    <row r="1015" spans="1:12" ht="16.2" customHeight="1">
      <c r="A1015" s="3" t="s">
        <v>2020</v>
      </c>
      <c r="B1015" s="3" t="s">
        <v>721</v>
      </c>
      <c r="C1015" s="3">
        <v>36</v>
      </c>
      <c r="D1015" s="3" t="s">
        <v>14</v>
      </c>
      <c r="E1015" s="3" t="s">
        <v>15</v>
      </c>
      <c r="F1015" s="3" t="s">
        <v>76</v>
      </c>
      <c r="G1015" s="3" t="s">
        <v>17</v>
      </c>
      <c r="H1015" s="3" t="s">
        <v>194</v>
      </c>
      <c r="I1015" s="3" t="s">
        <v>745</v>
      </c>
      <c r="J1015" s="3">
        <v>15000</v>
      </c>
      <c r="K1015" s="3" t="s">
        <v>29</v>
      </c>
      <c r="L1015" s="3" t="s">
        <v>21</v>
      </c>
    </row>
    <row r="1016" spans="1:12" ht="16.2" customHeight="1">
      <c r="A1016" s="2" t="s">
        <v>2021</v>
      </c>
      <c r="B1016" s="2" t="s">
        <v>121</v>
      </c>
      <c r="C1016" s="2">
        <v>33</v>
      </c>
      <c r="D1016" s="2" t="s">
        <v>32</v>
      </c>
      <c r="E1016" s="2" t="s">
        <v>541</v>
      </c>
      <c r="F1016" s="2" t="s">
        <v>25</v>
      </c>
      <c r="G1016" s="2" t="s">
        <v>35</v>
      </c>
      <c r="H1016" s="2" t="s">
        <v>249</v>
      </c>
      <c r="I1016" s="2" t="s">
        <v>353</v>
      </c>
      <c r="J1016" s="2">
        <v>35000</v>
      </c>
      <c r="K1016" s="2" t="s">
        <v>67</v>
      </c>
      <c r="L1016" s="2" t="s">
        <v>87</v>
      </c>
    </row>
    <row r="1017" spans="1:12" ht="16.2" customHeight="1">
      <c r="A1017" s="3" t="s">
        <v>2022</v>
      </c>
      <c r="B1017" s="3" t="s">
        <v>2023</v>
      </c>
      <c r="C1017" s="3">
        <v>62</v>
      </c>
      <c r="D1017" s="3" t="s">
        <v>32</v>
      </c>
      <c r="E1017" s="3" t="s">
        <v>70</v>
      </c>
      <c r="F1017" s="3" t="s">
        <v>127</v>
      </c>
      <c r="G1017" s="3" t="s">
        <v>48</v>
      </c>
      <c r="H1017" s="3" t="s">
        <v>49</v>
      </c>
      <c r="I1017" s="3" t="s">
        <v>662</v>
      </c>
      <c r="J1017" s="3">
        <v>5000</v>
      </c>
      <c r="K1017" s="3"/>
      <c r="L1017" s="3" t="s">
        <v>21</v>
      </c>
    </row>
    <row r="1018" spans="1:12" ht="16.2" customHeight="1">
      <c r="A1018" s="2" t="s">
        <v>2024</v>
      </c>
      <c r="B1018" s="2" t="s">
        <v>126</v>
      </c>
      <c r="C1018" s="2">
        <v>52</v>
      </c>
      <c r="D1018" s="2" t="s">
        <v>14</v>
      </c>
      <c r="E1018" s="2" t="s">
        <v>58</v>
      </c>
      <c r="F1018" s="2" t="s">
        <v>25</v>
      </c>
      <c r="G1018" s="2" t="s">
        <v>35</v>
      </c>
      <c r="H1018" s="2" t="s">
        <v>668</v>
      </c>
      <c r="I1018" s="2" t="s">
        <v>786</v>
      </c>
      <c r="J1018" s="2">
        <v>15000</v>
      </c>
      <c r="K1018" s="2" t="s">
        <v>67</v>
      </c>
      <c r="L1018" s="2" t="s">
        <v>55</v>
      </c>
    </row>
    <row r="1019" spans="1:12" ht="16.2" customHeight="1">
      <c r="A1019" s="3" t="s">
        <v>2025</v>
      </c>
      <c r="B1019" s="3" t="s">
        <v>263</v>
      </c>
      <c r="C1019" s="3"/>
      <c r="D1019" s="3" t="s">
        <v>14</v>
      </c>
      <c r="E1019" s="3" t="s">
        <v>109</v>
      </c>
      <c r="F1019" s="3" t="s">
        <v>34</v>
      </c>
      <c r="G1019" s="3" t="s">
        <v>35</v>
      </c>
      <c r="H1019" s="3" t="s">
        <v>1319</v>
      </c>
      <c r="I1019" s="3" t="s">
        <v>423</v>
      </c>
      <c r="J1019" s="3">
        <v>35000</v>
      </c>
      <c r="K1019" s="3" t="s">
        <v>20</v>
      </c>
      <c r="L1019" s="3" t="s">
        <v>87</v>
      </c>
    </row>
    <row r="1020" spans="1:12" ht="16.2" customHeight="1">
      <c r="A1020" s="2" t="s">
        <v>2026</v>
      </c>
      <c r="B1020" s="2" t="s">
        <v>2027</v>
      </c>
      <c r="C1020" s="2">
        <v>10</v>
      </c>
      <c r="D1020" s="2" t="s">
        <v>14</v>
      </c>
      <c r="E1020" s="2" t="s">
        <v>52</v>
      </c>
      <c r="F1020" s="2" t="s">
        <v>127</v>
      </c>
      <c r="G1020" s="2" t="s">
        <v>35</v>
      </c>
      <c r="H1020" s="2" t="s">
        <v>583</v>
      </c>
      <c r="I1020" s="2" t="s">
        <v>824</v>
      </c>
      <c r="J1020" s="2">
        <v>5000</v>
      </c>
      <c r="K1020" s="2" t="s">
        <v>37</v>
      </c>
      <c r="L1020" s="2" t="s">
        <v>38</v>
      </c>
    </row>
    <row r="1021" spans="1:12" ht="16.2" customHeight="1">
      <c r="A1021" s="3" t="s">
        <v>2028</v>
      </c>
      <c r="B1021" s="3" t="s">
        <v>1071</v>
      </c>
      <c r="C1021" s="3">
        <v>73</v>
      </c>
      <c r="D1021" s="3" t="s">
        <v>32</v>
      </c>
      <c r="E1021" s="3" t="s">
        <v>58</v>
      </c>
      <c r="F1021" s="3" t="s">
        <v>25</v>
      </c>
      <c r="G1021" s="3" t="s">
        <v>99</v>
      </c>
      <c r="H1021" s="3" t="s">
        <v>106</v>
      </c>
      <c r="I1021" s="3" t="s">
        <v>100</v>
      </c>
      <c r="J1021" s="3">
        <v>35000</v>
      </c>
      <c r="K1021" s="3" t="s">
        <v>29</v>
      </c>
      <c r="L1021" s="3" t="s">
        <v>55</v>
      </c>
    </row>
    <row r="1022" spans="1:12" ht="16.2" customHeight="1">
      <c r="A1022" s="2" t="s">
        <v>2029</v>
      </c>
      <c r="B1022" s="2" t="s">
        <v>700</v>
      </c>
      <c r="C1022" s="2">
        <v>40</v>
      </c>
      <c r="D1022" s="2" t="s">
        <v>14</v>
      </c>
      <c r="E1022" s="2" t="s">
        <v>33</v>
      </c>
      <c r="F1022" s="2" t="s">
        <v>25</v>
      </c>
      <c r="G1022" s="2" t="s">
        <v>48</v>
      </c>
      <c r="H1022" s="2" t="s">
        <v>2030</v>
      </c>
      <c r="I1022" s="2" t="s">
        <v>313</v>
      </c>
      <c r="J1022" s="2">
        <v>25000</v>
      </c>
      <c r="K1022" s="2" t="s">
        <v>67</v>
      </c>
      <c r="L1022" s="2" t="s">
        <v>55</v>
      </c>
    </row>
    <row r="1023" spans="1:12" ht="16.2" customHeight="1">
      <c r="A1023" s="3" t="s">
        <v>2031</v>
      </c>
      <c r="B1023" s="3" t="s">
        <v>2032</v>
      </c>
      <c r="C1023" s="3">
        <v>12</v>
      </c>
      <c r="D1023" s="3" t="s">
        <v>32</v>
      </c>
      <c r="E1023" s="3" t="s">
        <v>441</v>
      </c>
      <c r="F1023" s="3" t="s">
        <v>188</v>
      </c>
      <c r="G1023" s="3" t="s">
        <v>35</v>
      </c>
      <c r="H1023" s="3" t="s">
        <v>105</v>
      </c>
      <c r="I1023" s="3" t="s">
        <v>1662</v>
      </c>
      <c r="J1023" s="3">
        <v>8000</v>
      </c>
      <c r="K1023" s="3" t="s">
        <v>67</v>
      </c>
      <c r="L1023" s="3" t="s">
        <v>38</v>
      </c>
    </row>
  </sheetData>
  <mergeCells count="2">
    <mergeCell ref="A2:L2"/>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A5B2A-6D76-4EE0-9F13-6D1D5744E11F}">
  <dimension ref="C4:O1013"/>
  <sheetViews>
    <sheetView zoomScaleNormal="100" workbookViewId="0">
      <selection activeCell="C4" sqref="C4:O4"/>
    </sheetView>
  </sheetViews>
  <sheetFormatPr defaultRowHeight="14.4"/>
  <cols>
    <col min="2" max="2" width="7.6640625" bestFit="1" customWidth="1"/>
    <col min="3" max="3" width="13.88671875" bestFit="1" customWidth="1"/>
    <col min="4" max="4" width="17" bestFit="1" customWidth="1"/>
    <col min="5" max="5" width="8.77734375" bestFit="1" customWidth="1"/>
    <col min="6" max="6" width="14.88671875" bestFit="1" customWidth="1"/>
    <col min="7" max="7" width="11.88671875" bestFit="1" customWidth="1"/>
    <col min="8" max="8" width="12.77734375" customWidth="1"/>
    <col min="9" max="9" width="18.33203125" customWidth="1"/>
    <col min="10" max="10" width="16.6640625" customWidth="1"/>
    <col min="11" max="11" width="21.88671875" customWidth="1"/>
    <col min="12" max="12" width="17.88671875" customWidth="1"/>
    <col min="13" max="13" width="21.21875" customWidth="1"/>
    <col min="14" max="14" width="22.33203125" customWidth="1"/>
    <col min="15" max="15" width="20.33203125" customWidth="1"/>
    <col min="16" max="16" width="10.33203125" bestFit="1" customWidth="1"/>
  </cols>
  <sheetData>
    <row r="4" spans="3:15" ht="31.2" customHeight="1">
      <c r="C4" s="45" t="s">
        <v>2034</v>
      </c>
      <c r="D4" s="43"/>
      <c r="E4" s="43"/>
      <c r="F4" s="43"/>
      <c r="G4" s="43"/>
      <c r="H4" s="43"/>
      <c r="I4" s="43"/>
      <c r="J4" s="43"/>
      <c r="K4" s="43"/>
      <c r="L4" s="43"/>
      <c r="M4" s="43"/>
      <c r="N4" s="43"/>
      <c r="O4" s="43"/>
    </row>
    <row r="5" spans="3:15" ht="14.4" customHeight="1">
      <c r="C5" s="44" t="s">
        <v>2052</v>
      </c>
      <c r="D5" s="44"/>
      <c r="E5" s="44"/>
      <c r="F5" s="44"/>
      <c r="G5" s="44"/>
      <c r="H5" s="44"/>
      <c r="I5" s="44"/>
      <c r="J5" s="44"/>
      <c r="K5" s="44"/>
      <c r="L5" s="44"/>
      <c r="M5" s="44"/>
      <c r="N5" s="44"/>
      <c r="O5" s="44"/>
    </row>
    <row r="6" spans="3:15" ht="14.4" customHeight="1">
      <c r="C6" s="44"/>
      <c r="D6" s="44"/>
      <c r="E6" s="44"/>
      <c r="F6" s="44"/>
      <c r="G6" s="44"/>
      <c r="H6" s="44"/>
      <c r="I6" s="44"/>
      <c r="J6" s="44"/>
      <c r="K6" s="44"/>
      <c r="L6" s="44"/>
      <c r="M6" s="44"/>
      <c r="N6" s="44"/>
      <c r="O6" s="44"/>
    </row>
    <row r="7" spans="3:15" ht="14.4" customHeight="1">
      <c r="C7" s="44"/>
      <c r="D7" s="44"/>
      <c r="E7" s="44"/>
      <c r="F7" s="44"/>
      <c r="G7" s="44"/>
      <c r="H7" s="44"/>
      <c r="I7" s="44"/>
      <c r="J7" s="44"/>
      <c r="K7" s="44"/>
      <c r="L7" s="44"/>
      <c r="M7" s="44"/>
      <c r="N7" s="44"/>
      <c r="O7" s="44"/>
    </row>
    <row r="8" spans="3:15">
      <c r="C8" s="1" t="s">
        <v>0</v>
      </c>
      <c r="D8" s="5" t="s">
        <v>1</v>
      </c>
      <c r="E8" s="1" t="s">
        <v>2</v>
      </c>
      <c r="F8" s="5" t="s">
        <v>2072</v>
      </c>
      <c r="G8" s="1" t="s">
        <v>3</v>
      </c>
      <c r="H8" s="1" t="s">
        <v>4</v>
      </c>
      <c r="I8" s="5" t="s">
        <v>5</v>
      </c>
      <c r="J8" s="5" t="s">
        <v>6</v>
      </c>
      <c r="K8" s="10" t="s">
        <v>2078</v>
      </c>
      <c r="L8" s="10" t="s">
        <v>2092</v>
      </c>
      <c r="M8" s="5" t="s">
        <v>9</v>
      </c>
      <c r="N8" s="5" t="s">
        <v>10</v>
      </c>
      <c r="O8" s="1" t="s">
        <v>11</v>
      </c>
    </row>
    <row r="9" spans="3:15" ht="14.4" customHeight="1">
      <c r="C9" s="2" t="s">
        <v>12</v>
      </c>
      <c r="D9" s="2" t="s">
        <v>13</v>
      </c>
      <c r="E9" s="2">
        <v>26</v>
      </c>
      <c r="F9" t="str">
        <f>IF(E9="Unknown","Unknown",IF(E9&lt;18,"Child",IF(E9&lt;40,"Young Adult",IF(E9&lt;60,"Middle Age","Senior"))))</f>
        <v>Young Adult</v>
      </c>
      <c r="G9" s="2" t="s">
        <v>14</v>
      </c>
      <c r="H9" s="2" t="s">
        <v>15</v>
      </c>
      <c r="I9" s="2" t="s">
        <v>16</v>
      </c>
      <c r="J9" s="2" t="s">
        <v>17</v>
      </c>
      <c r="K9" s="11">
        <v>45336</v>
      </c>
      <c r="L9" s="11">
        <v>45345</v>
      </c>
      <c r="M9" s="2">
        <v>35000</v>
      </c>
      <c r="N9" s="2" t="s">
        <v>20</v>
      </c>
      <c r="O9" s="2" t="s">
        <v>21</v>
      </c>
    </row>
    <row r="10" spans="3:15">
      <c r="C10" s="3" t="s">
        <v>22</v>
      </c>
      <c r="D10" s="2" t="s">
        <v>23</v>
      </c>
      <c r="E10" s="3">
        <v>79</v>
      </c>
      <c r="F10" t="str">
        <f t="shared" ref="F10:F73" si="0">IF(E10="Unknown","Unknown",IF(E10&lt;18,"Child",IF(E10&lt;40,"Young Adult",IF(E10&lt;60,"Middle Age","Senior"))))</f>
        <v>Senior</v>
      </c>
      <c r="G10" s="3" t="s">
        <v>14</v>
      </c>
      <c r="H10" s="2" t="s">
        <v>70</v>
      </c>
      <c r="I10" s="2" t="s">
        <v>25</v>
      </c>
      <c r="J10" s="2" t="s">
        <v>26</v>
      </c>
      <c r="K10" s="11">
        <v>45490</v>
      </c>
      <c r="L10" s="11">
        <v>45518</v>
      </c>
      <c r="M10" s="3">
        <v>15000</v>
      </c>
      <c r="N10" s="3" t="s">
        <v>29</v>
      </c>
      <c r="O10" s="3" t="s">
        <v>21</v>
      </c>
    </row>
    <row r="11" spans="3:15">
      <c r="C11" s="2" t="s">
        <v>30</v>
      </c>
      <c r="D11" s="2" t="s">
        <v>31</v>
      </c>
      <c r="E11" s="2">
        <v>73</v>
      </c>
      <c r="F11" t="str">
        <f t="shared" si="0"/>
        <v>Senior</v>
      </c>
      <c r="G11" s="2" t="s">
        <v>32</v>
      </c>
      <c r="H11" s="2" t="s">
        <v>33</v>
      </c>
      <c r="I11" s="2" t="s">
        <v>34</v>
      </c>
      <c r="J11" s="2" t="s">
        <v>35</v>
      </c>
      <c r="K11" s="11">
        <v>45336</v>
      </c>
      <c r="L11" s="11">
        <v>45352</v>
      </c>
      <c r="M11" s="2">
        <v>25000</v>
      </c>
      <c r="N11" s="2" t="s">
        <v>37</v>
      </c>
      <c r="O11" s="2" t="s">
        <v>38</v>
      </c>
    </row>
    <row r="12" spans="3:15">
      <c r="C12" s="3" t="s">
        <v>39</v>
      </c>
      <c r="D12" s="2" t="s">
        <v>40</v>
      </c>
      <c r="E12" s="3">
        <v>1</v>
      </c>
      <c r="F12" t="str">
        <f t="shared" si="0"/>
        <v>Child</v>
      </c>
      <c r="G12" s="6" t="s">
        <v>32</v>
      </c>
      <c r="H12" s="2" t="s">
        <v>15</v>
      </c>
      <c r="I12" s="2" t="s">
        <v>42</v>
      </c>
      <c r="J12" s="2" t="s">
        <v>35</v>
      </c>
      <c r="K12" s="11">
        <v>45598</v>
      </c>
      <c r="L12" s="11">
        <v>45348</v>
      </c>
      <c r="M12" s="3">
        <v>75000</v>
      </c>
      <c r="N12" s="3" t="s">
        <v>29</v>
      </c>
      <c r="O12" s="3" t="s">
        <v>21</v>
      </c>
    </row>
    <row r="13" spans="3:15">
      <c r="C13" s="2" t="s">
        <v>45</v>
      </c>
      <c r="D13" s="2" t="s">
        <v>46</v>
      </c>
      <c r="E13" s="2">
        <v>17</v>
      </c>
      <c r="F13" t="str">
        <f t="shared" si="0"/>
        <v>Child</v>
      </c>
      <c r="G13" s="2" t="s">
        <v>14</v>
      </c>
      <c r="H13" s="2" t="s">
        <v>52</v>
      </c>
      <c r="I13" s="2" t="s">
        <v>16</v>
      </c>
      <c r="J13" s="2" t="s">
        <v>48</v>
      </c>
      <c r="K13" s="11">
        <v>45518</v>
      </c>
      <c r="L13" s="11">
        <v>45538</v>
      </c>
      <c r="M13" s="2">
        <v>12000</v>
      </c>
      <c r="N13" s="2" t="s">
        <v>29</v>
      </c>
      <c r="O13" s="2" t="s">
        <v>38</v>
      </c>
    </row>
    <row r="14" spans="3:15">
      <c r="C14" s="3" t="s">
        <v>50</v>
      </c>
      <c r="D14" s="2" t="s">
        <v>51</v>
      </c>
      <c r="E14" s="3">
        <v>22</v>
      </c>
      <c r="F14" t="str">
        <f t="shared" si="0"/>
        <v>Young Adult</v>
      </c>
      <c r="G14" s="3" t="s">
        <v>32</v>
      </c>
      <c r="H14" s="2" t="s">
        <v>52</v>
      </c>
      <c r="I14" s="2" t="s">
        <v>25</v>
      </c>
      <c r="J14" s="2" t="s">
        <v>53</v>
      </c>
      <c r="K14" s="11">
        <v>45598</v>
      </c>
      <c r="L14" s="11">
        <v>45363</v>
      </c>
      <c r="M14" s="3">
        <v>0</v>
      </c>
      <c r="N14" s="3" t="s">
        <v>20</v>
      </c>
      <c r="O14" s="3" t="s">
        <v>55</v>
      </c>
    </row>
    <row r="15" spans="3:15">
      <c r="C15" s="2" t="s">
        <v>56</v>
      </c>
      <c r="D15" s="2" t="s">
        <v>57</v>
      </c>
      <c r="E15" s="2">
        <v>1</v>
      </c>
      <c r="F15" t="str">
        <f t="shared" si="0"/>
        <v>Child</v>
      </c>
      <c r="G15" s="2" t="s">
        <v>32</v>
      </c>
      <c r="H15" s="2" t="s">
        <v>58</v>
      </c>
      <c r="I15" s="2" t="s">
        <v>16</v>
      </c>
      <c r="J15" s="2" t="s">
        <v>35</v>
      </c>
      <c r="K15" s="11">
        <v>45499</v>
      </c>
      <c r="L15" s="11">
        <v>45506</v>
      </c>
      <c r="M15" s="2">
        <v>5000</v>
      </c>
      <c r="N15" s="2" t="s">
        <v>29</v>
      </c>
      <c r="O15" s="2" t="s">
        <v>21</v>
      </c>
    </row>
    <row r="16" spans="3:15">
      <c r="C16" s="3" t="s">
        <v>61</v>
      </c>
      <c r="D16" s="2" t="s">
        <v>40</v>
      </c>
      <c r="E16" s="3">
        <v>52</v>
      </c>
      <c r="F16" t="str">
        <f t="shared" si="0"/>
        <v>Middle Age</v>
      </c>
      <c r="G16" s="3" t="s">
        <v>14</v>
      </c>
      <c r="H16" s="2" t="s">
        <v>58</v>
      </c>
      <c r="I16" s="2" t="s">
        <v>34</v>
      </c>
      <c r="J16" s="2" t="s">
        <v>53</v>
      </c>
      <c r="K16" s="11">
        <v>45320</v>
      </c>
      <c r="L16" s="11">
        <v>45325</v>
      </c>
      <c r="M16" s="3">
        <v>0</v>
      </c>
      <c r="N16" s="3" t="s">
        <v>29</v>
      </c>
      <c r="O16" s="3" t="s">
        <v>21</v>
      </c>
    </row>
    <row r="17" spans="3:15">
      <c r="C17" s="2" t="s">
        <v>64</v>
      </c>
      <c r="D17" s="2" t="s">
        <v>65</v>
      </c>
      <c r="E17" s="2" t="s">
        <v>775</v>
      </c>
      <c r="F17" t="str">
        <f t="shared" si="0"/>
        <v>Unknown</v>
      </c>
      <c r="G17" s="2" t="s">
        <v>14</v>
      </c>
      <c r="H17" s="2" t="s">
        <v>58</v>
      </c>
      <c r="I17" s="2" t="s">
        <v>16</v>
      </c>
      <c r="J17" s="2" t="s">
        <v>17</v>
      </c>
      <c r="K17" s="11">
        <v>45501</v>
      </c>
      <c r="L17" s="11">
        <v>45506</v>
      </c>
      <c r="M17" s="2">
        <v>0</v>
      </c>
      <c r="N17" s="2" t="s">
        <v>67</v>
      </c>
      <c r="O17" s="2" t="s">
        <v>21</v>
      </c>
    </row>
    <row r="18" spans="3:15">
      <c r="C18" s="3" t="s">
        <v>68</v>
      </c>
      <c r="D18" s="2" t="s">
        <v>69</v>
      </c>
      <c r="E18" s="3">
        <v>33</v>
      </c>
      <c r="F18" t="str">
        <f t="shared" si="0"/>
        <v>Young Adult</v>
      </c>
      <c r="G18" s="3" t="s">
        <v>14</v>
      </c>
      <c r="H18" s="2" t="s">
        <v>70</v>
      </c>
      <c r="I18" s="2" t="s">
        <v>25</v>
      </c>
      <c r="J18" s="2" t="s">
        <v>26</v>
      </c>
      <c r="K18" s="11">
        <v>45387</v>
      </c>
      <c r="L18" s="11">
        <v>45409</v>
      </c>
      <c r="M18" s="3">
        <v>8000</v>
      </c>
      <c r="N18" s="3" t="s">
        <v>67</v>
      </c>
      <c r="O18" s="3" t="s">
        <v>38</v>
      </c>
    </row>
    <row r="19" spans="3:15">
      <c r="C19" s="2" t="s">
        <v>73</v>
      </c>
      <c r="D19" s="2" t="s">
        <v>74</v>
      </c>
      <c r="E19" s="2">
        <v>44</v>
      </c>
      <c r="F19" t="str">
        <f t="shared" si="0"/>
        <v>Middle Age</v>
      </c>
      <c r="G19" s="2" t="s">
        <v>14</v>
      </c>
      <c r="H19" s="2" t="s">
        <v>85</v>
      </c>
      <c r="I19" s="2" t="s">
        <v>76</v>
      </c>
      <c r="J19" s="2" t="s">
        <v>26</v>
      </c>
      <c r="K19" s="11">
        <v>45496</v>
      </c>
      <c r="L19" s="11">
        <v>45509</v>
      </c>
      <c r="M19" s="2">
        <v>35000</v>
      </c>
      <c r="N19" s="2" t="s">
        <v>67</v>
      </c>
      <c r="O19" s="2" t="s">
        <v>38</v>
      </c>
    </row>
    <row r="20" spans="3:15">
      <c r="C20" s="3" t="s">
        <v>79</v>
      </c>
      <c r="D20" s="2" t="s">
        <v>80</v>
      </c>
      <c r="E20" s="3">
        <v>48</v>
      </c>
      <c r="F20" t="str">
        <f t="shared" si="0"/>
        <v>Middle Age</v>
      </c>
      <c r="G20" s="3" t="s">
        <v>32</v>
      </c>
      <c r="H20" s="2" t="s">
        <v>70</v>
      </c>
      <c r="I20" s="2" t="s">
        <v>76</v>
      </c>
      <c r="J20" s="2" t="s">
        <v>17</v>
      </c>
      <c r="K20" s="11">
        <v>45451</v>
      </c>
      <c r="L20" s="11">
        <v>45479</v>
      </c>
      <c r="M20" s="3">
        <v>15000</v>
      </c>
      <c r="N20" s="3" t="s">
        <v>67</v>
      </c>
      <c r="O20" s="3" t="s">
        <v>775</v>
      </c>
    </row>
    <row r="21" spans="3:15">
      <c r="C21" s="2" t="s">
        <v>83</v>
      </c>
      <c r="D21" s="2" t="s">
        <v>84</v>
      </c>
      <c r="E21" s="2">
        <v>28</v>
      </c>
      <c r="F21" t="str">
        <f t="shared" si="0"/>
        <v>Young Adult</v>
      </c>
      <c r="G21" s="2" t="s">
        <v>14</v>
      </c>
      <c r="H21" s="2" t="s">
        <v>85</v>
      </c>
      <c r="I21" s="2" t="s">
        <v>42</v>
      </c>
      <c r="J21" s="2" t="s">
        <v>53</v>
      </c>
      <c r="K21" s="11">
        <v>45598</v>
      </c>
      <c r="L21" s="11">
        <v>45362</v>
      </c>
      <c r="M21" s="2">
        <v>50000</v>
      </c>
      <c r="N21" s="2" t="s">
        <v>37</v>
      </c>
      <c r="O21" s="2" t="s">
        <v>87</v>
      </c>
    </row>
    <row r="22" spans="3:15">
      <c r="C22" s="3" t="s">
        <v>88</v>
      </c>
      <c r="D22" s="2" t="s">
        <v>89</v>
      </c>
      <c r="E22" s="3">
        <v>38</v>
      </c>
      <c r="F22" t="str">
        <f t="shared" si="0"/>
        <v>Young Adult</v>
      </c>
      <c r="G22" s="3" t="s">
        <v>32</v>
      </c>
      <c r="H22" s="2" t="s">
        <v>70</v>
      </c>
      <c r="I22" s="2" t="s">
        <v>76</v>
      </c>
      <c r="J22" s="2" t="s">
        <v>35</v>
      </c>
      <c r="K22" s="11">
        <v>45446</v>
      </c>
      <c r="L22" s="11">
        <v>45387</v>
      </c>
      <c r="M22" s="3">
        <v>20000</v>
      </c>
      <c r="N22" s="3" t="s">
        <v>37</v>
      </c>
      <c r="O22" s="3" t="s">
        <v>87</v>
      </c>
    </row>
    <row r="23" spans="3:15">
      <c r="C23" s="2" t="s">
        <v>92</v>
      </c>
      <c r="D23" s="2" t="s">
        <v>93</v>
      </c>
      <c r="E23" s="2">
        <v>21</v>
      </c>
      <c r="F23" t="str">
        <f t="shared" si="0"/>
        <v>Young Adult</v>
      </c>
      <c r="G23" s="2" t="s">
        <v>32</v>
      </c>
      <c r="H23" s="2" t="s">
        <v>85</v>
      </c>
      <c r="I23" s="2" t="s">
        <v>34</v>
      </c>
      <c r="J23" s="2" t="s">
        <v>48</v>
      </c>
      <c r="K23" s="11">
        <v>45517</v>
      </c>
      <c r="L23" s="11">
        <v>45524</v>
      </c>
      <c r="M23" s="2">
        <v>35000</v>
      </c>
      <c r="N23" s="2" t="s">
        <v>67</v>
      </c>
      <c r="O23" s="2" t="s">
        <v>55</v>
      </c>
    </row>
    <row r="24" spans="3:15">
      <c r="C24" s="3" t="s">
        <v>97</v>
      </c>
      <c r="D24" s="2" t="s">
        <v>98</v>
      </c>
      <c r="E24" s="3">
        <v>86</v>
      </c>
      <c r="F24" t="str">
        <f t="shared" si="0"/>
        <v>Senior</v>
      </c>
      <c r="G24" s="3" t="s">
        <v>32</v>
      </c>
      <c r="H24" s="2" t="s">
        <v>52</v>
      </c>
      <c r="I24" s="2" t="s">
        <v>42</v>
      </c>
      <c r="J24" s="2" t="s">
        <v>99</v>
      </c>
      <c r="K24" s="11">
        <v>45508</v>
      </c>
      <c r="L24" s="11">
        <v>45419</v>
      </c>
      <c r="M24" s="3">
        <v>12000</v>
      </c>
      <c r="N24" s="3" t="s">
        <v>67</v>
      </c>
      <c r="O24" s="3" t="s">
        <v>21</v>
      </c>
    </row>
    <row r="25" spans="3:15">
      <c r="C25" s="2" t="s">
        <v>102</v>
      </c>
      <c r="D25" s="2" t="s">
        <v>103</v>
      </c>
      <c r="E25" s="2">
        <v>53</v>
      </c>
      <c r="F25" t="str">
        <f t="shared" si="0"/>
        <v>Middle Age</v>
      </c>
      <c r="G25" s="2" t="s">
        <v>32</v>
      </c>
      <c r="H25" s="2" t="s">
        <v>52</v>
      </c>
      <c r="I25" s="2" t="s">
        <v>76</v>
      </c>
      <c r="J25" s="2" t="s">
        <v>104</v>
      </c>
      <c r="K25" s="11">
        <v>45349</v>
      </c>
      <c r="L25" s="11">
        <v>45366</v>
      </c>
      <c r="M25" s="2">
        <v>75000</v>
      </c>
      <c r="N25" s="2" t="s">
        <v>29</v>
      </c>
      <c r="O25" s="2" t="s">
        <v>38</v>
      </c>
    </row>
    <row r="26" spans="3:15">
      <c r="C26" s="3" t="s">
        <v>107</v>
      </c>
      <c r="D26" s="2" t="s">
        <v>108</v>
      </c>
      <c r="E26" s="3">
        <v>87</v>
      </c>
      <c r="F26" t="str">
        <f t="shared" si="0"/>
        <v>Senior</v>
      </c>
      <c r="G26" s="3" t="s">
        <v>14</v>
      </c>
      <c r="H26" s="2" t="s">
        <v>109</v>
      </c>
      <c r="I26" s="2" t="s">
        <v>25</v>
      </c>
      <c r="J26" s="2" t="s">
        <v>99</v>
      </c>
      <c r="K26" s="11">
        <v>45519</v>
      </c>
      <c r="L26" s="11">
        <v>45549</v>
      </c>
      <c r="M26" s="3">
        <v>15000</v>
      </c>
      <c r="N26" s="3" t="s">
        <v>67</v>
      </c>
      <c r="O26" s="3" t="s">
        <v>21</v>
      </c>
    </row>
    <row r="27" spans="3:15">
      <c r="C27" s="2" t="s">
        <v>112</v>
      </c>
      <c r="D27" s="2" t="s">
        <v>1366</v>
      </c>
      <c r="E27" s="2">
        <v>68</v>
      </c>
      <c r="F27" t="str">
        <f t="shared" si="0"/>
        <v>Senior</v>
      </c>
      <c r="G27" s="2" t="s">
        <v>32</v>
      </c>
      <c r="H27" s="2" t="s">
        <v>15</v>
      </c>
      <c r="I27" s="2" t="s">
        <v>34</v>
      </c>
      <c r="J27" s="2" t="s">
        <v>104</v>
      </c>
      <c r="K27" s="11">
        <v>45345</v>
      </c>
      <c r="L27" s="11">
        <v>45371</v>
      </c>
      <c r="M27" s="2">
        <v>20000</v>
      </c>
      <c r="N27" s="2" t="s">
        <v>20</v>
      </c>
      <c r="O27" s="2" t="s">
        <v>38</v>
      </c>
    </row>
    <row r="28" spans="3:15">
      <c r="C28" s="3" t="s">
        <v>115</v>
      </c>
      <c r="D28" s="2" t="s">
        <v>116</v>
      </c>
      <c r="E28" s="3">
        <v>39</v>
      </c>
      <c r="F28" t="str">
        <f t="shared" si="0"/>
        <v>Young Adult</v>
      </c>
      <c r="G28" s="3" t="s">
        <v>32</v>
      </c>
      <c r="H28" s="2" t="s">
        <v>109</v>
      </c>
      <c r="I28" s="2" t="s">
        <v>34</v>
      </c>
      <c r="J28" s="2" t="s">
        <v>48</v>
      </c>
      <c r="K28" s="11">
        <v>45586</v>
      </c>
      <c r="L28" s="11">
        <v>45596</v>
      </c>
      <c r="M28" s="3">
        <v>0</v>
      </c>
      <c r="N28" s="3" t="s">
        <v>20</v>
      </c>
      <c r="O28" s="3" t="s">
        <v>21</v>
      </c>
    </row>
    <row r="29" spans="3:15">
      <c r="C29" s="2" t="s">
        <v>120</v>
      </c>
      <c r="D29" s="2" t="s">
        <v>121</v>
      </c>
      <c r="E29" s="2">
        <v>34</v>
      </c>
      <c r="F29" t="str">
        <f t="shared" si="0"/>
        <v>Young Adult</v>
      </c>
      <c r="G29" s="2" t="s">
        <v>32</v>
      </c>
      <c r="H29" s="2" t="s">
        <v>58</v>
      </c>
      <c r="I29" s="2" t="s">
        <v>16</v>
      </c>
      <c r="J29" s="2" t="s">
        <v>17</v>
      </c>
      <c r="K29" s="11">
        <v>45520</v>
      </c>
      <c r="L29" s="11">
        <v>45548</v>
      </c>
      <c r="M29" s="2">
        <v>35000</v>
      </c>
      <c r="N29" s="2" t="s">
        <v>37</v>
      </c>
      <c r="O29" s="2" t="s">
        <v>55</v>
      </c>
    </row>
    <row r="30" spans="3:15">
      <c r="C30" s="3" t="s">
        <v>125</v>
      </c>
      <c r="D30" s="2" t="s">
        <v>126</v>
      </c>
      <c r="E30" s="3">
        <v>27</v>
      </c>
      <c r="F30" t="str">
        <f t="shared" si="0"/>
        <v>Young Adult</v>
      </c>
      <c r="G30" s="3" t="s">
        <v>32</v>
      </c>
      <c r="H30" s="2" t="s">
        <v>85</v>
      </c>
      <c r="I30" s="2" t="s">
        <v>127</v>
      </c>
      <c r="J30" s="2" t="s">
        <v>99</v>
      </c>
      <c r="K30" s="11">
        <v>45487</v>
      </c>
      <c r="L30" s="11">
        <v>45493</v>
      </c>
      <c r="M30" s="3">
        <v>50000</v>
      </c>
      <c r="N30" s="3" t="s">
        <v>37</v>
      </c>
      <c r="O30" s="3" t="s">
        <v>55</v>
      </c>
    </row>
    <row r="31" spans="3:15">
      <c r="C31" s="2" t="s">
        <v>130</v>
      </c>
      <c r="D31" s="2" t="s">
        <v>131</v>
      </c>
      <c r="E31" s="2">
        <v>31</v>
      </c>
      <c r="F31" t="str">
        <f t="shared" si="0"/>
        <v>Young Adult</v>
      </c>
      <c r="G31" s="2" t="s">
        <v>41</v>
      </c>
      <c r="H31" s="2" t="s">
        <v>109</v>
      </c>
      <c r="I31" s="2" t="s">
        <v>132</v>
      </c>
      <c r="J31" s="2" t="s">
        <v>104</v>
      </c>
      <c r="K31" s="11">
        <v>45460</v>
      </c>
      <c r="L31" s="11">
        <v>45486</v>
      </c>
      <c r="M31" s="2">
        <v>50000</v>
      </c>
      <c r="N31" s="2" t="s">
        <v>20</v>
      </c>
      <c r="O31" s="2" t="s">
        <v>87</v>
      </c>
    </row>
    <row r="32" spans="3:15">
      <c r="C32" s="3" t="s">
        <v>135</v>
      </c>
      <c r="D32" s="2" t="s">
        <v>217</v>
      </c>
      <c r="E32" s="3">
        <v>73</v>
      </c>
      <c r="F32" t="str">
        <f t="shared" si="0"/>
        <v>Senior</v>
      </c>
      <c r="G32" s="3" t="s">
        <v>32</v>
      </c>
      <c r="H32" s="2" t="s">
        <v>52</v>
      </c>
      <c r="I32" s="2" t="s">
        <v>132</v>
      </c>
      <c r="J32" s="2" t="s">
        <v>35</v>
      </c>
      <c r="K32" s="11">
        <v>45632</v>
      </c>
      <c r="L32" s="11">
        <v>45469</v>
      </c>
      <c r="M32" s="3">
        <v>20000</v>
      </c>
      <c r="N32" s="3" t="s">
        <v>29</v>
      </c>
      <c r="O32" s="3" t="s">
        <v>55</v>
      </c>
    </row>
    <row r="33" spans="3:15">
      <c r="C33" s="2" t="s">
        <v>139</v>
      </c>
      <c r="D33" s="2" t="s">
        <v>74</v>
      </c>
      <c r="E33" s="2">
        <v>51</v>
      </c>
      <c r="F33" t="str">
        <f t="shared" si="0"/>
        <v>Middle Age</v>
      </c>
      <c r="G33" s="2" t="s">
        <v>14</v>
      </c>
      <c r="H33" s="2" t="s">
        <v>33</v>
      </c>
      <c r="I33" s="2" t="s">
        <v>42</v>
      </c>
      <c r="J33" s="2" t="s">
        <v>35</v>
      </c>
      <c r="K33" s="11">
        <v>45409</v>
      </c>
      <c r="L33" s="11">
        <v>45427</v>
      </c>
      <c r="M33" s="2">
        <v>20000</v>
      </c>
      <c r="N33" s="2" t="s">
        <v>29</v>
      </c>
      <c r="O33" s="2" t="s">
        <v>21</v>
      </c>
    </row>
    <row r="34" spans="3:15">
      <c r="C34" s="3" t="s">
        <v>143</v>
      </c>
      <c r="D34" s="2" t="s">
        <v>116</v>
      </c>
      <c r="E34" s="3">
        <v>30</v>
      </c>
      <c r="F34" t="str">
        <f t="shared" si="0"/>
        <v>Young Adult</v>
      </c>
      <c r="G34" s="3" t="s">
        <v>14</v>
      </c>
      <c r="H34" s="2" t="s">
        <v>33</v>
      </c>
      <c r="I34" s="2" t="s">
        <v>76</v>
      </c>
      <c r="J34" s="2" t="s">
        <v>17</v>
      </c>
      <c r="K34" s="11">
        <v>45431</v>
      </c>
      <c r="L34" s="11">
        <v>45440</v>
      </c>
      <c r="M34" s="3">
        <v>25000</v>
      </c>
      <c r="N34" s="3" t="s">
        <v>20</v>
      </c>
      <c r="O34" s="3" t="s">
        <v>55</v>
      </c>
    </row>
    <row r="35" spans="3:15">
      <c r="C35" s="2" t="s">
        <v>146</v>
      </c>
      <c r="D35" s="2" t="s">
        <v>147</v>
      </c>
      <c r="E35" s="2">
        <v>23</v>
      </c>
      <c r="F35" t="str">
        <f t="shared" si="0"/>
        <v>Young Adult</v>
      </c>
      <c r="G35" s="2" t="s">
        <v>32</v>
      </c>
      <c r="H35" s="2" t="s">
        <v>52</v>
      </c>
      <c r="I35" s="2" t="s">
        <v>25</v>
      </c>
      <c r="J35" s="2" t="s">
        <v>35</v>
      </c>
      <c r="K35" s="11">
        <v>45333</v>
      </c>
      <c r="L35" s="11">
        <v>45357</v>
      </c>
      <c r="M35" s="2">
        <v>8000</v>
      </c>
      <c r="N35" s="2" t="s">
        <v>29</v>
      </c>
      <c r="O35" s="2" t="s">
        <v>55</v>
      </c>
    </row>
    <row r="36" spans="3:15">
      <c r="C36" s="3" t="s">
        <v>149</v>
      </c>
      <c r="D36" s="2" t="s">
        <v>150</v>
      </c>
      <c r="E36" s="3">
        <v>12</v>
      </c>
      <c r="F36" t="str">
        <f t="shared" si="0"/>
        <v>Child</v>
      </c>
      <c r="G36" s="3" t="s">
        <v>775</v>
      </c>
      <c r="H36" s="2" t="s">
        <v>70</v>
      </c>
      <c r="I36" s="2" t="s">
        <v>127</v>
      </c>
      <c r="J36" s="2" t="s">
        <v>48</v>
      </c>
      <c r="K36" s="11">
        <v>45486</v>
      </c>
      <c r="L36" s="11">
        <v>45492</v>
      </c>
      <c r="M36" s="3">
        <v>25000</v>
      </c>
      <c r="N36" s="3" t="s">
        <v>29</v>
      </c>
      <c r="O36" s="3" t="s">
        <v>55</v>
      </c>
    </row>
    <row r="37" spans="3:15">
      <c r="C37" s="2" t="s">
        <v>152</v>
      </c>
      <c r="D37" s="2" t="s">
        <v>153</v>
      </c>
      <c r="E37" s="2">
        <v>44</v>
      </c>
      <c r="F37" t="str">
        <f t="shared" si="0"/>
        <v>Middle Age</v>
      </c>
      <c r="G37" s="2" t="s">
        <v>41</v>
      </c>
      <c r="H37" s="2" t="s">
        <v>15</v>
      </c>
      <c r="I37" s="2" t="s">
        <v>42</v>
      </c>
      <c r="J37" s="2" t="s">
        <v>17</v>
      </c>
      <c r="K37" s="11">
        <v>45348</v>
      </c>
      <c r="L37" s="11">
        <v>45353</v>
      </c>
      <c r="M37" s="2">
        <v>50000</v>
      </c>
      <c r="N37" s="2" t="s">
        <v>20</v>
      </c>
      <c r="O37" s="2" t="s">
        <v>55</v>
      </c>
    </row>
    <row r="38" spans="3:15">
      <c r="C38" s="3" t="s">
        <v>155</v>
      </c>
      <c r="D38" s="2" t="s">
        <v>156</v>
      </c>
      <c r="E38" s="3">
        <v>31</v>
      </c>
      <c r="F38" t="str">
        <f t="shared" si="0"/>
        <v>Young Adult</v>
      </c>
      <c r="G38" s="3" t="s">
        <v>32</v>
      </c>
      <c r="H38" s="2" t="s">
        <v>52</v>
      </c>
      <c r="I38" s="2" t="s">
        <v>25</v>
      </c>
      <c r="J38" s="2" t="s">
        <v>35</v>
      </c>
      <c r="K38" s="11">
        <v>45598</v>
      </c>
      <c r="L38" s="11">
        <v>45362</v>
      </c>
      <c r="M38" s="3">
        <v>12000</v>
      </c>
      <c r="N38" s="3" t="s">
        <v>29</v>
      </c>
      <c r="O38" s="3" t="s">
        <v>21</v>
      </c>
    </row>
    <row r="39" spans="3:15">
      <c r="C39" s="2" t="s">
        <v>157</v>
      </c>
      <c r="D39" s="2" t="s">
        <v>126</v>
      </c>
      <c r="E39" s="2">
        <v>41</v>
      </c>
      <c r="F39" t="str">
        <f t="shared" si="0"/>
        <v>Middle Age</v>
      </c>
      <c r="G39" s="2" t="s">
        <v>14</v>
      </c>
      <c r="H39" s="2" t="s">
        <v>109</v>
      </c>
      <c r="I39" s="2" t="s">
        <v>76</v>
      </c>
      <c r="J39" s="2" t="s">
        <v>104</v>
      </c>
      <c r="K39" s="11">
        <v>45328</v>
      </c>
      <c r="L39" s="11">
        <v>45451</v>
      </c>
      <c r="M39" s="2">
        <v>12000</v>
      </c>
      <c r="N39" s="2" t="s">
        <v>20</v>
      </c>
      <c r="O39" s="2" t="s">
        <v>87</v>
      </c>
    </row>
    <row r="40" spans="3:15">
      <c r="C40" s="3" t="s">
        <v>161</v>
      </c>
      <c r="D40" s="2" t="s">
        <v>162</v>
      </c>
      <c r="E40" s="3">
        <v>38</v>
      </c>
      <c r="F40" t="str">
        <f t="shared" si="0"/>
        <v>Young Adult</v>
      </c>
      <c r="G40" s="3" t="s">
        <v>32</v>
      </c>
      <c r="H40" s="2" t="s">
        <v>33</v>
      </c>
      <c r="I40" s="2" t="s">
        <v>76</v>
      </c>
      <c r="J40" s="2" t="s">
        <v>53</v>
      </c>
      <c r="K40" s="11">
        <v>45475</v>
      </c>
      <c r="L40" s="11">
        <v>45331</v>
      </c>
      <c r="M40" s="3">
        <v>25000</v>
      </c>
      <c r="N40" s="3" t="s">
        <v>29</v>
      </c>
      <c r="O40" s="3" t="s">
        <v>87</v>
      </c>
    </row>
    <row r="41" spans="3:15">
      <c r="C41" s="2" t="s">
        <v>165</v>
      </c>
      <c r="D41" s="2" t="s">
        <v>84</v>
      </c>
      <c r="E41" s="2">
        <v>85</v>
      </c>
      <c r="F41" t="str">
        <f t="shared" si="0"/>
        <v>Senior</v>
      </c>
      <c r="G41" s="2" t="s">
        <v>32</v>
      </c>
      <c r="H41" s="2" t="s">
        <v>70</v>
      </c>
      <c r="I41" s="2" t="s">
        <v>25</v>
      </c>
      <c r="J41" s="2" t="s">
        <v>104</v>
      </c>
      <c r="K41" s="11">
        <v>45603</v>
      </c>
      <c r="L41" s="11">
        <v>45511</v>
      </c>
      <c r="M41" s="2">
        <v>20000</v>
      </c>
      <c r="N41" s="2" t="s">
        <v>168</v>
      </c>
      <c r="O41" s="2" t="s">
        <v>55</v>
      </c>
    </row>
    <row r="42" spans="3:15">
      <c r="C42" s="3" t="s">
        <v>169</v>
      </c>
      <c r="D42" s="2" t="s">
        <v>170</v>
      </c>
      <c r="E42" s="3">
        <v>37</v>
      </c>
      <c r="F42" t="str">
        <f t="shared" si="0"/>
        <v>Young Adult</v>
      </c>
      <c r="G42" s="3" t="s">
        <v>32</v>
      </c>
      <c r="H42" s="2" t="s">
        <v>85</v>
      </c>
      <c r="I42" s="2" t="s">
        <v>127</v>
      </c>
      <c r="J42" s="2" t="s">
        <v>48</v>
      </c>
      <c r="K42" s="11">
        <v>45408</v>
      </c>
      <c r="L42" s="11">
        <v>45414</v>
      </c>
      <c r="M42" s="3">
        <v>75000</v>
      </c>
      <c r="N42" s="3" t="s">
        <v>37</v>
      </c>
      <c r="O42" s="3" t="s">
        <v>38</v>
      </c>
    </row>
    <row r="43" spans="3:15">
      <c r="C43" s="2" t="s">
        <v>173</v>
      </c>
      <c r="D43" s="2" t="s">
        <v>174</v>
      </c>
      <c r="E43" s="2">
        <v>83</v>
      </c>
      <c r="F43" t="str">
        <f t="shared" si="0"/>
        <v>Senior</v>
      </c>
      <c r="G43" s="2" t="s">
        <v>32</v>
      </c>
      <c r="H43" s="2" t="s">
        <v>15</v>
      </c>
      <c r="I43" s="2" t="s">
        <v>25</v>
      </c>
      <c r="J43" s="2" t="s">
        <v>35</v>
      </c>
      <c r="K43" s="11">
        <v>45340</v>
      </c>
      <c r="L43" s="11">
        <v>45354</v>
      </c>
      <c r="M43" s="2">
        <v>5000</v>
      </c>
      <c r="N43" s="2" t="s">
        <v>20</v>
      </c>
      <c r="O43" s="2" t="s">
        <v>55</v>
      </c>
    </row>
    <row r="44" spans="3:15">
      <c r="C44" s="3" t="s">
        <v>177</v>
      </c>
      <c r="D44" s="2" t="s">
        <v>178</v>
      </c>
      <c r="E44" s="3">
        <v>81</v>
      </c>
      <c r="F44" t="str">
        <f t="shared" si="0"/>
        <v>Senior</v>
      </c>
      <c r="G44" s="3" t="s">
        <v>32</v>
      </c>
      <c r="H44" s="2" t="s">
        <v>33</v>
      </c>
      <c r="I44" s="2" t="s">
        <v>42</v>
      </c>
      <c r="J44" s="2" t="s">
        <v>17</v>
      </c>
      <c r="K44" s="11">
        <v>45588</v>
      </c>
      <c r="L44" s="11">
        <v>45613</v>
      </c>
      <c r="M44" s="3">
        <v>35000</v>
      </c>
      <c r="N44" s="3" t="s">
        <v>29</v>
      </c>
      <c r="O44" s="3" t="s">
        <v>38</v>
      </c>
    </row>
    <row r="45" spans="3:15">
      <c r="C45" s="2" t="s">
        <v>181</v>
      </c>
      <c r="D45" s="2" t="s">
        <v>182</v>
      </c>
      <c r="E45" s="2">
        <v>65</v>
      </c>
      <c r="F45" t="str">
        <f t="shared" si="0"/>
        <v>Senior</v>
      </c>
      <c r="G45" s="2" t="s">
        <v>32</v>
      </c>
      <c r="H45" s="2" t="s">
        <v>85</v>
      </c>
      <c r="I45" s="2" t="s">
        <v>132</v>
      </c>
      <c r="J45" s="2" t="s">
        <v>17</v>
      </c>
      <c r="K45" s="11">
        <v>45411</v>
      </c>
      <c r="L45" s="11">
        <v>45422</v>
      </c>
      <c r="M45" s="2">
        <v>35000</v>
      </c>
      <c r="N45" s="2" t="s">
        <v>168</v>
      </c>
      <c r="O45" s="2" t="s">
        <v>21</v>
      </c>
    </row>
    <row r="46" spans="3:15">
      <c r="C46" s="3" t="s">
        <v>186</v>
      </c>
      <c r="D46" s="2" t="s">
        <v>187</v>
      </c>
      <c r="E46" s="3">
        <v>12</v>
      </c>
      <c r="F46" t="str">
        <f t="shared" si="0"/>
        <v>Child</v>
      </c>
      <c r="G46" s="3" t="s">
        <v>32</v>
      </c>
      <c r="H46" s="2" t="s">
        <v>109</v>
      </c>
      <c r="I46" s="2" t="s">
        <v>16</v>
      </c>
      <c r="J46" s="2" t="s">
        <v>17</v>
      </c>
      <c r="K46" s="11">
        <v>45585</v>
      </c>
      <c r="L46" s="11">
        <v>45601</v>
      </c>
      <c r="M46" s="3">
        <v>15000</v>
      </c>
      <c r="N46" s="3" t="s">
        <v>20</v>
      </c>
      <c r="O46" s="3" t="s">
        <v>21</v>
      </c>
    </row>
    <row r="47" spans="3:15">
      <c r="C47" s="2" t="s">
        <v>192</v>
      </c>
      <c r="D47" s="2" t="s">
        <v>193</v>
      </c>
      <c r="E47" s="2">
        <v>23</v>
      </c>
      <c r="F47" t="str">
        <f t="shared" si="0"/>
        <v>Young Adult</v>
      </c>
      <c r="G47" s="2" t="s">
        <v>775</v>
      </c>
      <c r="H47" s="2" t="s">
        <v>85</v>
      </c>
      <c r="I47" s="2" t="s">
        <v>34</v>
      </c>
      <c r="J47" s="2" t="s">
        <v>17</v>
      </c>
      <c r="K47" s="11">
        <v>45380</v>
      </c>
      <c r="L47" s="11">
        <v>45407</v>
      </c>
      <c r="M47" s="2">
        <v>20000</v>
      </c>
      <c r="N47" s="2" t="s">
        <v>29</v>
      </c>
      <c r="O47" s="2" t="s">
        <v>38</v>
      </c>
    </row>
    <row r="48" spans="3:15">
      <c r="C48" s="3" t="s">
        <v>196</v>
      </c>
      <c r="D48" s="2" t="s">
        <v>197</v>
      </c>
      <c r="E48" s="3">
        <v>68</v>
      </c>
      <c r="F48" t="str">
        <f t="shared" si="0"/>
        <v>Senior</v>
      </c>
      <c r="G48" s="3" t="s">
        <v>14</v>
      </c>
      <c r="H48" s="2" t="s">
        <v>52</v>
      </c>
      <c r="I48" s="2" t="s">
        <v>34</v>
      </c>
      <c r="J48" s="2" t="s">
        <v>53</v>
      </c>
      <c r="K48" s="11">
        <v>45494</v>
      </c>
      <c r="L48" s="11">
        <v>45511</v>
      </c>
      <c r="M48" s="3">
        <v>75000</v>
      </c>
      <c r="N48" s="3" t="s">
        <v>20</v>
      </c>
      <c r="O48" s="3" t="s">
        <v>55</v>
      </c>
    </row>
    <row r="49" spans="3:15">
      <c r="C49" s="2" t="s">
        <v>199</v>
      </c>
      <c r="D49" s="2" t="s">
        <v>200</v>
      </c>
      <c r="E49" s="2">
        <v>73</v>
      </c>
      <c r="F49" t="str">
        <f t="shared" si="0"/>
        <v>Senior</v>
      </c>
      <c r="G49" s="2" t="s">
        <v>32</v>
      </c>
      <c r="H49" s="2" t="s">
        <v>85</v>
      </c>
      <c r="I49" s="2" t="s">
        <v>16</v>
      </c>
      <c r="J49" s="2" t="s">
        <v>104</v>
      </c>
      <c r="K49" s="11">
        <v>45307</v>
      </c>
      <c r="L49" s="11">
        <v>45309</v>
      </c>
      <c r="M49" s="2">
        <v>35000</v>
      </c>
      <c r="N49" s="2" t="s">
        <v>20</v>
      </c>
      <c r="O49" s="2" t="s">
        <v>87</v>
      </c>
    </row>
    <row r="50" spans="3:15">
      <c r="C50" s="3" t="s">
        <v>204</v>
      </c>
      <c r="D50" s="2" t="s">
        <v>2044</v>
      </c>
      <c r="E50" s="3">
        <v>85</v>
      </c>
      <c r="F50" t="str">
        <f t="shared" si="0"/>
        <v>Senior</v>
      </c>
      <c r="G50" s="3" t="s">
        <v>32</v>
      </c>
      <c r="H50" s="2" t="s">
        <v>15</v>
      </c>
      <c r="I50" s="2" t="s">
        <v>42</v>
      </c>
      <c r="J50" s="2" t="s">
        <v>48</v>
      </c>
      <c r="K50" s="11">
        <v>45570</v>
      </c>
      <c r="L50" s="11">
        <v>45423</v>
      </c>
      <c r="M50" s="3">
        <v>100000</v>
      </c>
      <c r="N50" s="3" t="s">
        <v>67</v>
      </c>
      <c r="O50" s="3" t="s">
        <v>55</v>
      </c>
    </row>
    <row r="51" spans="3:15">
      <c r="C51" s="2" t="s">
        <v>207</v>
      </c>
      <c r="D51" s="2" t="s">
        <v>208</v>
      </c>
      <c r="E51" s="2">
        <v>15</v>
      </c>
      <c r="F51" t="str">
        <f t="shared" si="0"/>
        <v>Child</v>
      </c>
      <c r="G51" s="2" t="s">
        <v>14</v>
      </c>
      <c r="H51" s="2" t="s">
        <v>58</v>
      </c>
      <c r="I51" s="2" t="s">
        <v>76</v>
      </c>
      <c r="J51" s="2" t="s">
        <v>17</v>
      </c>
      <c r="K51" s="11">
        <v>45418</v>
      </c>
      <c r="L51" s="11">
        <v>45465</v>
      </c>
      <c r="M51" s="2">
        <v>20000</v>
      </c>
      <c r="N51" s="2" t="s">
        <v>29</v>
      </c>
      <c r="O51" s="2" t="s">
        <v>21</v>
      </c>
    </row>
    <row r="52" spans="3:15">
      <c r="C52" s="3" t="s">
        <v>211</v>
      </c>
      <c r="D52" s="2" t="s">
        <v>212</v>
      </c>
      <c r="E52" s="3">
        <v>46</v>
      </c>
      <c r="F52" t="str">
        <f t="shared" si="0"/>
        <v>Middle Age</v>
      </c>
      <c r="G52" s="3" t="s">
        <v>14</v>
      </c>
      <c r="H52" s="2" t="s">
        <v>15</v>
      </c>
      <c r="I52" s="2" t="s">
        <v>127</v>
      </c>
      <c r="J52" s="2" t="s">
        <v>104</v>
      </c>
      <c r="K52" s="11">
        <v>45486</v>
      </c>
      <c r="L52" s="11">
        <v>45487</v>
      </c>
      <c r="M52" s="3">
        <v>25000</v>
      </c>
      <c r="N52" s="3" t="s">
        <v>67</v>
      </c>
      <c r="O52" s="3" t="s">
        <v>21</v>
      </c>
    </row>
    <row r="53" spans="3:15">
      <c r="C53" s="2" t="s">
        <v>213</v>
      </c>
      <c r="D53" s="2" t="s">
        <v>214</v>
      </c>
      <c r="E53" s="2">
        <v>20</v>
      </c>
      <c r="F53" t="str">
        <f t="shared" si="0"/>
        <v>Young Adult</v>
      </c>
      <c r="G53" s="2" t="s">
        <v>14</v>
      </c>
      <c r="H53" s="2" t="s">
        <v>33</v>
      </c>
      <c r="I53" s="2" t="s">
        <v>132</v>
      </c>
      <c r="J53" s="2" t="s">
        <v>17</v>
      </c>
      <c r="K53" s="11">
        <v>45400</v>
      </c>
      <c r="L53" s="11">
        <v>45408</v>
      </c>
      <c r="M53" s="2">
        <v>25000</v>
      </c>
      <c r="N53" s="2" t="s">
        <v>67</v>
      </c>
      <c r="O53" s="2" t="s">
        <v>38</v>
      </c>
    </row>
    <row r="54" spans="3:15">
      <c r="C54" s="3" t="s">
        <v>216</v>
      </c>
      <c r="D54" s="2" t="s">
        <v>217</v>
      </c>
      <c r="E54" s="3">
        <v>56</v>
      </c>
      <c r="F54" t="str">
        <f t="shared" si="0"/>
        <v>Middle Age</v>
      </c>
      <c r="G54" s="3" t="s">
        <v>14</v>
      </c>
      <c r="H54" s="2" t="s">
        <v>52</v>
      </c>
      <c r="I54" s="2" t="s">
        <v>76</v>
      </c>
      <c r="J54" s="2" t="s">
        <v>104</v>
      </c>
      <c r="K54" s="11">
        <v>45511</v>
      </c>
      <c r="L54" s="11">
        <v>45497</v>
      </c>
      <c r="M54" s="3">
        <v>35000</v>
      </c>
      <c r="N54" s="3" t="s">
        <v>37</v>
      </c>
      <c r="O54" s="3" t="s">
        <v>87</v>
      </c>
    </row>
    <row r="55" spans="3:15">
      <c r="C55" s="2" t="s">
        <v>220</v>
      </c>
      <c r="D55" s="2" t="s">
        <v>221</v>
      </c>
      <c r="E55" s="2">
        <v>15</v>
      </c>
      <c r="F55" t="str">
        <f t="shared" si="0"/>
        <v>Child</v>
      </c>
      <c r="G55" s="2" t="s">
        <v>32</v>
      </c>
      <c r="H55" s="2" t="s">
        <v>109</v>
      </c>
      <c r="I55" s="2" t="s">
        <v>16</v>
      </c>
      <c r="J55" s="2" t="s">
        <v>104</v>
      </c>
      <c r="K55" s="11">
        <v>45309</v>
      </c>
      <c r="L55" s="11">
        <v>45317</v>
      </c>
      <c r="M55" s="2">
        <v>20000</v>
      </c>
      <c r="N55" s="2" t="s">
        <v>67</v>
      </c>
      <c r="O55" s="2" t="s">
        <v>38</v>
      </c>
    </row>
    <row r="56" spans="3:15">
      <c r="C56" s="3" t="s">
        <v>224</v>
      </c>
      <c r="D56" s="2" t="s">
        <v>225</v>
      </c>
      <c r="E56" s="3">
        <v>80</v>
      </c>
      <c r="F56" t="str">
        <f t="shared" si="0"/>
        <v>Senior</v>
      </c>
      <c r="G56" s="3" t="s">
        <v>14</v>
      </c>
      <c r="H56" s="2" t="s">
        <v>15</v>
      </c>
      <c r="I56" s="2" t="s">
        <v>76</v>
      </c>
      <c r="J56" s="2" t="s">
        <v>48</v>
      </c>
      <c r="K56" s="11">
        <v>45519</v>
      </c>
      <c r="L56" s="11">
        <v>45536</v>
      </c>
      <c r="M56" s="3">
        <v>5000</v>
      </c>
      <c r="N56" s="3" t="s">
        <v>67</v>
      </c>
      <c r="O56" s="3" t="s">
        <v>38</v>
      </c>
    </row>
    <row r="57" spans="3:15">
      <c r="C57" s="2" t="s">
        <v>228</v>
      </c>
      <c r="D57" s="2" t="s">
        <v>229</v>
      </c>
      <c r="E57" s="2">
        <v>16</v>
      </c>
      <c r="F57" t="str">
        <f t="shared" si="0"/>
        <v>Child</v>
      </c>
      <c r="G57" s="2" t="s">
        <v>14</v>
      </c>
      <c r="H57" s="2" t="s">
        <v>58</v>
      </c>
      <c r="I57" s="2" t="s">
        <v>76</v>
      </c>
      <c r="J57" s="2" t="s">
        <v>99</v>
      </c>
      <c r="K57" s="11">
        <v>45518</v>
      </c>
      <c r="L57" s="11">
        <v>45532</v>
      </c>
      <c r="M57" s="2">
        <v>25000</v>
      </c>
      <c r="N57" s="2" t="s">
        <v>29</v>
      </c>
      <c r="O57" s="2" t="s">
        <v>38</v>
      </c>
    </row>
    <row r="58" spans="3:15">
      <c r="C58" s="3" t="s">
        <v>233</v>
      </c>
      <c r="D58" s="2" t="s">
        <v>234</v>
      </c>
      <c r="E58" s="3">
        <v>51</v>
      </c>
      <c r="F58" t="str">
        <f t="shared" si="0"/>
        <v>Middle Age</v>
      </c>
      <c r="G58" s="3" t="s">
        <v>14</v>
      </c>
      <c r="H58" s="2" t="s">
        <v>33</v>
      </c>
      <c r="I58" s="2" t="s">
        <v>127</v>
      </c>
      <c r="J58" s="2" t="s">
        <v>26</v>
      </c>
      <c r="K58" s="11">
        <v>45524</v>
      </c>
      <c r="L58" s="11">
        <v>45548</v>
      </c>
      <c r="M58" s="3">
        <v>50000</v>
      </c>
      <c r="N58" s="3" t="s">
        <v>67</v>
      </c>
      <c r="O58" s="3" t="s">
        <v>38</v>
      </c>
    </row>
    <row r="59" spans="3:15">
      <c r="C59" s="2" t="s">
        <v>235</v>
      </c>
      <c r="D59" s="2" t="s">
        <v>170</v>
      </c>
      <c r="E59" s="2">
        <v>7</v>
      </c>
      <c r="F59" t="str">
        <f t="shared" si="0"/>
        <v>Child</v>
      </c>
      <c r="G59" s="2" t="s">
        <v>14</v>
      </c>
      <c r="H59" s="2" t="s">
        <v>52</v>
      </c>
      <c r="I59" s="2" t="s">
        <v>16</v>
      </c>
      <c r="J59" s="2" t="s">
        <v>99</v>
      </c>
      <c r="K59" s="11">
        <v>45501</v>
      </c>
      <c r="L59" s="11">
        <v>45508</v>
      </c>
      <c r="M59" s="2">
        <v>35000</v>
      </c>
      <c r="N59" s="2" t="s">
        <v>20</v>
      </c>
      <c r="O59" s="2" t="s">
        <v>38</v>
      </c>
    </row>
    <row r="60" spans="3:15">
      <c r="C60" s="3" t="s">
        <v>239</v>
      </c>
      <c r="D60" s="2" t="s">
        <v>240</v>
      </c>
      <c r="E60" s="3">
        <v>28</v>
      </c>
      <c r="F60" t="str">
        <f t="shared" si="0"/>
        <v>Young Adult</v>
      </c>
      <c r="G60" s="3" t="s">
        <v>14</v>
      </c>
      <c r="H60" s="2" t="s">
        <v>52</v>
      </c>
      <c r="I60" s="2" t="s">
        <v>34</v>
      </c>
      <c r="J60" s="2" t="s">
        <v>104</v>
      </c>
      <c r="K60" s="11">
        <v>45474</v>
      </c>
      <c r="L60" s="11">
        <v>45312</v>
      </c>
      <c r="M60" s="3">
        <v>20000</v>
      </c>
      <c r="N60" s="3" t="s">
        <v>29</v>
      </c>
      <c r="O60" s="3" t="s">
        <v>55</v>
      </c>
    </row>
    <row r="61" spans="3:15">
      <c r="C61" s="2" t="s">
        <v>243</v>
      </c>
      <c r="D61" s="2" t="s">
        <v>244</v>
      </c>
      <c r="E61" s="2">
        <v>23</v>
      </c>
      <c r="F61" t="str">
        <f t="shared" si="0"/>
        <v>Young Adult</v>
      </c>
      <c r="G61" s="2" t="s">
        <v>32</v>
      </c>
      <c r="H61" s="2" t="s">
        <v>33</v>
      </c>
      <c r="I61" s="2" t="s">
        <v>42</v>
      </c>
      <c r="J61" s="2" t="s">
        <v>99</v>
      </c>
      <c r="K61" s="11">
        <v>45386</v>
      </c>
      <c r="L61" s="11">
        <v>45411</v>
      </c>
      <c r="M61" s="2">
        <v>35000</v>
      </c>
      <c r="N61" s="2" t="s">
        <v>37</v>
      </c>
      <c r="O61" s="2" t="s">
        <v>38</v>
      </c>
    </row>
    <row r="62" spans="3:15">
      <c r="C62" s="3" t="s">
        <v>246</v>
      </c>
      <c r="D62" s="2" t="s">
        <v>247</v>
      </c>
      <c r="E62" s="3">
        <v>68</v>
      </c>
      <c r="F62" t="str">
        <f t="shared" si="0"/>
        <v>Senior</v>
      </c>
      <c r="G62" s="3" t="s">
        <v>32</v>
      </c>
      <c r="H62" s="2" t="s">
        <v>58</v>
      </c>
      <c r="I62" s="2" t="s">
        <v>25</v>
      </c>
      <c r="J62" s="2" t="s">
        <v>48</v>
      </c>
      <c r="K62" s="11">
        <v>45373</v>
      </c>
      <c r="L62" s="11">
        <v>45398</v>
      </c>
      <c r="M62" s="3">
        <v>20000</v>
      </c>
      <c r="N62" s="3" t="s">
        <v>20</v>
      </c>
      <c r="O62" s="3" t="s">
        <v>38</v>
      </c>
    </row>
    <row r="63" spans="3:15">
      <c r="C63" s="2" t="s">
        <v>250</v>
      </c>
      <c r="D63" s="2" t="s">
        <v>251</v>
      </c>
      <c r="E63" s="2">
        <v>9</v>
      </c>
      <c r="F63" t="str">
        <f t="shared" si="0"/>
        <v>Child</v>
      </c>
      <c r="G63" s="2" t="s">
        <v>32</v>
      </c>
      <c r="H63" s="2" t="s">
        <v>85</v>
      </c>
      <c r="I63" s="2" t="s">
        <v>76</v>
      </c>
      <c r="J63" s="2" t="s">
        <v>17</v>
      </c>
      <c r="K63" s="11">
        <v>45440</v>
      </c>
      <c r="L63" s="11">
        <v>45460</v>
      </c>
      <c r="M63" s="2">
        <v>50000</v>
      </c>
      <c r="N63" s="2" t="s">
        <v>29</v>
      </c>
      <c r="O63" s="2" t="s">
        <v>87</v>
      </c>
    </row>
    <row r="64" spans="3:15">
      <c r="C64" s="3" t="s">
        <v>252</v>
      </c>
      <c r="D64" s="2" t="s">
        <v>253</v>
      </c>
      <c r="E64" s="3">
        <v>33</v>
      </c>
      <c r="F64" t="str">
        <f t="shared" si="0"/>
        <v>Young Adult</v>
      </c>
      <c r="G64" s="3" t="s">
        <v>32</v>
      </c>
      <c r="H64" s="2" t="s">
        <v>52</v>
      </c>
      <c r="I64" s="2" t="s">
        <v>16</v>
      </c>
      <c r="J64" s="2" t="s">
        <v>53</v>
      </c>
      <c r="K64" s="11">
        <v>45437</v>
      </c>
      <c r="L64" s="11">
        <v>45442</v>
      </c>
      <c r="M64" s="3">
        <v>0</v>
      </c>
      <c r="N64" s="3" t="s">
        <v>67</v>
      </c>
      <c r="O64" s="3" t="s">
        <v>55</v>
      </c>
    </row>
    <row r="65" spans="3:15">
      <c r="C65" s="2" t="s">
        <v>257</v>
      </c>
      <c r="D65" s="2" t="s">
        <v>258</v>
      </c>
      <c r="E65" s="2">
        <v>30</v>
      </c>
      <c r="F65" t="str">
        <f t="shared" si="0"/>
        <v>Young Adult</v>
      </c>
      <c r="G65" s="2" t="s">
        <v>32</v>
      </c>
      <c r="H65" s="2" t="s">
        <v>109</v>
      </c>
      <c r="I65" s="2" t="s">
        <v>127</v>
      </c>
      <c r="J65" s="2" t="s">
        <v>104</v>
      </c>
      <c r="K65" s="11">
        <v>45408</v>
      </c>
      <c r="L65" s="11">
        <v>45426</v>
      </c>
      <c r="M65" s="2">
        <v>35000</v>
      </c>
      <c r="N65" s="2" t="s">
        <v>29</v>
      </c>
      <c r="O65" s="2" t="s">
        <v>38</v>
      </c>
    </row>
    <row r="66" spans="3:15">
      <c r="C66" s="3" t="s">
        <v>260</v>
      </c>
      <c r="D66" s="2" t="s">
        <v>261</v>
      </c>
      <c r="E66" s="3">
        <v>75</v>
      </c>
      <c r="F66" t="str">
        <f t="shared" si="0"/>
        <v>Senior</v>
      </c>
      <c r="G66" s="3" t="s">
        <v>14</v>
      </c>
      <c r="H66" s="2" t="s">
        <v>33</v>
      </c>
      <c r="I66" s="2" t="s">
        <v>76</v>
      </c>
      <c r="J66" s="2" t="s">
        <v>104</v>
      </c>
      <c r="K66" s="11">
        <v>45420</v>
      </c>
      <c r="L66" s="11">
        <v>45524</v>
      </c>
      <c r="M66" s="3">
        <v>8000</v>
      </c>
      <c r="N66" s="3" t="s">
        <v>20</v>
      </c>
      <c r="O66" s="3" t="s">
        <v>38</v>
      </c>
    </row>
    <row r="67" spans="3:15">
      <c r="C67" s="2" t="s">
        <v>262</v>
      </c>
      <c r="D67" s="2" t="s">
        <v>263</v>
      </c>
      <c r="E67" s="2">
        <v>31</v>
      </c>
      <c r="F67" t="str">
        <f t="shared" si="0"/>
        <v>Young Adult</v>
      </c>
      <c r="G67" s="2" t="s">
        <v>32</v>
      </c>
      <c r="H67" s="2" t="s">
        <v>15</v>
      </c>
      <c r="I67" s="2" t="s">
        <v>132</v>
      </c>
      <c r="J67" s="2" t="s">
        <v>17</v>
      </c>
      <c r="K67" s="11">
        <v>45631</v>
      </c>
      <c r="L67" s="11">
        <v>45447</v>
      </c>
      <c r="M67" s="2">
        <v>20000</v>
      </c>
      <c r="N67" s="2" t="s">
        <v>29</v>
      </c>
      <c r="O67" s="2" t="s">
        <v>55</v>
      </c>
    </row>
    <row r="68" spans="3:15">
      <c r="C68" s="3" t="s">
        <v>267</v>
      </c>
      <c r="D68" s="2" t="s">
        <v>2045</v>
      </c>
      <c r="E68" s="3">
        <v>15</v>
      </c>
      <c r="F68" t="str">
        <f t="shared" si="0"/>
        <v>Child</v>
      </c>
      <c r="G68" s="3" t="s">
        <v>32</v>
      </c>
      <c r="H68" s="2" t="s">
        <v>33</v>
      </c>
      <c r="I68" s="2" t="s">
        <v>25</v>
      </c>
      <c r="J68" s="2" t="s">
        <v>17</v>
      </c>
      <c r="K68" s="11">
        <v>45297</v>
      </c>
      <c r="L68" s="11">
        <v>45457</v>
      </c>
      <c r="M68" s="3">
        <v>25000</v>
      </c>
      <c r="N68" s="3" t="s">
        <v>20</v>
      </c>
      <c r="O68" s="3" t="s">
        <v>21</v>
      </c>
    </row>
    <row r="69" spans="3:15">
      <c r="C69" s="2" t="s">
        <v>271</v>
      </c>
      <c r="D69" s="2" t="s">
        <v>272</v>
      </c>
      <c r="E69" s="2">
        <v>62</v>
      </c>
      <c r="F69" t="str">
        <f t="shared" si="0"/>
        <v>Senior</v>
      </c>
      <c r="G69" s="2" t="s">
        <v>32</v>
      </c>
      <c r="H69" s="2" t="s">
        <v>15</v>
      </c>
      <c r="I69" s="2" t="s">
        <v>42</v>
      </c>
      <c r="J69" s="2" t="s">
        <v>17</v>
      </c>
      <c r="K69" s="11">
        <v>45314</v>
      </c>
      <c r="L69" s="11">
        <v>45337</v>
      </c>
      <c r="M69" s="2">
        <v>25000</v>
      </c>
      <c r="N69" s="2" t="s">
        <v>29</v>
      </c>
      <c r="O69" s="2" t="s">
        <v>55</v>
      </c>
    </row>
    <row r="70" spans="3:15">
      <c r="C70" s="3" t="s">
        <v>275</v>
      </c>
      <c r="D70" s="2" t="s">
        <v>258</v>
      </c>
      <c r="E70" s="3">
        <v>78</v>
      </c>
      <c r="F70" t="str">
        <f t="shared" si="0"/>
        <v>Senior</v>
      </c>
      <c r="G70" s="3" t="s">
        <v>32</v>
      </c>
      <c r="H70" s="2" t="s">
        <v>52</v>
      </c>
      <c r="I70" s="2" t="s">
        <v>76</v>
      </c>
      <c r="J70" s="2" t="s">
        <v>17</v>
      </c>
      <c r="K70" s="11">
        <v>45469</v>
      </c>
      <c r="L70" s="11">
        <v>45487</v>
      </c>
      <c r="M70" s="3">
        <v>12000</v>
      </c>
      <c r="N70" s="3" t="s">
        <v>67</v>
      </c>
      <c r="O70" s="3" t="s">
        <v>38</v>
      </c>
    </row>
    <row r="71" spans="3:15">
      <c r="C71" s="2" t="s">
        <v>277</v>
      </c>
      <c r="D71" s="2" t="s">
        <v>278</v>
      </c>
      <c r="E71" s="2">
        <v>76</v>
      </c>
      <c r="F71" t="str">
        <f t="shared" si="0"/>
        <v>Senior</v>
      </c>
      <c r="G71" s="2" t="s">
        <v>32</v>
      </c>
      <c r="H71" s="2" t="s">
        <v>15</v>
      </c>
      <c r="I71" s="2" t="s">
        <v>16</v>
      </c>
      <c r="J71" s="2" t="s">
        <v>53</v>
      </c>
      <c r="K71" s="11">
        <v>45315</v>
      </c>
      <c r="L71" s="11">
        <v>45318</v>
      </c>
      <c r="M71" s="2">
        <v>75000</v>
      </c>
      <c r="N71" s="2" t="s">
        <v>67</v>
      </c>
      <c r="O71" s="2" t="s">
        <v>87</v>
      </c>
    </row>
    <row r="72" spans="3:15">
      <c r="C72" s="3" t="s">
        <v>281</v>
      </c>
      <c r="D72" s="2" t="s">
        <v>282</v>
      </c>
      <c r="E72" s="3">
        <v>23</v>
      </c>
      <c r="F72" t="str">
        <f t="shared" si="0"/>
        <v>Young Adult</v>
      </c>
      <c r="G72" s="3" t="s">
        <v>32</v>
      </c>
      <c r="H72" s="2" t="s">
        <v>52</v>
      </c>
      <c r="I72" s="2" t="s">
        <v>25</v>
      </c>
      <c r="J72" s="2" t="s">
        <v>48</v>
      </c>
      <c r="K72" s="11">
        <v>45343</v>
      </c>
      <c r="L72" s="11">
        <v>45367</v>
      </c>
      <c r="M72" s="3">
        <v>75000</v>
      </c>
      <c r="N72" s="3" t="s">
        <v>67</v>
      </c>
      <c r="O72" s="3" t="s">
        <v>38</v>
      </c>
    </row>
    <row r="73" spans="3:15">
      <c r="C73" s="3" t="s">
        <v>285</v>
      </c>
      <c r="D73" s="2" t="s">
        <v>286</v>
      </c>
      <c r="E73" s="3">
        <v>55</v>
      </c>
      <c r="F73" t="str">
        <f t="shared" si="0"/>
        <v>Middle Age</v>
      </c>
      <c r="G73" s="3" t="s">
        <v>287</v>
      </c>
      <c r="H73" s="2" t="s">
        <v>52</v>
      </c>
      <c r="I73" s="2" t="s">
        <v>16</v>
      </c>
      <c r="J73" s="2" t="s">
        <v>104</v>
      </c>
      <c r="K73" s="11">
        <v>45381</v>
      </c>
      <c r="L73" s="11">
        <v>45402</v>
      </c>
      <c r="M73" s="3">
        <v>8000</v>
      </c>
      <c r="N73" s="3" t="s">
        <v>37</v>
      </c>
      <c r="O73" s="3" t="s">
        <v>21</v>
      </c>
    </row>
    <row r="74" spans="3:15">
      <c r="C74" s="2" t="s">
        <v>290</v>
      </c>
      <c r="D74" s="2" t="s">
        <v>291</v>
      </c>
      <c r="E74" s="2">
        <v>70</v>
      </c>
      <c r="F74" t="str">
        <f t="shared" ref="F74:F137" si="1">IF(E74="Unknown","Unknown",IF(E74&lt;18,"Child",IF(E74&lt;40,"Young Adult",IF(E74&lt;60,"Middle Age","Senior"))))</f>
        <v>Senior</v>
      </c>
      <c r="G74" s="2" t="s">
        <v>32</v>
      </c>
      <c r="H74" s="2" t="s">
        <v>58</v>
      </c>
      <c r="I74" s="2" t="s">
        <v>127</v>
      </c>
      <c r="J74" s="2" t="s">
        <v>48</v>
      </c>
      <c r="K74" s="11">
        <v>45633</v>
      </c>
      <c r="L74" s="11">
        <v>45494</v>
      </c>
      <c r="M74" s="2">
        <v>8000</v>
      </c>
      <c r="N74" s="2" t="s">
        <v>29</v>
      </c>
      <c r="O74" s="2" t="s">
        <v>87</v>
      </c>
    </row>
    <row r="75" spans="3:15">
      <c r="C75" s="3" t="s">
        <v>293</v>
      </c>
      <c r="D75" s="2" t="s">
        <v>294</v>
      </c>
      <c r="E75" s="3">
        <v>34</v>
      </c>
      <c r="F75" t="str">
        <f t="shared" si="1"/>
        <v>Young Adult</v>
      </c>
      <c r="G75" s="3" t="s">
        <v>14</v>
      </c>
      <c r="H75" s="2" t="s">
        <v>33</v>
      </c>
      <c r="I75" s="2" t="s">
        <v>42</v>
      </c>
      <c r="J75" s="2" t="s">
        <v>53</v>
      </c>
      <c r="K75" s="11">
        <v>45541</v>
      </c>
      <c r="L75" s="11">
        <v>45471</v>
      </c>
      <c r="M75" s="3">
        <v>15000</v>
      </c>
      <c r="N75" s="3" t="s">
        <v>20</v>
      </c>
      <c r="O75" s="3" t="s">
        <v>87</v>
      </c>
    </row>
    <row r="76" spans="3:15">
      <c r="C76" s="2" t="s">
        <v>297</v>
      </c>
      <c r="D76" s="2" t="s">
        <v>2037</v>
      </c>
      <c r="E76" s="2">
        <v>53</v>
      </c>
      <c r="F76" t="str">
        <f t="shared" si="1"/>
        <v>Middle Age</v>
      </c>
      <c r="G76" s="2" t="s">
        <v>14</v>
      </c>
      <c r="H76" s="2" t="s">
        <v>15</v>
      </c>
      <c r="I76" s="2" t="s">
        <v>34</v>
      </c>
      <c r="J76" s="2" t="s">
        <v>99</v>
      </c>
      <c r="K76" s="11">
        <v>45476</v>
      </c>
      <c r="L76" s="11">
        <v>45368</v>
      </c>
      <c r="M76" s="2">
        <v>5000</v>
      </c>
      <c r="N76" s="2" t="s">
        <v>67</v>
      </c>
      <c r="O76" s="2" t="s">
        <v>55</v>
      </c>
    </row>
    <row r="77" spans="3:15">
      <c r="C77" s="3" t="s">
        <v>303</v>
      </c>
      <c r="D77" s="2" t="s">
        <v>304</v>
      </c>
      <c r="E77" s="3">
        <v>68</v>
      </c>
      <c r="F77" t="str">
        <f t="shared" si="1"/>
        <v>Senior</v>
      </c>
      <c r="G77" s="3" t="s">
        <v>14</v>
      </c>
      <c r="H77" s="2" t="s">
        <v>58</v>
      </c>
      <c r="I77" s="2" t="s">
        <v>42</v>
      </c>
      <c r="J77" s="2" t="s">
        <v>53</v>
      </c>
      <c r="K77" s="11">
        <v>45488</v>
      </c>
      <c r="L77" s="11">
        <v>45491</v>
      </c>
      <c r="M77" s="3">
        <v>25000</v>
      </c>
      <c r="N77" s="3" t="s">
        <v>20</v>
      </c>
      <c r="O77" s="3" t="s">
        <v>21</v>
      </c>
    </row>
    <row r="78" spans="3:15">
      <c r="C78" s="2" t="s">
        <v>307</v>
      </c>
      <c r="D78" s="2" t="s">
        <v>958</v>
      </c>
      <c r="E78" s="2">
        <v>84</v>
      </c>
      <c r="F78" t="str">
        <f t="shared" si="1"/>
        <v>Senior</v>
      </c>
      <c r="G78" s="2" t="s">
        <v>14</v>
      </c>
      <c r="H78" s="2" t="s">
        <v>85</v>
      </c>
      <c r="I78" s="2" t="s">
        <v>42</v>
      </c>
      <c r="J78" s="2" t="s">
        <v>17</v>
      </c>
      <c r="K78" s="11">
        <v>45551</v>
      </c>
      <c r="L78" s="11">
        <v>45553</v>
      </c>
      <c r="M78" s="2">
        <v>12000</v>
      </c>
      <c r="N78" s="2" t="s">
        <v>37</v>
      </c>
      <c r="O78" s="2" t="s">
        <v>38</v>
      </c>
    </row>
    <row r="79" spans="3:15">
      <c r="C79" s="3" t="s">
        <v>311</v>
      </c>
      <c r="D79" s="2" t="s">
        <v>312</v>
      </c>
      <c r="E79" s="3">
        <v>72</v>
      </c>
      <c r="F79" t="str">
        <f t="shared" si="1"/>
        <v>Senior</v>
      </c>
      <c r="G79" s="3" t="s">
        <v>14</v>
      </c>
      <c r="H79" s="2" t="s">
        <v>52</v>
      </c>
      <c r="I79" s="2" t="s">
        <v>42</v>
      </c>
      <c r="J79" s="2" t="s">
        <v>99</v>
      </c>
      <c r="K79" s="11">
        <v>45301</v>
      </c>
      <c r="L79" s="11">
        <v>45568</v>
      </c>
      <c r="M79" s="3">
        <v>8000</v>
      </c>
      <c r="N79" s="3" t="s">
        <v>20</v>
      </c>
      <c r="O79" s="3" t="s">
        <v>55</v>
      </c>
    </row>
    <row r="80" spans="3:15">
      <c r="C80" s="2" t="s">
        <v>315</v>
      </c>
      <c r="D80" s="2" t="s">
        <v>316</v>
      </c>
      <c r="E80" s="2">
        <v>58</v>
      </c>
      <c r="F80" t="str">
        <f t="shared" si="1"/>
        <v>Middle Age</v>
      </c>
      <c r="G80" s="2" t="s">
        <v>14</v>
      </c>
      <c r="H80" s="2" t="s">
        <v>52</v>
      </c>
      <c r="I80" s="2" t="s">
        <v>127</v>
      </c>
      <c r="J80" s="2" t="s">
        <v>99</v>
      </c>
      <c r="K80" s="11">
        <v>45526</v>
      </c>
      <c r="L80" s="11">
        <v>45542</v>
      </c>
      <c r="M80" s="2">
        <v>5000</v>
      </c>
      <c r="N80" s="2" t="s">
        <v>29</v>
      </c>
      <c r="O80" s="2" t="s">
        <v>38</v>
      </c>
    </row>
    <row r="81" spans="3:15">
      <c r="C81" s="3" t="s">
        <v>319</v>
      </c>
      <c r="D81" s="2" t="s">
        <v>320</v>
      </c>
      <c r="E81" s="3">
        <v>20</v>
      </c>
      <c r="F81" t="str">
        <f t="shared" si="1"/>
        <v>Young Adult</v>
      </c>
      <c r="G81" s="3" t="s">
        <v>32</v>
      </c>
      <c r="H81" s="2" t="s">
        <v>15</v>
      </c>
      <c r="I81" s="2" t="s">
        <v>16</v>
      </c>
      <c r="J81" s="2" t="s">
        <v>99</v>
      </c>
      <c r="K81" s="11">
        <v>45514</v>
      </c>
      <c r="L81" s="11">
        <v>45588</v>
      </c>
      <c r="M81" s="3">
        <v>20000</v>
      </c>
      <c r="N81" s="3" t="s">
        <v>20</v>
      </c>
      <c r="O81" s="3" t="s">
        <v>38</v>
      </c>
    </row>
    <row r="82" spans="3:15">
      <c r="C82" s="2" t="s">
        <v>323</v>
      </c>
      <c r="D82" s="2" t="s">
        <v>324</v>
      </c>
      <c r="E82" s="2">
        <v>81</v>
      </c>
      <c r="F82" t="str">
        <f t="shared" si="1"/>
        <v>Senior</v>
      </c>
      <c r="G82" s="2" t="s">
        <v>14</v>
      </c>
      <c r="H82" s="2" t="s">
        <v>52</v>
      </c>
      <c r="I82" s="2" t="s">
        <v>16</v>
      </c>
      <c r="J82" s="2" t="s">
        <v>35</v>
      </c>
      <c r="K82" s="11">
        <v>45493</v>
      </c>
      <c r="L82" s="11">
        <v>45521</v>
      </c>
      <c r="M82" s="2">
        <v>25000</v>
      </c>
      <c r="N82" s="2" t="s">
        <v>37</v>
      </c>
      <c r="O82" s="2" t="s">
        <v>55</v>
      </c>
    </row>
    <row r="83" spans="3:15">
      <c r="C83" s="3" t="s">
        <v>326</v>
      </c>
      <c r="D83" s="2" t="s">
        <v>327</v>
      </c>
      <c r="E83" s="3">
        <v>45</v>
      </c>
      <c r="F83" t="str">
        <f t="shared" si="1"/>
        <v>Middle Age</v>
      </c>
      <c r="G83" s="3" t="s">
        <v>14</v>
      </c>
      <c r="H83" s="2" t="s">
        <v>52</v>
      </c>
      <c r="I83" s="2" t="s">
        <v>132</v>
      </c>
      <c r="J83" s="2" t="s">
        <v>99</v>
      </c>
      <c r="K83" s="11">
        <v>45460</v>
      </c>
      <c r="L83" s="11">
        <v>45479</v>
      </c>
      <c r="M83" s="3">
        <v>25000</v>
      </c>
      <c r="N83" s="3" t="s">
        <v>29</v>
      </c>
      <c r="O83" s="3" t="s">
        <v>21</v>
      </c>
    </row>
    <row r="84" spans="3:15">
      <c r="C84" s="2" t="s">
        <v>328</v>
      </c>
      <c r="D84" s="2" t="s">
        <v>329</v>
      </c>
      <c r="E84" s="2">
        <v>23</v>
      </c>
      <c r="F84" t="str">
        <f t="shared" si="1"/>
        <v>Young Adult</v>
      </c>
      <c r="G84" s="2" t="s">
        <v>32</v>
      </c>
      <c r="H84" s="2" t="s">
        <v>85</v>
      </c>
      <c r="I84" s="2" t="s">
        <v>25</v>
      </c>
      <c r="J84" s="2" t="s">
        <v>104</v>
      </c>
      <c r="K84" s="11">
        <v>45491</v>
      </c>
      <c r="L84" s="11">
        <v>45514</v>
      </c>
      <c r="M84" s="2">
        <v>35000</v>
      </c>
      <c r="N84" s="2" t="s">
        <v>67</v>
      </c>
      <c r="O84" s="2" t="s">
        <v>87</v>
      </c>
    </row>
    <row r="85" spans="3:15">
      <c r="C85" s="3" t="s">
        <v>332</v>
      </c>
      <c r="D85" s="2" t="s">
        <v>333</v>
      </c>
      <c r="E85" s="3">
        <v>72</v>
      </c>
      <c r="F85" t="str">
        <f t="shared" si="1"/>
        <v>Senior</v>
      </c>
      <c r="G85" s="3" t="s">
        <v>14</v>
      </c>
      <c r="H85" s="2" t="s">
        <v>70</v>
      </c>
      <c r="I85" s="2" t="s">
        <v>132</v>
      </c>
      <c r="J85" s="2" t="s">
        <v>48</v>
      </c>
      <c r="K85" s="11">
        <v>45509</v>
      </c>
      <c r="L85" s="11">
        <v>45428</v>
      </c>
      <c r="M85" s="3">
        <v>12000</v>
      </c>
      <c r="N85" s="3" t="s">
        <v>20</v>
      </c>
      <c r="O85" s="3" t="s">
        <v>55</v>
      </c>
    </row>
    <row r="86" spans="3:15">
      <c r="C86" s="2" t="s">
        <v>336</v>
      </c>
      <c r="D86" s="2" t="s">
        <v>337</v>
      </c>
      <c r="E86" s="2">
        <v>39</v>
      </c>
      <c r="F86" t="str">
        <f t="shared" si="1"/>
        <v>Young Adult</v>
      </c>
      <c r="G86" s="2" t="s">
        <v>338</v>
      </c>
      <c r="H86" s="2" t="s">
        <v>58</v>
      </c>
      <c r="I86" s="2" t="s">
        <v>76</v>
      </c>
      <c r="J86" s="2" t="s">
        <v>26</v>
      </c>
      <c r="K86" s="11">
        <v>45497</v>
      </c>
      <c r="L86" s="11">
        <v>45503</v>
      </c>
      <c r="M86" s="2">
        <v>20000</v>
      </c>
      <c r="N86" s="2" t="s">
        <v>67</v>
      </c>
      <c r="O86" s="2" t="s">
        <v>55</v>
      </c>
    </row>
    <row r="87" spans="3:15">
      <c r="C87" s="3" t="s">
        <v>340</v>
      </c>
      <c r="D87" s="2" t="s">
        <v>341</v>
      </c>
      <c r="E87" s="3">
        <v>71</v>
      </c>
      <c r="F87" t="str">
        <f t="shared" si="1"/>
        <v>Senior</v>
      </c>
      <c r="G87" s="3" t="s">
        <v>32</v>
      </c>
      <c r="H87" s="2" t="s">
        <v>85</v>
      </c>
      <c r="I87" s="2" t="s">
        <v>42</v>
      </c>
      <c r="J87" s="2" t="s">
        <v>48</v>
      </c>
      <c r="K87" s="11">
        <v>45538</v>
      </c>
      <c r="L87" s="11">
        <v>45559</v>
      </c>
      <c r="M87" s="3">
        <v>25000</v>
      </c>
      <c r="N87" s="3" t="s">
        <v>29</v>
      </c>
      <c r="O87" s="3" t="s">
        <v>87</v>
      </c>
    </row>
    <row r="88" spans="3:15">
      <c r="C88" s="2" t="s">
        <v>345</v>
      </c>
      <c r="D88" s="2" t="s">
        <v>346</v>
      </c>
      <c r="E88" s="2">
        <v>89</v>
      </c>
      <c r="F88" t="str">
        <f t="shared" si="1"/>
        <v>Senior</v>
      </c>
      <c r="G88" s="2" t="s">
        <v>14</v>
      </c>
      <c r="H88" s="2" t="s">
        <v>109</v>
      </c>
      <c r="I88" s="2" t="s">
        <v>76</v>
      </c>
      <c r="J88" s="2" t="s">
        <v>35</v>
      </c>
      <c r="K88" s="11">
        <v>45592</v>
      </c>
      <c r="L88" s="11">
        <v>45597</v>
      </c>
      <c r="M88" s="2">
        <v>50000</v>
      </c>
      <c r="N88" s="2" t="s">
        <v>349</v>
      </c>
      <c r="O88" s="2" t="s">
        <v>38</v>
      </c>
    </row>
    <row r="89" spans="3:15">
      <c r="C89" s="2" t="s">
        <v>351</v>
      </c>
      <c r="D89" s="2" t="s">
        <v>352</v>
      </c>
      <c r="E89" s="2">
        <v>43</v>
      </c>
      <c r="F89" t="str">
        <f t="shared" si="1"/>
        <v>Middle Age</v>
      </c>
      <c r="G89" s="2" t="s">
        <v>32</v>
      </c>
      <c r="H89" s="2" t="s">
        <v>109</v>
      </c>
      <c r="I89" s="2" t="s">
        <v>42</v>
      </c>
      <c r="J89" s="2" t="s">
        <v>26</v>
      </c>
      <c r="K89" s="11">
        <v>45402</v>
      </c>
      <c r="L89" s="11">
        <v>45425</v>
      </c>
      <c r="M89" s="2">
        <v>8000</v>
      </c>
      <c r="N89" s="2" t="s">
        <v>20</v>
      </c>
      <c r="O89" s="2" t="s">
        <v>55</v>
      </c>
    </row>
    <row r="90" spans="3:15">
      <c r="C90" s="3" t="s">
        <v>354</v>
      </c>
      <c r="D90" s="2" t="s">
        <v>355</v>
      </c>
      <c r="E90" s="3">
        <v>50</v>
      </c>
      <c r="F90" t="str">
        <f t="shared" si="1"/>
        <v>Middle Age</v>
      </c>
      <c r="G90" s="3" t="s">
        <v>14</v>
      </c>
      <c r="H90" s="2" t="s">
        <v>15</v>
      </c>
      <c r="I90" s="2" t="s">
        <v>34</v>
      </c>
      <c r="J90" s="2" t="s">
        <v>53</v>
      </c>
      <c r="K90" s="11">
        <v>45409</v>
      </c>
      <c r="L90" s="11">
        <v>45420</v>
      </c>
      <c r="M90" s="3">
        <v>8000</v>
      </c>
      <c r="N90" s="3" t="s">
        <v>29</v>
      </c>
      <c r="O90" s="3" t="s">
        <v>38</v>
      </c>
    </row>
    <row r="91" spans="3:15">
      <c r="C91" s="2" t="s">
        <v>357</v>
      </c>
      <c r="D91" s="2" t="s">
        <v>358</v>
      </c>
      <c r="E91" s="2">
        <v>12</v>
      </c>
      <c r="F91" t="str">
        <f t="shared" si="1"/>
        <v>Child</v>
      </c>
      <c r="G91" s="2" t="s">
        <v>32</v>
      </c>
      <c r="H91" s="2" t="s">
        <v>85</v>
      </c>
      <c r="I91" s="2" t="s">
        <v>16</v>
      </c>
      <c r="J91" s="2" t="s">
        <v>48</v>
      </c>
      <c r="K91" s="11">
        <v>45426</v>
      </c>
      <c r="L91" s="11">
        <v>45441</v>
      </c>
      <c r="M91" s="2">
        <v>25000</v>
      </c>
      <c r="N91" s="2" t="s">
        <v>20</v>
      </c>
      <c r="O91" s="2" t="s">
        <v>55</v>
      </c>
    </row>
    <row r="92" spans="3:15">
      <c r="C92" s="3" t="s">
        <v>361</v>
      </c>
      <c r="D92" s="2" t="s">
        <v>362</v>
      </c>
      <c r="E92" s="3">
        <v>82</v>
      </c>
      <c r="F92" t="str">
        <f t="shared" si="1"/>
        <v>Senior</v>
      </c>
      <c r="G92" s="3" t="s">
        <v>32</v>
      </c>
      <c r="H92" s="2" t="s">
        <v>109</v>
      </c>
      <c r="I92" s="2" t="s">
        <v>25</v>
      </c>
      <c r="J92" s="2" t="s">
        <v>48</v>
      </c>
      <c r="K92" s="11">
        <v>45573</v>
      </c>
      <c r="L92" s="11">
        <v>45525</v>
      </c>
      <c r="M92" s="3">
        <v>20000</v>
      </c>
      <c r="N92" s="3" t="s">
        <v>29</v>
      </c>
      <c r="O92" s="3" t="s">
        <v>55</v>
      </c>
    </row>
    <row r="93" spans="3:15">
      <c r="C93" s="2" t="s">
        <v>364</v>
      </c>
      <c r="D93" s="2" t="s">
        <v>365</v>
      </c>
      <c r="E93" s="2">
        <v>48</v>
      </c>
      <c r="F93" t="str">
        <f t="shared" si="1"/>
        <v>Middle Age</v>
      </c>
      <c r="G93" s="2" t="s">
        <v>14</v>
      </c>
      <c r="H93" s="2" t="s">
        <v>85</v>
      </c>
      <c r="I93" s="2" t="s">
        <v>76</v>
      </c>
      <c r="J93" s="2" t="s">
        <v>53</v>
      </c>
      <c r="K93" s="11">
        <v>45385</v>
      </c>
      <c r="L93" s="11">
        <v>45400</v>
      </c>
      <c r="M93" s="2">
        <v>75000</v>
      </c>
      <c r="N93" s="2" t="s">
        <v>37</v>
      </c>
      <c r="O93" s="2" t="s">
        <v>87</v>
      </c>
    </row>
    <row r="94" spans="3:15">
      <c r="C94" s="3" t="s">
        <v>368</v>
      </c>
      <c r="D94" s="2" t="s">
        <v>369</v>
      </c>
      <c r="E94" s="3">
        <v>79</v>
      </c>
      <c r="F94" t="str">
        <f t="shared" si="1"/>
        <v>Senior</v>
      </c>
      <c r="G94" s="3" t="s">
        <v>32</v>
      </c>
      <c r="H94" s="2" t="s">
        <v>70</v>
      </c>
      <c r="I94" s="2" t="s">
        <v>132</v>
      </c>
      <c r="J94" s="2" t="s">
        <v>53</v>
      </c>
      <c r="K94" s="11">
        <v>45309</v>
      </c>
      <c r="L94" s="11">
        <v>45339</v>
      </c>
      <c r="M94" s="3">
        <v>50000</v>
      </c>
      <c r="N94" s="3" t="s">
        <v>168</v>
      </c>
      <c r="O94" s="3" t="s">
        <v>38</v>
      </c>
    </row>
    <row r="95" spans="3:15">
      <c r="C95" s="2" t="s">
        <v>371</v>
      </c>
      <c r="D95" s="2" t="s">
        <v>372</v>
      </c>
      <c r="E95" s="2">
        <v>2</v>
      </c>
      <c r="F95" t="str">
        <f t="shared" si="1"/>
        <v>Child</v>
      </c>
      <c r="G95" s="2" t="s">
        <v>32</v>
      </c>
      <c r="H95" s="2" t="s">
        <v>85</v>
      </c>
      <c r="I95" s="2" t="s">
        <v>42</v>
      </c>
      <c r="J95" s="2" t="s">
        <v>99</v>
      </c>
      <c r="K95" s="11">
        <v>45322</v>
      </c>
      <c r="L95" s="11">
        <v>45346</v>
      </c>
      <c r="M95" s="2">
        <v>15000</v>
      </c>
      <c r="N95" s="2" t="s">
        <v>29</v>
      </c>
      <c r="O95" s="2" t="s">
        <v>38</v>
      </c>
    </row>
    <row r="96" spans="3:15">
      <c r="C96" s="3" t="s">
        <v>375</v>
      </c>
      <c r="D96" s="2" t="s">
        <v>376</v>
      </c>
      <c r="E96" s="3">
        <v>55</v>
      </c>
      <c r="F96" t="str">
        <f t="shared" si="1"/>
        <v>Middle Age</v>
      </c>
      <c r="G96" s="3" t="s">
        <v>14</v>
      </c>
      <c r="H96" s="2" t="s">
        <v>33</v>
      </c>
      <c r="I96" s="2" t="s">
        <v>16</v>
      </c>
      <c r="J96" s="2" t="s">
        <v>35</v>
      </c>
      <c r="K96" s="11">
        <v>45447</v>
      </c>
      <c r="L96" s="11">
        <v>45393</v>
      </c>
      <c r="M96" s="3">
        <v>15000</v>
      </c>
      <c r="N96" s="3" t="s">
        <v>67</v>
      </c>
      <c r="O96" s="3" t="s">
        <v>38</v>
      </c>
    </row>
    <row r="97" spans="3:15">
      <c r="C97" s="2" t="s">
        <v>379</v>
      </c>
      <c r="D97" s="2" t="s">
        <v>380</v>
      </c>
      <c r="E97" s="2">
        <v>6</v>
      </c>
      <c r="F97" t="str">
        <f t="shared" si="1"/>
        <v>Child</v>
      </c>
      <c r="G97" s="2" t="s">
        <v>14</v>
      </c>
      <c r="H97" s="2" t="s">
        <v>33</v>
      </c>
      <c r="I97" s="2" t="s">
        <v>16</v>
      </c>
      <c r="J97" s="2" t="s">
        <v>17</v>
      </c>
      <c r="K97" s="11">
        <v>45397</v>
      </c>
      <c r="L97" s="11">
        <v>45404</v>
      </c>
      <c r="M97" s="2">
        <v>75000</v>
      </c>
      <c r="N97" s="2" t="s">
        <v>20</v>
      </c>
      <c r="O97" s="2" t="s">
        <v>55</v>
      </c>
    </row>
    <row r="98" spans="3:15">
      <c r="C98" s="3" t="s">
        <v>384</v>
      </c>
      <c r="D98" s="2" t="s">
        <v>385</v>
      </c>
      <c r="E98" s="3">
        <v>61</v>
      </c>
      <c r="F98" t="str">
        <f t="shared" si="1"/>
        <v>Senior</v>
      </c>
      <c r="G98" s="3" t="s">
        <v>32</v>
      </c>
      <c r="H98" s="2" t="s">
        <v>70</v>
      </c>
      <c r="I98" s="2" t="s">
        <v>42</v>
      </c>
      <c r="J98" s="2" t="s">
        <v>26</v>
      </c>
      <c r="K98" s="11">
        <v>45464</v>
      </c>
      <c r="L98" s="11">
        <v>45472</v>
      </c>
      <c r="M98" s="3">
        <v>20000</v>
      </c>
      <c r="N98" s="3" t="s">
        <v>20</v>
      </c>
      <c r="O98" s="3" t="s">
        <v>21</v>
      </c>
    </row>
    <row r="99" spans="3:15">
      <c r="C99" s="2" t="s">
        <v>388</v>
      </c>
      <c r="D99" s="2" t="s">
        <v>389</v>
      </c>
      <c r="E99" s="2">
        <v>75</v>
      </c>
      <c r="F99" t="str">
        <f t="shared" si="1"/>
        <v>Senior</v>
      </c>
      <c r="G99" s="2" t="s">
        <v>14</v>
      </c>
      <c r="H99" s="2" t="s">
        <v>70</v>
      </c>
      <c r="I99" s="2" t="s">
        <v>25</v>
      </c>
      <c r="J99" s="2" t="s">
        <v>17</v>
      </c>
      <c r="K99" s="11">
        <v>45496</v>
      </c>
      <c r="L99" s="11">
        <v>45526</v>
      </c>
      <c r="M99" s="2">
        <v>20000</v>
      </c>
      <c r="N99" s="2" t="s">
        <v>67</v>
      </c>
      <c r="O99" s="2" t="s">
        <v>87</v>
      </c>
    </row>
    <row r="100" spans="3:15">
      <c r="C100" s="3" t="s">
        <v>391</v>
      </c>
      <c r="D100" s="2" t="s">
        <v>392</v>
      </c>
      <c r="E100" s="3">
        <v>43</v>
      </c>
      <c r="F100" t="str">
        <f t="shared" si="1"/>
        <v>Middle Age</v>
      </c>
      <c r="G100" s="3" t="s">
        <v>32</v>
      </c>
      <c r="H100" s="2" t="s">
        <v>70</v>
      </c>
      <c r="I100" s="2" t="s">
        <v>34</v>
      </c>
      <c r="J100" s="2" t="s">
        <v>53</v>
      </c>
      <c r="K100" s="11">
        <v>45574</v>
      </c>
      <c r="L100" s="11">
        <v>45546</v>
      </c>
      <c r="M100" s="3">
        <v>50000</v>
      </c>
      <c r="N100" s="3" t="s">
        <v>20</v>
      </c>
      <c r="O100" s="3" t="s">
        <v>87</v>
      </c>
    </row>
    <row r="101" spans="3:15">
      <c r="C101" s="2" t="s">
        <v>395</v>
      </c>
      <c r="D101" s="2" t="s">
        <v>396</v>
      </c>
      <c r="E101" s="2">
        <v>12</v>
      </c>
      <c r="F101" t="str">
        <f t="shared" si="1"/>
        <v>Child</v>
      </c>
      <c r="G101" s="2" t="s">
        <v>32</v>
      </c>
      <c r="H101" s="2" t="s">
        <v>33</v>
      </c>
      <c r="I101" s="2" t="s">
        <v>132</v>
      </c>
      <c r="J101" s="2" t="s">
        <v>53</v>
      </c>
      <c r="K101" s="11">
        <v>45483</v>
      </c>
      <c r="L101" s="11">
        <v>45506</v>
      </c>
      <c r="M101" s="2">
        <v>5000</v>
      </c>
      <c r="N101" s="2" t="s">
        <v>29</v>
      </c>
      <c r="O101" s="2" t="s">
        <v>87</v>
      </c>
    </row>
    <row r="102" spans="3:15">
      <c r="C102" s="3" t="s">
        <v>398</v>
      </c>
      <c r="D102" s="2" t="s">
        <v>399</v>
      </c>
      <c r="E102" s="3">
        <v>76</v>
      </c>
      <c r="F102" t="str">
        <f t="shared" si="1"/>
        <v>Senior</v>
      </c>
      <c r="G102" s="3" t="s">
        <v>32</v>
      </c>
      <c r="H102" s="2" t="s">
        <v>52</v>
      </c>
      <c r="I102" s="2" t="s">
        <v>42</v>
      </c>
      <c r="J102" s="2" t="s">
        <v>26</v>
      </c>
      <c r="K102" s="11">
        <v>45427</v>
      </c>
      <c r="L102" s="11">
        <v>45440</v>
      </c>
      <c r="M102" s="3">
        <v>12000</v>
      </c>
      <c r="N102" s="3" t="s">
        <v>29</v>
      </c>
      <c r="O102" s="3" t="s">
        <v>87</v>
      </c>
    </row>
    <row r="103" spans="3:15">
      <c r="C103" s="2" t="s">
        <v>400</v>
      </c>
      <c r="D103" s="2" t="s">
        <v>401</v>
      </c>
      <c r="E103" s="2">
        <v>11</v>
      </c>
      <c r="F103" t="str">
        <f t="shared" si="1"/>
        <v>Child</v>
      </c>
      <c r="G103" s="2" t="s">
        <v>14</v>
      </c>
      <c r="H103" s="2" t="s">
        <v>52</v>
      </c>
      <c r="I103" s="2" t="s">
        <v>76</v>
      </c>
      <c r="J103" s="2" t="s">
        <v>104</v>
      </c>
      <c r="K103" s="11">
        <v>45333</v>
      </c>
      <c r="L103" s="11">
        <v>45355</v>
      </c>
      <c r="M103" s="2">
        <v>15000</v>
      </c>
      <c r="N103" s="2" t="s">
        <v>20</v>
      </c>
      <c r="O103" s="2" t="s">
        <v>87</v>
      </c>
    </row>
    <row r="104" spans="3:15">
      <c r="C104" s="3" t="s">
        <v>403</v>
      </c>
      <c r="D104" s="2" t="s">
        <v>404</v>
      </c>
      <c r="E104" s="3">
        <v>29</v>
      </c>
      <c r="F104" t="str">
        <f t="shared" si="1"/>
        <v>Young Adult</v>
      </c>
      <c r="G104" s="3" t="s">
        <v>14</v>
      </c>
      <c r="H104" s="2" t="s">
        <v>33</v>
      </c>
      <c r="I104" s="2" t="s">
        <v>25</v>
      </c>
      <c r="J104" s="2" t="s">
        <v>17</v>
      </c>
      <c r="K104" s="11">
        <v>45575</v>
      </c>
      <c r="L104" s="11">
        <v>45584</v>
      </c>
      <c r="M104" s="3">
        <v>75000</v>
      </c>
      <c r="N104" s="3" t="s">
        <v>37</v>
      </c>
      <c r="O104" s="3" t="s">
        <v>55</v>
      </c>
    </row>
    <row r="105" spans="3:15">
      <c r="C105" s="2" t="s">
        <v>407</v>
      </c>
      <c r="D105" s="2" t="s">
        <v>408</v>
      </c>
      <c r="E105" s="2">
        <v>44</v>
      </c>
      <c r="F105" t="str">
        <f t="shared" si="1"/>
        <v>Middle Age</v>
      </c>
      <c r="G105" s="2" t="s">
        <v>32</v>
      </c>
      <c r="H105" s="2" t="s">
        <v>15</v>
      </c>
      <c r="I105" s="4" t="s">
        <v>76</v>
      </c>
      <c r="J105" s="2" t="s">
        <v>26</v>
      </c>
      <c r="K105" s="11">
        <v>45605</v>
      </c>
      <c r="L105" s="11">
        <v>45570</v>
      </c>
      <c r="M105" s="2">
        <v>12000</v>
      </c>
      <c r="N105" s="2" t="s">
        <v>29</v>
      </c>
      <c r="O105" s="2" t="s">
        <v>38</v>
      </c>
    </row>
    <row r="106" spans="3:15">
      <c r="C106" s="3" t="s">
        <v>411</v>
      </c>
      <c r="D106" s="2" t="s">
        <v>412</v>
      </c>
      <c r="E106" s="3">
        <v>20</v>
      </c>
      <c r="F106" t="str">
        <f t="shared" si="1"/>
        <v>Young Adult</v>
      </c>
      <c r="G106" s="3" t="s">
        <v>14</v>
      </c>
      <c r="H106" s="2" t="s">
        <v>58</v>
      </c>
      <c r="I106" s="2" t="s">
        <v>42</v>
      </c>
      <c r="J106" s="2" t="s">
        <v>53</v>
      </c>
      <c r="K106" s="11">
        <v>45366</v>
      </c>
      <c r="L106" s="11">
        <v>45368</v>
      </c>
      <c r="M106" s="3">
        <v>12000</v>
      </c>
      <c r="N106" s="3" t="s">
        <v>67</v>
      </c>
      <c r="O106" s="3" t="s">
        <v>87</v>
      </c>
    </row>
    <row r="107" spans="3:15">
      <c r="C107" s="2" t="s">
        <v>413</v>
      </c>
      <c r="D107" s="2" t="s">
        <v>414</v>
      </c>
      <c r="E107" s="2">
        <v>32</v>
      </c>
      <c r="F107" t="str">
        <f t="shared" si="1"/>
        <v>Young Adult</v>
      </c>
      <c r="G107" s="2" t="s">
        <v>32</v>
      </c>
      <c r="H107" s="2" t="s">
        <v>15</v>
      </c>
      <c r="I107" s="2" t="s">
        <v>132</v>
      </c>
      <c r="J107" s="2" t="s">
        <v>17</v>
      </c>
      <c r="K107" s="11">
        <v>45540</v>
      </c>
      <c r="L107" s="11">
        <v>45435</v>
      </c>
      <c r="M107" s="2">
        <v>8000</v>
      </c>
      <c r="N107" s="2" t="s">
        <v>20</v>
      </c>
      <c r="O107" s="2" t="s">
        <v>55</v>
      </c>
    </row>
    <row r="108" spans="3:15">
      <c r="C108" s="3" t="s">
        <v>417</v>
      </c>
      <c r="D108" s="2" t="s">
        <v>418</v>
      </c>
      <c r="E108" s="3">
        <v>88</v>
      </c>
      <c r="F108" t="str">
        <f t="shared" si="1"/>
        <v>Senior</v>
      </c>
      <c r="G108" s="3" t="s">
        <v>14</v>
      </c>
      <c r="H108" s="2" t="s">
        <v>58</v>
      </c>
      <c r="I108" s="2" t="s">
        <v>76</v>
      </c>
      <c r="J108" s="2" t="s">
        <v>53</v>
      </c>
      <c r="K108" s="11">
        <v>45358</v>
      </c>
      <c r="L108" s="11">
        <v>45481</v>
      </c>
      <c r="M108" s="3">
        <v>100000</v>
      </c>
      <c r="N108" s="3" t="s">
        <v>29</v>
      </c>
      <c r="O108" s="3" t="s">
        <v>55</v>
      </c>
    </row>
    <row r="109" spans="3:15">
      <c r="C109" s="2" t="s">
        <v>420</v>
      </c>
      <c r="D109" s="2" t="s">
        <v>421</v>
      </c>
      <c r="E109" s="2">
        <v>66</v>
      </c>
      <c r="F109" t="str">
        <f t="shared" si="1"/>
        <v>Senior</v>
      </c>
      <c r="G109" s="2" t="s">
        <v>32</v>
      </c>
      <c r="H109" s="2" t="s">
        <v>58</v>
      </c>
      <c r="I109" s="2" t="s">
        <v>76</v>
      </c>
      <c r="J109" s="2" t="s">
        <v>99</v>
      </c>
      <c r="K109" s="11">
        <v>45569</v>
      </c>
      <c r="L109" s="11">
        <v>45407</v>
      </c>
      <c r="M109" s="2">
        <v>15000</v>
      </c>
      <c r="N109" s="2" t="s">
        <v>67</v>
      </c>
      <c r="O109" s="2" t="s">
        <v>38</v>
      </c>
    </row>
    <row r="110" spans="3:15">
      <c r="C110" s="3" t="s">
        <v>424</v>
      </c>
      <c r="D110" s="2" t="s">
        <v>425</v>
      </c>
      <c r="E110" s="3">
        <v>44</v>
      </c>
      <c r="F110" t="str">
        <f t="shared" si="1"/>
        <v>Middle Age</v>
      </c>
      <c r="G110" s="3" t="s">
        <v>32</v>
      </c>
      <c r="H110" s="2" t="s">
        <v>775</v>
      </c>
      <c r="I110" s="2" t="s">
        <v>34</v>
      </c>
      <c r="J110" s="2" t="s">
        <v>17</v>
      </c>
      <c r="K110" s="11">
        <v>45343</v>
      </c>
      <c r="L110" s="11">
        <v>45361</v>
      </c>
      <c r="M110" s="3">
        <v>5000</v>
      </c>
      <c r="N110" s="3" t="s">
        <v>29</v>
      </c>
      <c r="O110" s="3" t="s">
        <v>38</v>
      </c>
    </row>
    <row r="111" spans="3:15">
      <c r="C111" s="2" t="s">
        <v>427</v>
      </c>
      <c r="D111" s="2" t="s">
        <v>428</v>
      </c>
      <c r="E111" s="2">
        <v>56</v>
      </c>
      <c r="F111" t="str">
        <f t="shared" si="1"/>
        <v>Middle Age</v>
      </c>
      <c r="G111" s="2" t="s">
        <v>14</v>
      </c>
      <c r="H111" s="2" t="s">
        <v>33</v>
      </c>
      <c r="I111" s="2" t="s">
        <v>132</v>
      </c>
      <c r="J111" s="2" t="s">
        <v>17</v>
      </c>
      <c r="K111" s="11">
        <v>45300</v>
      </c>
      <c r="L111" s="11">
        <v>45308</v>
      </c>
      <c r="M111" s="2">
        <v>8000</v>
      </c>
      <c r="N111" s="2" t="s">
        <v>20</v>
      </c>
      <c r="O111" s="2" t="s">
        <v>38</v>
      </c>
    </row>
    <row r="112" spans="3:15">
      <c r="C112" s="3" t="s">
        <v>431</v>
      </c>
      <c r="D112" s="2" t="s">
        <v>432</v>
      </c>
      <c r="E112" s="3">
        <v>3</v>
      </c>
      <c r="F112" t="str">
        <f t="shared" si="1"/>
        <v>Child</v>
      </c>
      <c r="G112" s="3" t="s">
        <v>32</v>
      </c>
      <c r="H112" s="2" t="s">
        <v>70</v>
      </c>
      <c r="I112" s="2" t="s">
        <v>25</v>
      </c>
      <c r="J112" s="2" t="s">
        <v>99</v>
      </c>
      <c r="K112" s="11">
        <v>45542</v>
      </c>
      <c r="L112" s="11">
        <v>45507</v>
      </c>
      <c r="M112" s="3">
        <v>25000</v>
      </c>
      <c r="N112" s="3" t="s">
        <v>29</v>
      </c>
      <c r="O112" s="3" t="s">
        <v>21</v>
      </c>
    </row>
    <row r="113" spans="3:15">
      <c r="C113" s="2" t="s">
        <v>435</v>
      </c>
      <c r="D113" s="2" t="s">
        <v>436</v>
      </c>
      <c r="E113" s="2">
        <v>7</v>
      </c>
      <c r="F113" t="str">
        <f t="shared" si="1"/>
        <v>Child</v>
      </c>
      <c r="G113" s="2" t="s">
        <v>32</v>
      </c>
      <c r="H113" s="2" t="s">
        <v>15</v>
      </c>
      <c r="I113" s="2" t="s">
        <v>76</v>
      </c>
      <c r="J113" s="2" t="s">
        <v>17</v>
      </c>
      <c r="K113" s="11">
        <v>45554</v>
      </c>
      <c r="L113" s="11">
        <v>45569</v>
      </c>
      <c r="M113" s="2">
        <v>25000</v>
      </c>
      <c r="N113" s="2" t="s">
        <v>20</v>
      </c>
      <c r="O113" s="2" t="s">
        <v>87</v>
      </c>
    </row>
    <row r="114" spans="3:15">
      <c r="C114" s="3" t="s">
        <v>439</v>
      </c>
      <c r="D114" s="2" t="s">
        <v>440</v>
      </c>
      <c r="E114" s="3">
        <v>85</v>
      </c>
      <c r="F114" t="str">
        <f t="shared" si="1"/>
        <v>Senior</v>
      </c>
      <c r="G114" s="3" t="s">
        <v>32</v>
      </c>
      <c r="H114" s="2" t="s">
        <v>109</v>
      </c>
      <c r="I114" s="2" t="s">
        <v>132</v>
      </c>
      <c r="J114" s="2" t="s">
        <v>48</v>
      </c>
      <c r="K114" s="11">
        <v>45402</v>
      </c>
      <c r="L114" s="11">
        <v>45424</v>
      </c>
      <c r="M114" s="3">
        <v>15000</v>
      </c>
      <c r="N114" s="3" t="s">
        <v>775</v>
      </c>
      <c r="O114" s="3" t="s">
        <v>87</v>
      </c>
    </row>
    <row r="115" spans="3:15">
      <c r="C115" s="2" t="s">
        <v>442</v>
      </c>
      <c r="D115" s="2" t="s">
        <v>103</v>
      </c>
      <c r="E115" s="2">
        <v>79</v>
      </c>
      <c r="F115" t="str">
        <f t="shared" si="1"/>
        <v>Senior</v>
      </c>
      <c r="G115" s="2" t="s">
        <v>32</v>
      </c>
      <c r="H115" s="2" t="s">
        <v>33</v>
      </c>
      <c r="I115" s="2" t="s">
        <v>42</v>
      </c>
      <c r="J115" s="2" t="s">
        <v>99</v>
      </c>
      <c r="K115" s="11">
        <v>45575</v>
      </c>
      <c r="L115" s="11">
        <v>45589</v>
      </c>
      <c r="M115" s="2">
        <v>15000</v>
      </c>
      <c r="N115" s="2" t="s">
        <v>20</v>
      </c>
      <c r="O115" s="2" t="s">
        <v>38</v>
      </c>
    </row>
    <row r="116" spans="3:15">
      <c r="C116" s="3" t="s">
        <v>446</v>
      </c>
      <c r="D116" s="2" t="s">
        <v>392</v>
      </c>
      <c r="E116" s="3">
        <v>16</v>
      </c>
      <c r="F116" t="str">
        <f t="shared" si="1"/>
        <v>Child</v>
      </c>
      <c r="G116" s="3" t="s">
        <v>14</v>
      </c>
      <c r="H116" s="2" t="s">
        <v>15</v>
      </c>
      <c r="I116" s="2" t="s">
        <v>16</v>
      </c>
      <c r="J116" s="2" t="s">
        <v>17</v>
      </c>
      <c r="K116" s="11">
        <v>45451</v>
      </c>
      <c r="L116" s="11">
        <v>45537</v>
      </c>
      <c r="M116" s="3">
        <v>8000</v>
      </c>
      <c r="N116" s="3" t="s">
        <v>67</v>
      </c>
      <c r="O116" s="3" t="s">
        <v>38</v>
      </c>
    </row>
    <row r="117" spans="3:15">
      <c r="C117" s="2" t="s">
        <v>449</v>
      </c>
      <c r="D117" s="2" t="s">
        <v>69</v>
      </c>
      <c r="E117" s="2">
        <v>27</v>
      </c>
      <c r="F117" t="str">
        <f t="shared" si="1"/>
        <v>Young Adult</v>
      </c>
      <c r="G117" s="2" t="s">
        <v>14</v>
      </c>
      <c r="H117" s="2" t="s">
        <v>52</v>
      </c>
      <c r="I117" s="2" t="s">
        <v>127</v>
      </c>
      <c r="J117" s="2" t="s">
        <v>53</v>
      </c>
      <c r="K117" s="11">
        <v>45524</v>
      </c>
      <c r="L117" s="11">
        <v>45544</v>
      </c>
      <c r="M117" s="2">
        <v>20000</v>
      </c>
      <c r="N117" s="2" t="s">
        <v>67</v>
      </c>
      <c r="O117" s="2" t="s">
        <v>21</v>
      </c>
    </row>
    <row r="118" spans="3:15">
      <c r="C118" s="3" t="s">
        <v>452</v>
      </c>
      <c r="D118" s="2" t="s">
        <v>150</v>
      </c>
      <c r="E118" s="3">
        <v>60</v>
      </c>
      <c r="F118" t="str">
        <f t="shared" si="1"/>
        <v>Senior</v>
      </c>
      <c r="G118" s="3" t="s">
        <v>32</v>
      </c>
      <c r="H118" s="2" t="s">
        <v>70</v>
      </c>
      <c r="I118" s="2" t="s">
        <v>76</v>
      </c>
      <c r="J118" s="2" t="s">
        <v>99</v>
      </c>
      <c r="K118" s="11">
        <v>45417</v>
      </c>
      <c r="L118" s="11">
        <v>45443</v>
      </c>
      <c r="M118" s="3">
        <v>75000</v>
      </c>
      <c r="N118" s="3" t="s">
        <v>20</v>
      </c>
      <c r="O118" s="3" t="s">
        <v>55</v>
      </c>
    </row>
    <row r="119" spans="3:15">
      <c r="C119" s="2" t="s">
        <v>455</v>
      </c>
      <c r="D119" s="2" t="s">
        <v>432</v>
      </c>
      <c r="E119" s="2">
        <v>22</v>
      </c>
      <c r="F119" t="str">
        <f t="shared" si="1"/>
        <v>Young Adult</v>
      </c>
      <c r="G119" s="2" t="s">
        <v>14</v>
      </c>
      <c r="H119" s="2" t="s">
        <v>70</v>
      </c>
      <c r="I119" s="2" t="s">
        <v>127</v>
      </c>
      <c r="J119" s="2" t="s">
        <v>17</v>
      </c>
      <c r="K119" s="11">
        <v>45560</v>
      </c>
      <c r="L119" s="11">
        <v>45579</v>
      </c>
      <c r="M119" s="2">
        <v>35000</v>
      </c>
      <c r="N119" s="2" t="s">
        <v>67</v>
      </c>
      <c r="O119" s="2" t="s">
        <v>38</v>
      </c>
    </row>
    <row r="120" spans="3:15">
      <c r="C120" s="3" t="s">
        <v>458</v>
      </c>
      <c r="D120" s="2" t="s">
        <v>459</v>
      </c>
      <c r="E120" s="3">
        <v>24</v>
      </c>
      <c r="F120" t="str">
        <f t="shared" si="1"/>
        <v>Young Adult</v>
      </c>
      <c r="G120" s="3" t="s">
        <v>338</v>
      </c>
      <c r="H120" s="2" t="s">
        <v>109</v>
      </c>
      <c r="I120" s="2" t="s">
        <v>132</v>
      </c>
      <c r="J120" s="2" t="s">
        <v>104</v>
      </c>
      <c r="K120" s="11">
        <v>45600</v>
      </c>
      <c r="L120" s="11">
        <v>45418</v>
      </c>
      <c r="M120" s="3">
        <v>75000</v>
      </c>
      <c r="N120" s="3" t="s">
        <v>67</v>
      </c>
      <c r="O120" s="3" t="s">
        <v>87</v>
      </c>
    </row>
    <row r="121" spans="3:15">
      <c r="C121" s="2" t="s">
        <v>461</v>
      </c>
      <c r="D121" s="2" t="s">
        <v>462</v>
      </c>
      <c r="E121" s="2">
        <v>81</v>
      </c>
      <c r="F121" t="str">
        <f t="shared" si="1"/>
        <v>Senior</v>
      </c>
      <c r="G121" s="2" t="s">
        <v>32</v>
      </c>
      <c r="H121" s="2" t="s">
        <v>58</v>
      </c>
      <c r="I121" s="2" t="s">
        <v>127</v>
      </c>
      <c r="J121" s="2" t="s">
        <v>99</v>
      </c>
      <c r="K121" s="11">
        <v>45529</v>
      </c>
      <c r="L121" s="11">
        <v>45535</v>
      </c>
      <c r="M121" s="2">
        <v>25000</v>
      </c>
      <c r="N121" s="2" t="s">
        <v>67</v>
      </c>
      <c r="O121" s="2" t="s">
        <v>55</v>
      </c>
    </row>
    <row r="122" spans="3:15">
      <c r="C122" s="3" t="s">
        <v>465</v>
      </c>
      <c r="D122" s="2" t="s">
        <v>428</v>
      </c>
      <c r="E122" s="3">
        <v>36</v>
      </c>
      <c r="F122" t="str">
        <f t="shared" si="1"/>
        <v>Young Adult</v>
      </c>
      <c r="G122" s="3" t="s">
        <v>14</v>
      </c>
      <c r="H122" s="2" t="s">
        <v>109</v>
      </c>
      <c r="I122" s="2" t="s">
        <v>127</v>
      </c>
      <c r="J122" s="2" t="s">
        <v>35</v>
      </c>
      <c r="K122" s="11">
        <v>45344</v>
      </c>
      <c r="L122" s="11">
        <v>45368</v>
      </c>
      <c r="M122" s="3">
        <v>50000</v>
      </c>
      <c r="N122" s="3" t="s">
        <v>29</v>
      </c>
      <c r="O122" s="3" t="s">
        <v>21</v>
      </c>
    </row>
    <row r="123" spans="3:15">
      <c r="C123" s="3" t="s">
        <v>468</v>
      </c>
      <c r="D123" s="2" t="s">
        <v>469</v>
      </c>
      <c r="E123" s="3">
        <v>59</v>
      </c>
      <c r="F123" t="str">
        <f t="shared" si="1"/>
        <v>Middle Age</v>
      </c>
      <c r="G123" s="3" t="s">
        <v>14</v>
      </c>
      <c r="H123" s="2" t="s">
        <v>15</v>
      </c>
      <c r="I123" s="2" t="s">
        <v>127</v>
      </c>
      <c r="J123" s="2" t="s">
        <v>26</v>
      </c>
      <c r="K123" s="11">
        <v>45306</v>
      </c>
      <c r="L123" s="11">
        <v>45323</v>
      </c>
      <c r="M123" s="3">
        <v>0</v>
      </c>
      <c r="N123" s="3" t="s">
        <v>67</v>
      </c>
      <c r="O123" s="3" t="s">
        <v>38</v>
      </c>
    </row>
    <row r="124" spans="3:15">
      <c r="C124" s="2" t="s">
        <v>472</v>
      </c>
      <c r="D124" s="2" t="s">
        <v>473</v>
      </c>
      <c r="E124" s="2">
        <v>2</v>
      </c>
      <c r="F124" t="str">
        <f t="shared" si="1"/>
        <v>Child</v>
      </c>
      <c r="G124" s="2" t="s">
        <v>775</v>
      </c>
      <c r="H124" s="2" t="s">
        <v>70</v>
      </c>
      <c r="I124" s="2" t="s">
        <v>16</v>
      </c>
      <c r="J124" s="2" t="s">
        <v>35</v>
      </c>
      <c r="K124" s="11">
        <v>45301</v>
      </c>
      <c r="L124" s="11">
        <v>45575</v>
      </c>
      <c r="M124" s="2">
        <v>75000</v>
      </c>
      <c r="N124" s="2" t="s">
        <v>20</v>
      </c>
      <c r="O124" s="2" t="s">
        <v>55</v>
      </c>
    </row>
    <row r="125" spans="3:15">
      <c r="C125" s="3" t="s">
        <v>474</v>
      </c>
      <c r="D125" s="2" t="s">
        <v>475</v>
      </c>
      <c r="E125" s="3">
        <v>74</v>
      </c>
      <c r="F125" t="str">
        <f t="shared" si="1"/>
        <v>Senior</v>
      </c>
      <c r="G125" s="3" t="s">
        <v>14</v>
      </c>
      <c r="H125" s="2" t="s">
        <v>109</v>
      </c>
      <c r="I125" s="2" t="s">
        <v>42</v>
      </c>
      <c r="J125" s="2" t="s">
        <v>17</v>
      </c>
      <c r="K125" s="11">
        <v>45371</v>
      </c>
      <c r="L125" s="11">
        <v>45398</v>
      </c>
      <c r="M125" s="3">
        <v>5000</v>
      </c>
      <c r="N125" s="3" t="s">
        <v>20</v>
      </c>
      <c r="O125" s="3" t="s">
        <v>21</v>
      </c>
    </row>
    <row r="126" spans="3:15">
      <c r="C126" s="2" t="s">
        <v>476</v>
      </c>
      <c r="D126" s="2" t="s">
        <v>477</v>
      </c>
      <c r="E126" s="2" t="s">
        <v>775</v>
      </c>
      <c r="F126" t="str">
        <f t="shared" si="1"/>
        <v>Unknown</v>
      </c>
      <c r="G126" s="2" t="s">
        <v>32</v>
      </c>
      <c r="H126" s="2" t="s">
        <v>52</v>
      </c>
      <c r="I126" s="2" t="s">
        <v>127</v>
      </c>
      <c r="J126" s="2" t="s">
        <v>53</v>
      </c>
      <c r="K126" s="11">
        <v>45591</v>
      </c>
      <c r="L126" s="11">
        <v>45620</v>
      </c>
      <c r="M126" s="2">
        <v>75000</v>
      </c>
      <c r="N126" s="2" t="s">
        <v>37</v>
      </c>
      <c r="O126" s="2" t="s">
        <v>38</v>
      </c>
    </row>
    <row r="127" spans="3:15">
      <c r="C127" s="3" t="s">
        <v>480</v>
      </c>
      <c r="D127" s="2" t="s">
        <v>481</v>
      </c>
      <c r="E127" s="3">
        <v>59</v>
      </c>
      <c r="F127" t="str">
        <f t="shared" si="1"/>
        <v>Middle Age</v>
      </c>
      <c r="G127" s="3" t="s">
        <v>32</v>
      </c>
      <c r="H127" s="2" t="s">
        <v>15</v>
      </c>
      <c r="I127" s="2" t="s">
        <v>42</v>
      </c>
      <c r="J127" s="2" t="s">
        <v>26</v>
      </c>
      <c r="K127" s="11">
        <v>45344</v>
      </c>
      <c r="L127" s="11">
        <v>45367</v>
      </c>
      <c r="M127" s="3">
        <v>5000</v>
      </c>
      <c r="N127" s="3" t="s">
        <v>20</v>
      </c>
      <c r="O127" s="3" t="s">
        <v>55</v>
      </c>
    </row>
    <row r="128" spans="3:15">
      <c r="C128" s="2" t="s">
        <v>482</v>
      </c>
      <c r="D128" s="2" t="s">
        <v>103</v>
      </c>
      <c r="E128" s="2">
        <v>37</v>
      </c>
      <c r="F128" t="str">
        <f t="shared" si="1"/>
        <v>Young Adult</v>
      </c>
      <c r="G128" s="2" t="s">
        <v>14</v>
      </c>
      <c r="H128" s="2" t="s">
        <v>70</v>
      </c>
      <c r="I128" s="2" t="s">
        <v>16</v>
      </c>
      <c r="J128" s="2" t="s">
        <v>35</v>
      </c>
      <c r="K128" s="11">
        <v>45300</v>
      </c>
      <c r="L128" s="11">
        <v>45562</v>
      </c>
      <c r="M128" s="2">
        <v>5000</v>
      </c>
      <c r="N128" s="2" t="s">
        <v>67</v>
      </c>
      <c r="O128" s="2" t="s">
        <v>55</v>
      </c>
    </row>
    <row r="129" spans="3:15">
      <c r="C129" s="2" t="s">
        <v>484</v>
      </c>
      <c r="D129" s="2" t="s">
        <v>485</v>
      </c>
      <c r="E129" s="2">
        <v>33</v>
      </c>
      <c r="F129" t="str">
        <f t="shared" si="1"/>
        <v>Young Adult</v>
      </c>
      <c r="G129" s="2" t="s">
        <v>14</v>
      </c>
      <c r="H129" s="2" t="s">
        <v>15</v>
      </c>
      <c r="I129" s="2" t="s">
        <v>16</v>
      </c>
      <c r="J129" s="2" t="s">
        <v>35</v>
      </c>
      <c r="K129" s="11">
        <v>45336</v>
      </c>
      <c r="L129" s="11">
        <v>45339</v>
      </c>
      <c r="M129" s="2">
        <v>35000</v>
      </c>
      <c r="N129" s="2" t="s">
        <v>29</v>
      </c>
      <c r="O129" s="2" t="s">
        <v>21</v>
      </c>
    </row>
    <row r="130" spans="3:15">
      <c r="C130" s="3" t="s">
        <v>487</v>
      </c>
      <c r="D130" s="2" t="s">
        <v>488</v>
      </c>
      <c r="E130" s="3">
        <v>19</v>
      </c>
      <c r="F130" t="str">
        <f t="shared" si="1"/>
        <v>Young Adult</v>
      </c>
      <c r="G130" s="3" t="s">
        <v>14</v>
      </c>
      <c r="H130" s="2" t="s">
        <v>109</v>
      </c>
      <c r="I130" s="2" t="s">
        <v>76</v>
      </c>
      <c r="J130" s="2" t="s">
        <v>26</v>
      </c>
      <c r="K130" s="11">
        <v>45346</v>
      </c>
      <c r="L130" s="11">
        <v>45349</v>
      </c>
      <c r="M130" s="3">
        <v>8000</v>
      </c>
      <c r="N130" s="3" t="s">
        <v>67</v>
      </c>
      <c r="O130" s="3" t="s">
        <v>21</v>
      </c>
    </row>
    <row r="131" spans="3:15">
      <c r="C131" s="2" t="s">
        <v>490</v>
      </c>
      <c r="D131" s="2" t="s">
        <v>2046</v>
      </c>
      <c r="E131" s="2">
        <v>65</v>
      </c>
      <c r="F131" t="str">
        <f t="shared" si="1"/>
        <v>Senior</v>
      </c>
      <c r="G131" s="2" t="s">
        <v>14</v>
      </c>
      <c r="H131" s="2" t="s">
        <v>33</v>
      </c>
      <c r="I131" s="2" t="s">
        <v>76</v>
      </c>
      <c r="J131" s="2" t="s">
        <v>17</v>
      </c>
      <c r="K131" s="11">
        <v>45554</v>
      </c>
      <c r="L131" s="11">
        <v>45564</v>
      </c>
      <c r="M131" s="2">
        <v>50000</v>
      </c>
      <c r="N131" s="2" t="s">
        <v>29</v>
      </c>
      <c r="O131" s="2" t="s">
        <v>87</v>
      </c>
    </row>
    <row r="132" spans="3:15">
      <c r="C132" s="3" t="s">
        <v>493</v>
      </c>
      <c r="D132" s="2" t="s">
        <v>494</v>
      </c>
      <c r="E132" s="3">
        <v>76</v>
      </c>
      <c r="F132" t="str">
        <f t="shared" si="1"/>
        <v>Senior</v>
      </c>
      <c r="G132" s="3" t="s">
        <v>32</v>
      </c>
      <c r="H132" s="2" t="s">
        <v>52</v>
      </c>
      <c r="I132" s="2" t="s">
        <v>16</v>
      </c>
      <c r="J132" s="2" t="s">
        <v>53</v>
      </c>
      <c r="K132" s="11">
        <v>45568</v>
      </c>
      <c r="L132" s="11">
        <v>45385</v>
      </c>
      <c r="M132" s="3">
        <v>15000</v>
      </c>
      <c r="N132" s="3" t="s">
        <v>775</v>
      </c>
      <c r="O132" s="3" t="s">
        <v>21</v>
      </c>
    </row>
    <row r="133" spans="3:15">
      <c r="C133" s="2" t="s">
        <v>496</v>
      </c>
      <c r="D133" s="2" t="s">
        <v>497</v>
      </c>
      <c r="E133" s="2">
        <v>33</v>
      </c>
      <c r="F133" t="str">
        <f t="shared" si="1"/>
        <v>Young Adult</v>
      </c>
      <c r="G133" s="2" t="s">
        <v>32</v>
      </c>
      <c r="H133" s="2" t="s">
        <v>52</v>
      </c>
      <c r="I133" s="2" t="s">
        <v>76</v>
      </c>
      <c r="J133" s="2" t="s">
        <v>26</v>
      </c>
      <c r="K133" s="11">
        <v>45506</v>
      </c>
      <c r="L133" s="11">
        <v>45350</v>
      </c>
      <c r="M133" s="2">
        <v>75000</v>
      </c>
      <c r="N133" s="2" t="s">
        <v>20</v>
      </c>
      <c r="O133" s="2" t="s">
        <v>55</v>
      </c>
    </row>
    <row r="134" spans="3:15">
      <c r="C134" s="3" t="s">
        <v>500</v>
      </c>
      <c r="D134" s="2" t="s">
        <v>501</v>
      </c>
      <c r="E134" s="3">
        <v>87</v>
      </c>
      <c r="F134" t="str">
        <f t="shared" si="1"/>
        <v>Senior</v>
      </c>
      <c r="G134" s="3" t="s">
        <v>14</v>
      </c>
      <c r="H134" s="2" t="s">
        <v>85</v>
      </c>
      <c r="I134" s="2" t="s">
        <v>34</v>
      </c>
      <c r="J134" s="2" t="s">
        <v>53</v>
      </c>
      <c r="K134" s="11">
        <v>45564</v>
      </c>
      <c r="L134" s="11">
        <v>45566</v>
      </c>
      <c r="M134" s="3">
        <v>15000</v>
      </c>
      <c r="N134" s="3" t="s">
        <v>20</v>
      </c>
      <c r="O134" s="3" t="s">
        <v>21</v>
      </c>
    </row>
    <row r="135" spans="3:15">
      <c r="C135" s="2" t="s">
        <v>502</v>
      </c>
      <c r="D135" s="2" t="s">
        <v>494</v>
      </c>
      <c r="E135" s="2">
        <v>62</v>
      </c>
      <c r="F135" t="str">
        <f t="shared" si="1"/>
        <v>Senior</v>
      </c>
      <c r="G135" s="2" t="s">
        <v>775</v>
      </c>
      <c r="H135" s="2" t="s">
        <v>15</v>
      </c>
      <c r="I135" s="2" t="s">
        <v>16</v>
      </c>
      <c r="J135" s="2" t="s">
        <v>104</v>
      </c>
      <c r="K135" s="11">
        <v>45419</v>
      </c>
      <c r="L135" s="11">
        <v>45437</v>
      </c>
      <c r="M135" s="2">
        <v>35000</v>
      </c>
      <c r="N135" s="2" t="s">
        <v>29</v>
      </c>
      <c r="O135" s="2" t="s">
        <v>55</v>
      </c>
    </row>
    <row r="136" spans="3:15">
      <c r="C136" s="3" t="s">
        <v>505</v>
      </c>
      <c r="D136" s="2" t="s">
        <v>355</v>
      </c>
      <c r="E136" s="3">
        <v>41</v>
      </c>
      <c r="F136" t="str">
        <f t="shared" si="1"/>
        <v>Middle Age</v>
      </c>
      <c r="G136" s="3" t="s">
        <v>32</v>
      </c>
      <c r="H136" s="2" t="s">
        <v>52</v>
      </c>
      <c r="I136" s="2" t="s">
        <v>25</v>
      </c>
      <c r="J136" s="2" t="s">
        <v>48</v>
      </c>
      <c r="K136" s="11">
        <v>45298</v>
      </c>
      <c r="L136" s="11">
        <v>45497</v>
      </c>
      <c r="M136" s="3">
        <v>8000</v>
      </c>
      <c r="N136" s="3" t="s">
        <v>37</v>
      </c>
      <c r="O136" s="3" t="s">
        <v>38</v>
      </c>
    </row>
    <row r="137" spans="3:15">
      <c r="C137" s="2" t="s">
        <v>508</v>
      </c>
      <c r="D137" s="2" t="s">
        <v>509</v>
      </c>
      <c r="E137" s="2">
        <v>53</v>
      </c>
      <c r="F137" t="str">
        <f t="shared" si="1"/>
        <v>Middle Age</v>
      </c>
      <c r="G137" s="2" t="s">
        <v>32</v>
      </c>
      <c r="H137" s="2" t="s">
        <v>70</v>
      </c>
      <c r="I137" s="2" t="s">
        <v>34</v>
      </c>
      <c r="J137" s="2" t="s">
        <v>17</v>
      </c>
      <c r="K137" s="11">
        <v>45444</v>
      </c>
      <c r="L137" s="11">
        <v>45326</v>
      </c>
      <c r="M137" s="2">
        <v>25000</v>
      </c>
      <c r="N137" s="2" t="s">
        <v>67</v>
      </c>
      <c r="O137" s="2" t="s">
        <v>55</v>
      </c>
    </row>
    <row r="138" spans="3:15">
      <c r="C138" s="3" t="s">
        <v>513</v>
      </c>
      <c r="D138" s="2" t="s">
        <v>514</v>
      </c>
      <c r="E138" s="3">
        <v>16</v>
      </c>
      <c r="F138" t="str">
        <f t="shared" ref="F138:F201" si="2">IF(E138="Unknown","Unknown",IF(E138&lt;18,"Child",IF(E138&lt;40,"Young Adult",IF(E138&lt;60,"Middle Age","Senior"))))</f>
        <v>Child</v>
      </c>
      <c r="G138" s="3" t="s">
        <v>14</v>
      </c>
      <c r="H138" s="2" t="s">
        <v>85</v>
      </c>
      <c r="I138" s="2" t="s">
        <v>42</v>
      </c>
      <c r="J138" s="2" t="s">
        <v>53</v>
      </c>
      <c r="K138" s="11">
        <v>45511</v>
      </c>
      <c r="L138" s="11">
        <v>45501</v>
      </c>
      <c r="M138" s="3">
        <v>35000</v>
      </c>
      <c r="N138" s="3" t="s">
        <v>29</v>
      </c>
      <c r="O138" s="3" t="s">
        <v>38</v>
      </c>
    </row>
    <row r="139" spans="3:15">
      <c r="C139" s="2" t="s">
        <v>515</v>
      </c>
      <c r="D139" s="2" t="s">
        <v>516</v>
      </c>
      <c r="E139" s="2">
        <v>66</v>
      </c>
      <c r="F139" t="str">
        <f t="shared" si="2"/>
        <v>Senior</v>
      </c>
      <c r="G139" s="2" t="s">
        <v>14</v>
      </c>
      <c r="H139" s="2" t="s">
        <v>109</v>
      </c>
      <c r="I139" s="2" t="s">
        <v>34</v>
      </c>
      <c r="J139" s="2" t="s">
        <v>26</v>
      </c>
      <c r="K139" s="11">
        <v>45548</v>
      </c>
      <c r="L139" s="11">
        <v>45575</v>
      </c>
      <c r="M139" s="2">
        <v>20000</v>
      </c>
      <c r="N139" s="2" t="s">
        <v>37</v>
      </c>
      <c r="O139" s="2" t="s">
        <v>38</v>
      </c>
    </row>
    <row r="140" spans="3:15">
      <c r="C140" s="3" t="s">
        <v>517</v>
      </c>
      <c r="D140" s="2" t="s">
        <v>518</v>
      </c>
      <c r="E140" s="3" t="s">
        <v>775</v>
      </c>
      <c r="F140" t="str">
        <f t="shared" si="2"/>
        <v>Unknown</v>
      </c>
      <c r="G140" s="3" t="s">
        <v>14</v>
      </c>
      <c r="H140" s="2" t="s">
        <v>15</v>
      </c>
      <c r="I140" s="2" t="s">
        <v>25</v>
      </c>
      <c r="J140" s="2" t="s">
        <v>26</v>
      </c>
      <c r="K140" s="11">
        <v>45603</v>
      </c>
      <c r="L140" s="11">
        <v>45495</v>
      </c>
      <c r="M140" s="3">
        <v>5000</v>
      </c>
      <c r="N140" s="3" t="s">
        <v>29</v>
      </c>
      <c r="O140" s="3" t="s">
        <v>87</v>
      </c>
    </row>
    <row r="141" spans="3:15">
      <c r="C141" s="2" t="s">
        <v>521</v>
      </c>
      <c r="D141" s="2" t="s">
        <v>522</v>
      </c>
      <c r="E141" s="2">
        <v>73</v>
      </c>
      <c r="F141" t="str">
        <f t="shared" si="2"/>
        <v>Senior</v>
      </c>
      <c r="G141" s="2" t="s">
        <v>32</v>
      </c>
      <c r="H141" s="2" t="s">
        <v>33</v>
      </c>
      <c r="I141" s="2" t="s">
        <v>16</v>
      </c>
      <c r="J141" s="2" t="s">
        <v>35</v>
      </c>
      <c r="K141" s="11">
        <v>45336</v>
      </c>
      <c r="L141" s="11">
        <v>45352</v>
      </c>
      <c r="M141" s="2">
        <v>75000</v>
      </c>
      <c r="N141" s="2" t="s">
        <v>29</v>
      </c>
      <c r="O141" s="2" t="s">
        <v>55</v>
      </c>
    </row>
    <row r="142" spans="3:15">
      <c r="C142" s="3" t="s">
        <v>523</v>
      </c>
      <c r="D142" s="2" t="s">
        <v>392</v>
      </c>
      <c r="E142" s="3">
        <v>43</v>
      </c>
      <c r="F142" t="str">
        <f t="shared" si="2"/>
        <v>Middle Age</v>
      </c>
      <c r="G142" s="3" t="s">
        <v>14</v>
      </c>
      <c r="H142" s="2" t="s">
        <v>85</v>
      </c>
      <c r="I142" s="2" t="s">
        <v>127</v>
      </c>
      <c r="J142" s="2" t="s">
        <v>104</v>
      </c>
      <c r="K142" s="11">
        <v>45523</v>
      </c>
      <c r="L142" s="11">
        <v>45546</v>
      </c>
      <c r="M142" s="3">
        <v>100000</v>
      </c>
      <c r="N142" s="3" t="s">
        <v>29</v>
      </c>
      <c r="O142" s="3" t="s">
        <v>38</v>
      </c>
    </row>
    <row r="143" spans="3:15">
      <c r="C143" s="2" t="s">
        <v>525</v>
      </c>
      <c r="D143" s="2" t="s">
        <v>526</v>
      </c>
      <c r="E143" s="2">
        <v>20</v>
      </c>
      <c r="F143" t="str">
        <f t="shared" si="2"/>
        <v>Young Adult</v>
      </c>
      <c r="G143" s="2" t="s">
        <v>32</v>
      </c>
      <c r="H143" s="2" t="s">
        <v>15</v>
      </c>
      <c r="I143" s="2" t="s">
        <v>25</v>
      </c>
      <c r="J143" s="2" t="s">
        <v>17</v>
      </c>
      <c r="K143" s="11">
        <v>45570</v>
      </c>
      <c r="L143" s="11">
        <v>45451</v>
      </c>
      <c r="M143" s="2">
        <v>12000</v>
      </c>
      <c r="N143" s="2" t="s">
        <v>29</v>
      </c>
      <c r="O143" s="2" t="s">
        <v>38</v>
      </c>
    </row>
    <row r="144" spans="3:15">
      <c r="C144" s="3" t="s">
        <v>527</v>
      </c>
      <c r="D144" s="2" t="s">
        <v>469</v>
      </c>
      <c r="E144" s="3">
        <v>45</v>
      </c>
      <c r="F144" t="str">
        <f t="shared" si="2"/>
        <v>Middle Age</v>
      </c>
      <c r="G144" s="3" t="s">
        <v>32</v>
      </c>
      <c r="H144" s="2" t="s">
        <v>70</v>
      </c>
      <c r="I144" s="2" t="s">
        <v>16</v>
      </c>
      <c r="J144" s="2" t="s">
        <v>53</v>
      </c>
      <c r="K144" s="11">
        <v>45518</v>
      </c>
      <c r="L144" s="11">
        <v>45537</v>
      </c>
      <c r="M144" s="3">
        <v>20000</v>
      </c>
      <c r="N144" s="3" t="s">
        <v>20</v>
      </c>
      <c r="O144" s="3" t="s">
        <v>21</v>
      </c>
    </row>
    <row r="145" spans="3:15">
      <c r="C145" s="2" t="s">
        <v>528</v>
      </c>
      <c r="D145" s="2" t="s">
        <v>529</v>
      </c>
      <c r="E145" s="2" t="s">
        <v>775</v>
      </c>
      <c r="F145" t="str">
        <f t="shared" si="2"/>
        <v>Unknown</v>
      </c>
      <c r="G145" s="2" t="s">
        <v>32</v>
      </c>
      <c r="H145" s="2" t="s">
        <v>15</v>
      </c>
      <c r="I145" s="2" t="s">
        <v>34</v>
      </c>
      <c r="J145" s="2" t="s">
        <v>99</v>
      </c>
      <c r="K145" s="11">
        <v>45446</v>
      </c>
      <c r="L145" s="11">
        <v>45368</v>
      </c>
      <c r="M145" s="2">
        <v>5000</v>
      </c>
      <c r="N145" s="2" t="s">
        <v>20</v>
      </c>
      <c r="O145" s="2" t="s">
        <v>55</v>
      </c>
    </row>
    <row r="146" spans="3:15">
      <c r="C146" s="3" t="s">
        <v>531</v>
      </c>
      <c r="D146" s="2" t="s">
        <v>532</v>
      </c>
      <c r="E146" s="3">
        <v>2</v>
      </c>
      <c r="F146" t="str">
        <f t="shared" si="2"/>
        <v>Child</v>
      </c>
      <c r="G146" s="3" t="s">
        <v>32</v>
      </c>
      <c r="H146" s="2" t="s">
        <v>109</v>
      </c>
      <c r="I146" s="2" t="s">
        <v>76</v>
      </c>
      <c r="J146" s="2" t="s">
        <v>99</v>
      </c>
      <c r="K146" s="11">
        <v>45486</v>
      </c>
      <c r="L146" s="11">
        <v>45510</v>
      </c>
      <c r="M146" s="3">
        <v>25000</v>
      </c>
      <c r="N146" s="3" t="s">
        <v>29</v>
      </c>
      <c r="O146" s="3" t="s">
        <v>38</v>
      </c>
    </row>
    <row r="147" spans="3:15">
      <c r="C147" s="2" t="s">
        <v>533</v>
      </c>
      <c r="D147" s="2" t="s">
        <v>534</v>
      </c>
      <c r="E147" s="2">
        <v>22</v>
      </c>
      <c r="F147" t="str">
        <f t="shared" si="2"/>
        <v>Young Adult</v>
      </c>
      <c r="G147" s="2" t="s">
        <v>775</v>
      </c>
      <c r="H147" s="2" t="s">
        <v>70</v>
      </c>
      <c r="I147" s="2" t="s">
        <v>132</v>
      </c>
      <c r="J147" s="2" t="s">
        <v>99</v>
      </c>
      <c r="K147" s="11">
        <v>45311</v>
      </c>
      <c r="L147" s="11">
        <v>45329</v>
      </c>
      <c r="M147" s="2">
        <v>25000</v>
      </c>
      <c r="N147" s="2" t="s">
        <v>37</v>
      </c>
      <c r="O147" s="2" t="s">
        <v>38</v>
      </c>
    </row>
    <row r="148" spans="3:15">
      <c r="C148" s="3" t="s">
        <v>536</v>
      </c>
      <c r="D148" s="2" t="s">
        <v>537</v>
      </c>
      <c r="E148" s="3">
        <v>33</v>
      </c>
      <c r="F148" t="str">
        <f t="shared" si="2"/>
        <v>Young Adult</v>
      </c>
      <c r="G148" s="3" t="s">
        <v>14</v>
      </c>
      <c r="H148" s="2" t="s">
        <v>52</v>
      </c>
      <c r="I148" s="2" t="s">
        <v>132</v>
      </c>
      <c r="J148" s="2" t="s">
        <v>17</v>
      </c>
      <c r="K148" s="11">
        <v>45319</v>
      </c>
      <c r="L148" s="11">
        <v>45329</v>
      </c>
      <c r="M148" s="3">
        <v>8000</v>
      </c>
      <c r="N148" s="3" t="s">
        <v>20</v>
      </c>
      <c r="O148" s="3" t="s">
        <v>21</v>
      </c>
    </row>
    <row r="149" spans="3:15">
      <c r="C149" s="2" t="s">
        <v>539</v>
      </c>
      <c r="D149" s="2" t="s">
        <v>540</v>
      </c>
      <c r="E149" s="2">
        <v>39</v>
      </c>
      <c r="F149" t="str">
        <f t="shared" si="2"/>
        <v>Young Adult</v>
      </c>
      <c r="G149" s="2" t="s">
        <v>14</v>
      </c>
      <c r="H149" s="2" t="s">
        <v>70</v>
      </c>
      <c r="I149" s="2" t="s">
        <v>76</v>
      </c>
      <c r="J149" s="2" t="s">
        <v>17</v>
      </c>
      <c r="K149" s="11">
        <v>45371</v>
      </c>
      <c r="L149" s="11">
        <v>45395</v>
      </c>
      <c r="M149" s="2">
        <v>0</v>
      </c>
      <c r="N149" s="2" t="s">
        <v>67</v>
      </c>
      <c r="O149" s="2" t="s">
        <v>38</v>
      </c>
    </row>
    <row r="150" spans="3:15">
      <c r="C150" s="3" t="s">
        <v>543</v>
      </c>
      <c r="D150" s="2" t="s">
        <v>544</v>
      </c>
      <c r="E150" s="3">
        <v>34</v>
      </c>
      <c r="F150" t="str">
        <f t="shared" si="2"/>
        <v>Young Adult</v>
      </c>
      <c r="G150" s="3" t="s">
        <v>32</v>
      </c>
      <c r="H150" s="2" t="s">
        <v>33</v>
      </c>
      <c r="I150" s="2" t="s">
        <v>16</v>
      </c>
      <c r="J150" s="2" t="s">
        <v>99</v>
      </c>
      <c r="K150" s="11">
        <v>45513</v>
      </c>
      <c r="L150" s="11">
        <v>45566</v>
      </c>
      <c r="M150" s="3">
        <v>12000</v>
      </c>
      <c r="N150" s="3" t="s">
        <v>67</v>
      </c>
      <c r="O150" s="3" t="s">
        <v>87</v>
      </c>
    </row>
    <row r="151" spans="3:15">
      <c r="C151" s="2" t="s">
        <v>546</v>
      </c>
      <c r="D151" s="2" t="s">
        <v>547</v>
      </c>
      <c r="E151" s="2">
        <v>81</v>
      </c>
      <c r="F151" t="str">
        <f t="shared" si="2"/>
        <v>Senior</v>
      </c>
      <c r="G151" s="2" t="s">
        <v>14</v>
      </c>
      <c r="H151" s="2" t="s">
        <v>109</v>
      </c>
      <c r="I151" s="2" t="s">
        <v>132</v>
      </c>
      <c r="J151" s="2" t="s">
        <v>17</v>
      </c>
      <c r="K151" s="11">
        <v>45312</v>
      </c>
      <c r="L151" s="11">
        <v>45315</v>
      </c>
      <c r="M151" s="2">
        <v>15000</v>
      </c>
      <c r="N151" s="2" t="s">
        <v>67</v>
      </c>
      <c r="O151" s="2" t="s">
        <v>21</v>
      </c>
    </row>
    <row r="152" spans="3:15">
      <c r="C152" s="3" t="s">
        <v>548</v>
      </c>
      <c r="D152" s="2" t="s">
        <v>549</v>
      </c>
      <c r="E152" s="3">
        <v>76</v>
      </c>
      <c r="F152" t="str">
        <f t="shared" si="2"/>
        <v>Senior</v>
      </c>
      <c r="G152" s="3" t="s">
        <v>32</v>
      </c>
      <c r="H152" s="2" t="s">
        <v>52</v>
      </c>
      <c r="I152" s="2" t="s">
        <v>76</v>
      </c>
      <c r="J152" s="2" t="s">
        <v>17</v>
      </c>
      <c r="K152" s="11">
        <v>45600</v>
      </c>
      <c r="L152" s="11">
        <v>45409</v>
      </c>
      <c r="M152" s="3">
        <v>100000</v>
      </c>
      <c r="N152" s="3" t="s">
        <v>67</v>
      </c>
      <c r="O152" s="3" t="s">
        <v>87</v>
      </c>
    </row>
    <row r="153" spans="3:15">
      <c r="C153" s="2" t="s">
        <v>550</v>
      </c>
      <c r="D153" s="2" t="s">
        <v>253</v>
      </c>
      <c r="E153" s="2">
        <v>16</v>
      </c>
      <c r="F153" t="str">
        <f t="shared" si="2"/>
        <v>Child</v>
      </c>
      <c r="G153" s="2" t="s">
        <v>14</v>
      </c>
      <c r="H153" s="2" t="s">
        <v>109</v>
      </c>
      <c r="I153" s="2" t="s">
        <v>132</v>
      </c>
      <c r="J153" s="2" t="s">
        <v>26</v>
      </c>
      <c r="K153" s="11">
        <v>45493</v>
      </c>
      <c r="L153" s="11">
        <v>45502</v>
      </c>
      <c r="M153" s="2">
        <v>15000</v>
      </c>
      <c r="N153" s="2" t="s">
        <v>67</v>
      </c>
      <c r="O153" s="2" t="s">
        <v>87</v>
      </c>
    </row>
    <row r="154" spans="3:15">
      <c r="C154" s="3" t="s">
        <v>552</v>
      </c>
      <c r="D154" s="2" t="s">
        <v>553</v>
      </c>
      <c r="E154" s="3">
        <v>17</v>
      </c>
      <c r="F154" t="str">
        <f t="shared" si="2"/>
        <v>Child</v>
      </c>
      <c r="G154" s="3" t="s">
        <v>14</v>
      </c>
      <c r="H154" s="2" t="s">
        <v>33</v>
      </c>
      <c r="I154" s="2" t="s">
        <v>42</v>
      </c>
      <c r="J154" s="2" t="s">
        <v>99</v>
      </c>
      <c r="K154" s="11">
        <v>45584</v>
      </c>
      <c r="L154" s="11">
        <v>45595</v>
      </c>
      <c r="M154" s="3">
        <v>100000</v>
      </c>
      <c r="N154" s="3" t="s">
        <v>29</v>
      </c>
      <c r="O154" s="3" t="s">
        <v>55</v>
      </c>
    </row>
    <row r="155" spans="3:15">
      <c r="C155" s="2" t="s">
        <v>555</v>
      </c>
      <c r="D155" s="2" t="s">
        <v>304</v>
      </c>
      <c r="E155" s="2">
        <v>23</v>
      </c>
      <c r="F155" t="str">
        <f t="shared" si="2"/>
        <v>Young Adult</v>
      </c>
      <c r="G155" s="2" t="s">
        <v>14</v>
      </c>
      <c r="H155" s="2" t="s">
        <v>33</v>
      </c>
      <c r="I155" s="2" t="s">
        <v>127</v>
      </c>
      <c r="J155" s="2" t="s">
        <v>104</v>
      </c>
      <c r="K155" s="11">
        <v>45293</v>
      </c>
      <c r="L155" s="11">
        <v>45304</v>
      </c>
      <c r="M155" s="2">
        <v>5000</v>
      </c>
      <c r="N155" s="2" t="s">
        <v>37</v>
      </c>
      <c r="O155" s="2" t="s">
        <v>21</v>
      </c>
    </row>
    <row r="156" spans="3:15">
      <c r="C156" s="3" t="s">
        <v>558</v>
      </c>
      <c r="D156" s="2" t="s">
        <v>514</v>
      </c>
      <c r="E156" s="3">
        <v>25</v>
      </c>
      <c r="F156" t="str">
        <f t="shared" si="2"/>
        <v>Young Adult</v>
      </c>
      <c r="G156" s="3" t="s">
        <v>14</v>
      </c>
      <c r="H156" s="2" t="s">
        <v>70</v>
      </c>
      <c r="I156" s="2" t="s">
        <v>76</v>
      </c>
      <c r="J156" s="2" t="s">
        <v>17</v>
      </c>
      <c r="K156" s="11">
        <v>45589</v>
      </c>
      <c r="L156" s="11">
        <v>45598</v>
      </c>
      <c r="M156" s="3">
        <v>15000</v>
      </c>
      <c r="N156" s="3" t="s">
        <v>20</v>
      </c>
      <c r="O156" s="3" t="s">
        <v>87</v>
      </c>
    </row>
    <row r="157" spans="3:15">
      <c r="C157" s="2" t="s">
        <v>561</v>
      </c>
      <c r="D157" s="2" t="s">
        <v>212</v>
      </c>
      <c r="E157" s="2">
        <v>11</v>
      </c>
      <c r="F157" t="str">
        <f t="shared" si="2"/>
        <v>Child</v>
      </c>
      <c r="G157" s="2" t="s">
        <v>14</v>
      </c>
      <c r="H157" s="2" t="s">
        <v>109</v>
      </c>
      <c r="I157" s="2" t="s">
        <v>34</v>
      </c>
      <c r="J157" s="2" t="s">
        <v>35</v>
      </c>
      <c r="K157" s="11">
        <v>45316</v>
      </c>
      <c r="L157" s="11">
        <v>45346</v>
      </c>
      <c r="M157" s="2">
        <v>35000</v>
      </c>
      <c r="N157" s="2" t="s">
        <v>29</v>
      </c>
      <c r="O157" s="2" t="s">
        <v>55</v>
      </c>
    </row>
    <row r="158" spans="3:15">
      <c r="C158" s="3" t="s">
        <v>563</v>
      </c>
      <c r="D158" s="2" t="s">
        <v>564</v>
      </c>
      <c r="E158" s="3">
        <v>12</v>
      </c>
      <c r="F158" t="str">
        <f t="shared" si="2"/>
        <v>Child</v>
      </c>
      <c r="G158" s="3" t="s">
        <v>14</v>
      </c>
      <c r="H158" s="2" t="s">
        <v>58</v>
      </c>
      <c r="I158" s="2" t="s">
        <v>76</v>
      </c>
      <c r="J158" s="2" t="s">
        <v>35</v>
      </c>
      <c r="K158" s="11">
        <v>45500</v>
      </c>
      <c r="L158" s="11">
        <v>45505</v>
      </c>
      <c r="M158" s="3">
        <v>20000</v>
      </c>
      <c r="N158" s="3" t="s">
        <v>37</v>
      </c>
      <c r="O158" s="3" t="s">
        <v>55</v>
      </c>
    </row>
    <row r="159" spans="3:15">
      <c r="C159" s="2" t="s">
        <v>567</v>
      </c>
      <c r="D159" s="2" t="s">
        <v>568</v>
      </c>
      <c r="E159" s="2">
        <v>50</v>
      </c>
      <c r="F159" t="str">
        <f t="shared" si="2"/>
        <v>Middle Age</v>
      </c>
      <c r="G159" s="2" t="s">
        <v>32</v>
      </c>
      <c r="H159" s="2" t="s">
        <v>70</v>
      </c>
      <c r="I159" s="2" t="s">
        <v>25</v>
      </c>
      <c r="J159" s="2" t="s">
        <v>26</v>
      </c>
      <c r="K159" s="11">
        <v>45470</v>
      </c>
      <c r="L159" s="11">
        <v>45486</v>
      </c>
      <c r="M159" s="2">
        <v>100000</v>
      </c>
      <c r="N159" s="2" t="s">
        <v>29</v>
      </c>
      <c r="O159" s="2" t="s">
        <v>21</v>
      </c>
    </row>
    <row r="160" spans="3:15">
      <c r="C160" s="3" t="s">
        <v>570</v>
      </c>
      <c r="D160" s="2" t="s">
        <v>571</v>
      </c>
      <c r="E160" s="3">
        <v>18</v>
      </c>
      <c r="F160" t="str">
        <f t="shared" si="2"/>
        <v>Young Adult</v>
      </c>
      <c r="G160" s="3" t="s">
        <v>32</v>
      </c>
      <c r="H160" s="2" t="s">
        <v>15</v>
      </c>
      <c r="I160" s="2" t="s">
        <v>127</v>
      </c>
      <c r="J160" s="2" t="s">
        <v>48</v>
      </c>
      <c r="K160" s="11">
        <v>45578</v>
      </c>
      <c r="L160" s="11">
        <v>45592</v>
      </c>
      <c r="M160" s="3">
        <v>20000</v>
      </c>
      <c r="N160" s="3" t="s">
        <v>37</v>
      </c>
      <c r="O160" s="3" t="s">
        <v>87</v>
      </c>
    </row>
    <row r="161" spans="3:15">
      <c r="C161" s="2" t="s">
        <v>575</v>
      </c>
      <c r="D161" s="2" t="s">
        <v>576</v>
      </c>
      <c r="E161" s="2">
        <v>46</v>
      </c>
      <c r="F161" t="str">
        <f t="shared" si="2"/>
        <v>Middle Age</v>
      </c>
      <c r="G161" s="2" t="s">
        <v>14</v>
      </c>
      <c r="H161" s="2" t="s">
        <v>58</v>
      </c>
      <c r="I161" s="2" t="s">
        <v>16</v>
      </c>
      <c r="J161" s="2" t="s">
        <v>26</v>
      </c>
      <c r="K161" s="11">
        <v>45341</v>
      </c>
      <c r="L161" s="11">
        <v>45351</v>
      </c>
      <c r="M161" s="2">
        <v>5000</v>
      </c>
      <c r="N161" s="2" t="s">
        <v>67</v>
      </c>
      <c r="O161" s="2" t="s">
        <v>21</v>
      </c>
    </row>
    <row r="162" spans="3:15">
      <c r="C162" s="3" t="s">
        <v>579</v>
      </c>
      <c r="D162" s="2" t="s">
        <v>580</v>
      </c>
      <c r="E162" s="3">
        <v>25</v>
      </c>
      <c r="F162" t="str">
        <f t="shared" si="2"/>
        <v>Young Adult</v>
      </c>
      <c r="G162" s="3" t="s">
        <v>32</v>
      </c>
      <c r="H162" s="2" t="s">
        <v>70</v>
      </c>
      <c r="I162" s="2" t="s">
        <v>25</v>
      </c>
      <c r="J162" s="2" t="s">
        <v>99</v>
      </c>
      <c r="K162" s="11">
        <v>45354</v>
      </c>
      <c r="L162" s="11">
        <v>45367</v>
      </c>
      <c r="M162" s="3">
        <v>12000</v>
      </c>
      <c r="N162" s="3" t="s">
        <v>37</v>
      </c>
      <c r="O162" s="3" t="s">
        <v>38</v>
      </c>
    </row>
    <row r="163" spans="3:15">
      <c r="C163" s="2" t="s">
        <v>581</v>
      </c>
      <c r="D163" s="2" t="s">
        <v>582</v>
      </c>
      <c r="E163" s="2">
        <v>59</v>
      </c>
      <c r="F163" t="str">
        <f t="shared" si="2"/>
        <v>Middle Age</v>
      </c>
      <c r="G163" s="2" t="s">
        <v>14</v>
      </c>
      <c r="H163" s="2" t="s">
        <v>33</v>
      </c>
      <c r="I163" s="2" t="s">
        <v>132</v>
      </c>
      <c r="J163" s="2" t="s">
        <v>35</v>
      </c>
      <c r="K163" s="11">
        <v>45544</v>
      </c>
      <c r="L163" s="11">
        <v>45563</v>
      </c>
      <c r="M163" s="2">
        <v>75000</v>
      </c>
      <c r="N163" s="2" t="s">
        <v>29</v>
      </c>
      <c r="O163" s="2" t="s">
        <v>38</v>
      </c>
    </row>
    <row r="164" spans="3:15">
      <c r="C164" s="3" t="s">
        <v>584</v>
      </c>
      <c r="D164" s="2" t="s">
        <v>585</v>
      </c>
      <c r="E164" s="3">
        <v>41</v>
      </c>
      <c r="F164" t="str">
        <f t="shared" si="2"/>
        <v>Middle Age</v>
      </c>
      <c r="G164" s="3" t="s">
        <v>338</v>
      </c>
      <c r="H164" s="2" t="s">
        <v>109</v>
      </c>
      <c r="I164" s="2" t="s">
        <v>16</v>
      </c>
      <c r="J164" s="2" t="s">
        <v>35</v>
      </c>
      <c r="K164" s="11">
        <v>45449</v>
      </c>
      <c r="L164" s="11">
        <v>45457</v>
      </c>
      <c r="M164" s="3">
        <v>20000</v>
      </c>
      <c r="N164" s="3" t="s">
        <v>775</v>
      </c>
      <c r="O164" s="3" t="s">
        <v>21</v>
      </c>
    </row>
    <row r="165" spans="3:15">
      <c r="C165" s="2" t="s">
        <v>587</v>
      </c>
      <c r="D165" s="2" t="s">
        <v>65</v>
      </c>
      <c r="E165" s="2">
        <v>16</v>
      </c>
      <c r="F165" t="str">
        <f t="shared" si="2"/>
        <v>Child</v>
      </c>
      <c r="G165" s="2" t="s">
        <v>32</v>
      </c>
      <c r="H165" s="2" t="s">
        <v>15</v>
      </c>
      <c r="I165" s="2" t="s">
        <v>16</v>
      </c>
      <c r="J165" s="2" t="s">
        <v>35</v>
      </c>
      <c r="K165" s="11">
        <v>45508</v>
      </c>
      <c r="L165" s="11">
        <v>45412</v>
      </c>
      <c r="M165" s="2">
        <v>5000</v>
      </c>
      <c r="N165" s="2" t="s">
        <v>29</v>
      </c>
      <c r="O165" s="2" t="s">
        <v>55</v>
      </c>
    </row>
    <row r="166" spans="3:15">
      <c r="C166" s="3" t="s">
        <v>589</v>
      </c>
      <c r="D166" s="2" t="s">
        <v>590</v>
      </c>
      <c r="E166" s="3">
        <v>20</v>
      </c>
      <c r="F166" t="str">
        <f t="shared" si="2"/>
        <v>Young Adult</v>
      </c>
      <c r="G166" s="3" t="s">
        <v>32</v>
      </c>
      <c r="H166" s="2" t="s">
        <v>15</v>
      </c>
      <c r="I166" s="2" t="s">
        <v>25</v>
      </c>
      <c r="J166" s="2" t="s">
        <v>99</v>
      </c>
      <c r="K166" s="11">
        <v>45305</v>
      </c>
      <c r="L166" s="11">
        <v>45317</v>
      </c>
      <c r="M166" s="3">
        <v>25000</v>
      </c>
      <c r="N166" s="3" t="s">
        <v>67</v>
      </c>
      <c r="O166" s="3" t="s">
        <v>38</v>
      </c>
    </row>
    <row r="167" spans="3:15">
      <c r="C167" s="2" t="s">
        <v>592</v>
      </c>
      <c r="D167" s="2" t="s">
        <v>593</v>
      </c>
      <c r="E167" s="2">
        <v>68</v>
      </c>
      <c r="F167" t="str">
        <f t="shared" si="2"/>
        <v>Senior</v>
      </c>
      <c r="G167" s="2" t="s">
        <v>32</v>
      </c>
      <c r="H167" s="2" t="s">
        <v>52</v>
      </c>
      <c r="I167" s="2" t="s">
        <v>42</v>
      </c>
      <c r="J167" s="2" t="s">
        <v>53</v>
      </c>
      <c r="K167" s="11">
        <v>45447</v>
      </c>
      <c r="L167" s="11">
        <v>45399</v>
      </c>
      <c r="M167" s="2">
        <v>20000</v>
      </c>
      <c r="N167" s="2" t="s">
        <v>37</v>
      </c>
      <c r="O167" s="2" t="s">
        <v>87</v>
      </c>
    </row>
    <row r="168" spans="3:15">
      <c r="C168" s="3" t="s">
        <v>595</v>
      </c>
      <c r="D168" s="2" t="s">
        <v>596</v>
      </c>
      <c r="E168" s="3">
        <v>12</v>
      </c>
      <c r="F168" t="str">
        <f t="shared" si="2"/>
        <v>Child</v>
      </c>
      <c r="G168" s="3" t="s">
        <v>32</v>
      </c>
      <c r="H168" s="2" t="s">
        <v>52</v>
      </c>
      <c r="I168" s="2" t="s">
        <v>132</v>
      </c>
      <c r="J168" s="2" t="s">
        <v>26</v>
      </c>
      <c r="K168" s="11">
        <v>45292</v>
      </c>
      <c r="L168" s="11">
        <v>45308</v>
      </c>
      <c r="M168" s="3">
        <v>75000</v>
      </c>
      <c r="N168" s="3" t="s">
        <v>20</v>
      </c>
      <c r="O168" s="3" t="s">
        <v>87</v>
      </c>
    </row>
    <row r="169" spans="3:15">
      <c r="C169" s="2" t="s">
        <v>598</v>
      </c>
      <c r="D169" s="2" t="s">
        <v>178</v>
      </c>
      <c r="E169" s="2">
        <v>56</v>
      </c>
      <c r="F169" t="str">
        <f t="shared" si="2"/>
        <v>Middle Age</v>
      </c>
      <c r="G169" s="2" t="s">
        <v>32</v>
      </c>
      <c r="H169" s="2" t="s">
        <v>58</v>
      </c>
      <c r="I169" s="2" t="s">
        <v>132</v>
      </c>
      <c r="J169" s="2" t="s">
        <v>53</v>
      </c>
      <c r="K169" s="11">
        <v>45386</v>
      </c>
      <c r="L169" s="11">
        <v>45402</v>
      </c>
      <c r="M169" s="2">
        <v>50000</v>
      </c>
      <c r="N169" s="2" t="s">
        <v>37</v>
      </c>
      <c r="O169" s="2" t="s">
        <v>87</v>
      </c>
    </row>
    <row r="170" spans="3:15">
      <c r="C170" s="3" t="s">
        <v>599</v>
      </c>
      <c r="D170" s="2" t="s">
        <v>582</v>
      </c>
      <c r="E170" s="3">
        <v>56</v>
      </c>
      <c r="F170" t="str">
        <f t="shared" si="2"/>
        <v>Middle Age</v>
      </c>
      <c r="G170" s="3" t="s">
        <v>14</v>
      </c>
      <c r="H170" s="2" t="s">
        <v>109</v>
      </c>
      <c r="I170" s="2" t="s">
        <v>76</v>
      </c>
      <c r="J170" s="2" t="s">
        <v>26</v>
      </c>
      <c r="K170" s="11">
        <v>45294</v>
      </c>
      <c r="L170" s="11">
        <v>45380</v>
      </c>
      <c r="M170" s="3">
        <v>8000</v>
      </c>
      <c r="N170" s="3" t="s">
        <v>29</v>
      </c>
      <c r="O170" s="3" t="s">
        <v>21</v>
      </c>
    </row>
    <row r="171" spans="3:15">
      <c r="C171" s="2" t="s">
        <v>600</v>
      </c>
      <c r="D171" s="2" t="s">
        <v>601</v>
      </c>
      <c r="E171" s="2">
        <v>22</v>
      </c>
      <c r="F171" t="str">
        <f t="shared" si="2"/>
        <v>Young Adult</v>
      </c>
      <c r="G171" s="2" t="s">
        <v>32</v>
      </c>
      <c r="H171" s="2" t="s">
        <v>109</v>
      </c>
      <c r="I171" s="2" t="s">
        <v>76</v>
      </c>
      <c r="J171" s="2" t="s">
        <v>104</v>
      </c>
      <c r="K171" s="11">
        <v>45299</v>
      </c>
      <c r="L171" s="11">
        <v>45319</v>
      </c>
      <c r="M171" s="2">
        <v>20000</v>
      </c>
      <c r="N171" s="2" t="s">
        <v>20</v>
      </c>
      <c r="O171" s="2" t="s">
        <v>38</v>
      </c>
    </row>
    <row r="172" spans="3:15">
      <c r="C172" s="3" t="s">
        <v>603</v>
      </c>
      <c r="D172" s="2" t="s">
        <v>516</v>
      </c>
      <c r="E172" s="3">
        <v>1</v>
      </c>
      <c r="F172" t="str">
        <f t="shared" si="2"/>
        <v>Child</v>
      </c>
      <c r="G172" s="3" t="s">
        <v>14</v>
      </c>
      <c r="H172" s="2" t="s">
        <v>85</v>
      </c>
      <c r="I172" s="2" t="s">
        <v>76</v>
      </c>
      <c r="J172" s="2" t="s">
        <v>99</v>
      </c>
      <c r="K172" s="11">
        <v>45479</v>
      </c>
      <c r="L172" s="11">
        <v>45470</v>
      </c>
      <c r="M172" s="3">
        <v>25000</v>
      </c>
      <c r="N172" s="3" t="s">
        <v>37</v>
      </c>
      <c r="O172" s="3" t="s">
        <v>38</v>
      </c>
    </row>
    <row r="173" spans="3:15">
      <c r="C173" s="2" t="s">
        <v>605</v>
      </c>
      <c r="D173" s="2" t="s">
        <v>606</v>
      </c>
      <c r="E173" s="2">
        <v>57</v>
      </c>
      <c r="F173" t="str">
        <f t="shared" si="2"/>
        <v>Middle Age</v>
      </c>
      <c r="G173" s="2" t="s">
        <v>14</v>
      </c>
      <c r="H173" s="2" t="s">
        <v>85</v>
      </c>
      <c r="I173" s="2" t="s">
        <v>76</v>
      </c>
      <c r="J173" s="2" t="s">
        <v>17</v>
      </c>
      <c r="K173" s="11">
        <v>45507</v>
      </c>
      <c r="L173" s="11">
        <v>45381</v>
      </c>
      <c r="M173" s="2">
        <v>5000</v>
      </c>
      <c r="N173" s="2" t="s">
        <v>37</v>
      </c>
      <c r="O173" s="2" t="s">
        <v>38</v>
      </c>
    </row>
    <row r="174" spans="3:15">
      <c r="C174" s="3" t="s">
        <v>608</v>
      </c>
      <c r="D174" s="2" t="s">
        <v>609</v>
      </c>
      <c r="E174" s="3">
        <v>5</v>
      </c>
      <c r="F174" t="str">
        <f t="shared" si="2"/>
        <v>Child</v>
      </c>
      <c r="G174" s="3" t="s">
        <v>14</v>
      </c>
      <c r="H174" s="2" t="s">
        <v>33</v>
      </c>
      <c r="I174" s="2" t="s">
        <v>76</v>
      </c>
      <c r="J174" s="2" t="s">
        <v>17</v>
      </c>
      <c r="K174" s="11">
        <v>45308</v>
      </c>
      <c r="L174" s="11">
        <v>45321</v>
      </c>
      <c r="M174" s="3">
        <v>100000</v>
      </c>
      <c r="N174" s="3" t="s">
        <v>20</v>
      </c>
      <c r="O174" s="3" t="s">
        <v>87</v>
      </c>
    </row>
    <row r="175" spans="3:15">
      <c r="C175" s="2" t="s">
        <v>611</v>
      </c>
      <c r="D175" s="2" t="s">
        <v>174</v>
      </c>
      <c r="E175" s="2">
        <v>83</v>
      </c>
      <c r="F175" t="str">
        <f t="shared" si="2"/>
        <v>Senior</v>
      </c>
      <c r="G175" s="2" t="s">
        <v>32</v>
      </c>
      <c r="H175" s="2" t="s">
        <v>52</v>
      </c>
      <c r="I175" s="2" t="s">
        <v>127</v>
      </c>
      <c r="J175" s="2" t="s">
        <v>48</v>
      </c>
      <c r="K175" s="11">
        <v>45434</v>
      </c>
      <c r="L175" s="11">
        <v>45462</v>
      </c>
      <c r="M175" s="2">
        <v>100000</v>
      </c>
      <c r="N175" s="2" t="s">
        <v>20</v>
      </c>
      <c r="O175" s="2" t="s">
        <v>87</v>
      </c>
    </row>
    <row r="176" spans="3:15">
      <c r="C176" s="3" t="s">
        <v>614</v>
      </c>
      <c r="D176" s="2" t="s">
        <v>170</v>
      </c>
      <c r="E176" s="3">
        <v>8</v>
      </c>
      <c r="F176" t="str">
        <f t="shared" si="2"/>
        <v>Child</v>
      </c>
      <c r="G176" s="3" t="s">
        <v>32</v>
      </c>
      <c r="H176" s="2" t="s">
        <v>52</v>
      </c>
      <c r="I176" s="2" t="s">
        <v>16</v>
      </c>
      <c r="J176" s="2" t="s">
        <v>26</v>
      </c>
      <c r="K176" s="11">
        <v>45383</v>
      </c>
      <c r="L176" s="11">
        <v>45310</v>
      </c>
      <c r="M176" s="3">
        <v>50000</v>
      </c>
      <c r="N176" s="3" t="s">
        <v>29</v>
      </c>
      <c r="O176" s="3" t="s">
        <v>21</v>
      </c>
    </row>
    <row r="177" spans="3:15">
      <c r="C177" s="2" t="s">
        <v>617</v>
      </c>
      <c r="D177" s="2" t="s">
        <v>65</v>
      </c>
      <c r="E177" s="2">
        <v>7</v>
      </c>
      <c r="F177" t="str">
        <f t="shared" si="2"/>
        <v>Child</v>
      </c>
      <c r="G177" s="2" t="s">
        <v>32</v>
      </c>
      <c r="H177" s="2" t="s">
        <v>58</v>
      </c>
      <c r="I177" s="2" t="s">
        <v>25</v>
      </c>
      <c r="J177" s="2" t="s">
        <v>17</v>
      </c>
      <c r="K177" s="11">
        <v>45537</v>
      </c>
      <c r="L177" s="11">
        <v>45360</v>
      </c>
      <c r="M177" s="2">
        <v>50000</v>
      </c>
      <c r="N177" s="2" t="s">
        <v>37</v>
      </c>
      <c r="O177" s="2" t="s">
        <v>55</v>
      </c>
    </row>
    <row r="178" spans="3:15">
      <c r="C178" s="3" t="s">
        <v>619</v>
      </c>
      <c r="D178" s="2" t="s">
        <v>208</v>
      </c>
      <c r="E178" s="3">
        <v>42</v>
      </c>
      <c r="F178" t="str">
        <f t="shared" si="2"/>
        <v>Middle Age</v>
      </c>
      <c r="G178" s="3" t="s">
        <v>14</v>
      </c>
      <c r="H178" s="2" t="s">
        <v>15</v>
      </c>
      <c r="I178" s="2" t="s">
        <v>42</v>
      </c>
      <c r="J178" s="2" t="s">
        <v>17</v>
      </c>
      <c r="K178" s="11">
        <v>45583</v>
      </c>
      <c r="L178" s="11">
        <v>45606</v>
      </c>
      <c r="M178" s="3">
        <v>35000</v>
      </c>
      <c r="N178" s="3" t="s">
        <v>20</v>
      </c>
      <c r="O178" s="3" t="s">
        <v>38</v>
      </c>
    </row>
    <row r="179" spans="3:15">
      <c r="C179" s="2" t="s">
        <v>622</v>
      </c>
      <c r="D179" s="2" t="s">
        <v>623</v>
      </c>
      <c r="E179" s="2">
        <v>71</v>
      </c>
      <c r="F179" t="str">
        <f t="shared" si="2"/>
        <v>Senior</v>
      </c>
      <c r="G179" s="2" t="s">
        <v>14</v>
      </c>
      <c r="H179" s="2" t="s">
        <v>70</v>
      </c>
      <c r="I179" s="2" t="s">
        <v>127</v>
      </c>
      <c r="J179" s="2" t="s">
        <v>35</v>
      </c>
      <c r="K179" s="11">
        <v>45541</v>
      </c>
      <c r="L179" s="11">
        <v>45473</v>
      </c>
      <c r="M179" s="2">
        <v>100000</v>
      </c>
      <c r="N179" s="2" t="s">
        <v>20</v>
      </c>
      <c r="O179" s="2" t="s">
        <v>38</v>
      </c>
    </row>
    <row r="180" spans="3:15">
      <c r="C180" s="3" t="s">
        <v>625</v>
      </c>
      <c r="D180" s="2" t="s">
        <v>626</v>
      </c>
      <c r="E180" s="3">
        <v>39</v>
      </c>
      <c r="F180" t="str">
        <f t="shared" si="2"/>
        <v>Young Adult</v>
      </c>
      <c r="G180" s="3" t="s">
        <v>32</v>
      </c>
      <c r="H180" s="2" t="s">
        <v>15</v>
      </c>
      <c r="I180" s="2" t="s">
        <v>25</v>
      </c>
      <c r="J180" s="2" t="s">
        <v>26</v>
      </c>
      <c r="K180" s="11">
        <v>45445</v>
      </c>
      <c r="L180" s="11">
        <v>45332</v>
      </c>
      <c r="M180" s="3">
        <v>12000</v>
      </c>
      <c r="N180" s="3" t="s">
        <v>37</v>
      </c>
      <c r="O180" s="3" t="s">
        <v>87</v>
      </c>
    </row>
    <row r="181" spans="3:15">
      <c r="C181" s="2" t="s">
        <v>629</v>
      </c>
      <c r="D181" s="2" t="s">
        <v>630</v>
      </c>
      <c r="E181" s="2">
        <v>26</v>
      </c>
      <c r="F181" t="str">
        <f t="shared" si="2"/>
        <v>Young Adult</v>
      </c>
      <c r="G181" s="2" t="s">
        <v>32</v>
      </c>
      <c r="H181" s="2" t="s">
        <v>85</v>
      </c>
      <c r="I181" s="2" t="s">
        <v>34</v>
      </c>
      <c r="J181" s="2" t="s">
        <v>48</v>
      </c>
      <c r="K181" s="11">
        <v>45550</v>
      </c>
      <c r="L181" s="11">
        <v>45551</v>
      </c>
      <c r="M181" s="2">
        <v>12000</v>
      </c>
      <c r="N181" s="2" t="s">
        <v>29</v>
      </c>
      <c r="O181" s="2" t="s">
        <v>21</v>
      </c>
    </row>
    <row r="182" spans="3:15">
      <c r="C182" s="3" t="s">
        <v>632</v>
      </c>
      <c r="D182" s="2" t="s">
        <v>633</v>
      </c>
      <c r="E182" s="3">
        <v>4</v>
      </c>
      <c r="F182" t="str">
        <f t="shared" si="2"/>
        <v>Child</v>
      </c>
      <c r="G182" s="3" t="s">
        <v>32</v>
      </c>
      <c r="H182" s="2" t="s">
        <v>109</v>
      </c>
      <c r="I182" s="2" t="s">
        <v>34</v>
      </c>
      <c r="J182" s="2" t="s">
        <v>17</v>
      </c>
      <c r="K182" s="11">
        <v>45301</v>
      </c>
      <c r="L182" s="11">
        <v>45579</v>
      </c>
      <c r="M182" s="3">
        <v>35000</v>
      </c>
      <c r="N182" s="3" t="s">
        <v>37</v>
      </c>
      <c r="O182" s="3" t="s">
        <v>55</v>
      </c>
    </row>
    <row r="183" spans="3:15">
      <c r="C183" s="2" t="s">
        <v>634</v>
      </c>
      <c r="D183" s="2" t="s">
        <v>2047</v>
      </c>
      <c r="E183" s="2">
        <v>38</v>
      </c>
      <c r="F183" t="str">
        <f t="shared" si="2"/>
        <v>Young Adult</v>
      </c>
      <c r="G183" s="2" t="s">
        <v>32</v>
      </c>
      <c r="H183" s="2" t="s">
        <v>109</v>
      </c>
      <c r="I183" s="2" t="s">
        <v>76</v>
      </c>
      <c r="J183" s="2" t="s">
        <v>35</v>
      </c>
      <c r="K183" s="11">
        <v>45584</v>
      </c>
      <c r="L183" s="11">
        <v>45606</v>
      </c>
      <c r="M183" s="2">
        <v>8000</v>
      </c>
      <c r="N183" s="2" t="s">
        <v>775</v>
      </c>
      <c r="O183" s="2" t="s">
        <v>87</v>
      </c>
    </row>
    <row r="184" spans="3:15">
      <c r="C184" s="3" t="s">
        <v>636</v>
      </c>
      <c r="D184" s="2" t="s">
        <v>637</v>
      </c>
      <c r="E184" s="3">
        <v>14</v>
      </c>
      <c r="F184" t="str">
        <f t="shared" si="2"/>
        <v>Child</v>
      </c>
      <c r="G184" s="3" t="s">
        <v>32</v>
      </c>
      <c r="H184" s="2" t="s">
        <v>15</v>
      </c>
      <c r="I184" s="2" t="s">
        <v>34</v>
      </c>
      <c r="J184" s="2" t="s">
        <v>99</v>
      </c>
      <c r="K184" s="11">
        <v>45327</v>
      </c>
      <c r="L184" s="11">
        <v>45434</v>
      </c>
      <c r="M184" s="3">
        <v>35000</v>
      </c>
      <c r="N184" s="3" t="s">
        <v>37</v>
      </c>
      <c r="O184" s="3" t="s">
        <v>21</v>
      </c>
    </row>
    <row r="185" spans="3:15">
      <c r="C185" s="2" t="s">
        <v>638</v>
      </c>
      <c r="D185" s="2" t="s">
        <v>639</v>
      </c>
      <c r="E185" s="2">
        <v>68</v>
      </c>
      <c r="F185" t="str">
        <f t="shared" si="2"/>
        <v>Senior</v>
      </c>
      <c r="G185" s="2" t="s">
        <v>32</v>
      </c>
      <c r="H185" s="2" t="s">
        <v>15</v>
      </c>
      <c r="I185" s="2" t="s">
        <v>34</v>
      </c>
      <c r="J185" s="2" t="s">
        <v>99</v>
      </c>
      <c r="K185" s="11">
        <v>45312</v>
      </c>
      <c r="L185" s="11">
        <v>45316</v>
      </c>
      <c r="M185" s="2">
        <v>12000</v>
      </c>
      <c r="N185" s="2" t="s">
        <v>20</v>
      </c>
      <c r="O185" s="2" t="s">
        <v>87</v>
      </c>
    </row>
    <row r="186" spans="3:15">
      <c r="C186" s="3" t="s">
        <v>641</v>
      </c>
      <c r="D186" s="2" t="s">
        <v>642</v>
      </c>
      <c r="E186" s="3">
        <v>27</v>
      </c>
      <c r="F186" t="str">
        <f t="shared" si="2"/>
        <v>Young Adult</v>
      </c>
      <c r="G186" s="3" t="s">
        <v>32</v>
      </c>
      <c r="H186" s="2" t="s">
        <v>85</v>
      </c>
      <c r="I186" s="2" t="s">
        <v>16</v>
      </c>
      <c r="J186" s="2" t="s">
        <v>53</v>
      </c>
      <c r="K186" s="11">
        <v>45402</v>
      </c>
      <c r="L186" s="11">
        <v>45404</v>
      </c>
      <c r="M186" s="3">
        <v>12000</v>
      </c>
      <c r="N186" s="3" t="s">
        <v>37</v>
      </c>
      <c r="O186" s="3" t="s">
        <v>38</v>
      </c>
    </row>
    <row r="187" spans="3:15">
      <c r="C187" s="2" t="s">
        <v>643</v>
      </c>
      <c r="D187" s="2" t="s">
        <v>425</v>
      </c>
      <c r="E187" s="2">
        <v>63</v>
      </c>
      <c r="F187" t="str">
        <f t="shared" si="2"/>
        <v>Senior</v>
      </c>
      <c r="G187" s="2" t="s">
        <v>32</v>
      </c>
      <c r="H187" s="2" t="s">
        <v>15</v>
      </c>
      <c r="I187" s="2" t="s">
        <v>34</v>
      </c>
      <c r="J187" s="2" t="s">
        <v>53</v>
      </c>
      <c r="K187" s="11">
        <v>45419</v>
      </c>
      <c r="L187" s="11">
        <v>45495</v>
      </c>
      <c r="M187" s="2">
        <v>35000</v>
      </c>
      <c r="N187" s="2" t="s">
        <v>29</v>
      </c>
      <c r="O187" s="2" t="s">
        <v>55</v>
      </c>
    </row>
    <row r="188" spans="3:15">
      <c r="C188" s="3" t="s">
        <v>645</v>
      </c>
      <c r="D188" s="2" t="s">
        <v>646</v>
      </c>
      <c r="E188" s="3">
        <v>3</v>
      </c>
      <c r="F188" t="str">
        <f t="shared" si="2"/>
        <v>Child</v>
      </c>
      <c r="G188" s="3" t="s">
        <v>32</v>
      </c>
      <c r="H188" s="2" t="s">
        <v>85</v>
      </c>
      <c r="I188" s="2" t="s">
        <v>34</v>
      </c>
      <c r="J188" s="2" t="s">
        <v>99</v>
      </c>
      <c r="K188" s="11">
        <v>45570</v>
      </c>
      <c r="L188" s="11">
        <v>45426</v>
      </c>
      <c r="M188" s="3">
        <v>100000</v>
      </c>
      <c r="N188" s="3" t="s">
        <v>29</v>
      </c>
      <c r="O188" s="3" t="s">
        <v>87</v>
      </c>
    </row>
    <row r="189" spans="3:15">
      <c r="C189" s="2" t="s">
        <v>647</v>
      </c>
      <c r="D189" s="2" t="s">
        <v>648</v>
      </c>
      <c r="E189" s="2">
        <v>71</v>
      </c>
      <c r="F189" t="str">
        <f t="shared" si="2"/>
        <v>Senior</v>
      </c>
      <c r="G189" s="2" t="s">
        <v>14</v>
      </c>
      <c r="H189" s="2" t="s">
        <v>85</v>
      </c>
      <c r="I189" s="2" t="s">
        <v>16</v>
      </c>
      <c r="J189" s="2" t="s">
        <v>48</v>
      </c>
      <c r="K189" s="11">
        <v>45628</v>
      </c>
      <c r="L189" s="11">
        <v>45349</v>
      </c>
      <c r="M189" s="2">
        <v>15000</v>
      </c>
      <c r="N189" s="2" t="s">
        <v>37</v>
      </c>
      <c r="O189" s="2" t="s">
        <v>55</v>
      </c>
    </row>
    <row r="190" spans="3:15">
      <c r="C190" s="3" t="s">
        <v>651</v>
      </c>
      <c r="D190" s="2" t="s">
        <v>652</v>
      </c>
      <c r="E190" s="3">
        <v>69</v>
      </c>
      <c r="F190" t="str">
        <f t="shared" si="2"/>
        <v>Senior</v>
      </c>
      <c r="G190" s="3" t="s">
        <v>32</v>
      </c>
      <c r="H190" s="2" t="s">
        <v>33</v>
      </c>
      <c r="I190" s="2" t="s">
        <v>25</v>
      </c>
      <c r="J190" s="2" t="s">
        <v>53</v>
      </c>
      <c r="K190" s="11">
        <v>45397</v>
      </c>
      <c r="L190" s="11">
        <v>45416</v>
      </c>
      <c r="M190" s="3">
        <v>25000</v>
      </c>
      <c r="N190" s="3" t="s">
        <v>67</v>
      </c>
      <c r="O190" s="3" t="s">
        <v>21</v>
      </c>
    </row>
    <row r="191" spans="3:15">
      <c r="C191" s="2" t="s">
        <v>654</v>
      </c>
      <c r="D191" s="2" t="s">
        <v>655</v>
      </c>
      <c r="E191" s="2">
        <v>22</v>
      </c>
      <c r="F191" t="str">
        <f t="shared" si="2"/>
        <v>Young Adult</v>
      </c>
      <c r="G191" s="2" t="s">
        <v>32</v>
      </c>
      <c r="H191" s="2" t="s">
        <v>58</v>
      </c>
      <c r="I191" s="2" t="s">
        <v>132</v>
      </c>
      <c r="J191" s="2" t="s">
        <v>48</v>
      </c>
      <c r="K191" s="11">
        <v>45520</v>
      </c>
      <c r="L191" s="11">
        <v>45535</v>
      </c>
      <c r="M191" s="2">
        <v>25000</v>
      </c>
      <c r="N191" s="2" t="s">
        <v>29</v>
      </c>
      <c r="O191" s="2" t="s">
        <v>21</v>
      </c>
    </row>
    <row r="192" spans="3:15">
      <c r="C192" s="3" t="s">
        <v>656</v>
      </c>
      <c r="D192" s="2" t="s">
        <v>657</v>
      </c>
      <c r="E192" s="3">
        <v>57</v>
      </c>
      <c r="F192" t="str">
        <f t="shared" si="2"/>
        <v>Middle Age</v>
      </c>
      <c r="G192" s="3" t="s">
        <v>32</v>
      </c>
      <c r="H192" s="2" t="s">
        <v>85</v>
      </c>
      <c r="I192" s="2" t="s">
        <v>132</v>
      </c>
      <c r="J192" s="2" t="s">
        <v>26</v>
      </c>
      <c r="K192" s="11">
        <v>45301</v>
      </c>
      <c r="L192" s="11">
        <v>45569</v>
      </c>
      <c r="M192" s="3">
        <v>12000</v>
      </c>
      <c r="N192" s="3" t="s">
        <v>20</v>
      </c>
      <c r="O192" s="3" t="s">
        <v>38</v>
      </c>
    </row>
    <row r="193" spans="3:15">
      <c r="C193" s="2" t="s">
        <v>658</v>
      </c>
      <c r="D193" s="2" t="s">
        <v>251</v>
      </c>
      <c r="E193" s="2">
        <v>19</v>
      </c>
      <c r="F193" t="str">
        <f t="shared" si="2"/>
        <v>Young Adult</v>
      </c>
      <c r="G193" s="2" t="s">
        <v>32</v>
      </c>
      <c r="H193" s="2" t="s">
        <v>52</v>
      </c>
      <c r="I193" s="2" t="s">
        <v>42</v>
      </c>
      <c r="J193" s="2" t="s">
        <v>35</v>
      </c>
      <c r="K193" s="11">
        <v>45468</v>
      </c>
      <c r="L193" s="11">
        <v>45496</v>
      </c>
      <c r="M193" s="2">
        <v>5000</v>
      </c>
      <c r="N193" s="2" t="s">
        <v>67</v>
      </c>
      <c r="O193" s="2" t="s">
        <v>38</v>
      </c>
    </row>
    <row r="194" spans="3:15">
      <c r="C194" s="3" t="s">
        <v>660</v>
      </c>
      <c r="D194" s="2" t="s">
        <v>661</v>
      </c>
      <c r="E194" s="3">
        <v>32</v>
      </c>
      <c r="F194" t="str">
        <f t="shared" si="2"/>
        <v>Young Adult</v>
      </c>
      <c r="G194" s="3" t="s">
        <v>14</v>
      </c>
      <c r="H194" s="2" t="s">
        <v>33</v>
      </c>
      <c r="I194" s="2" t="s">
        <v>132</v>
      </c>
      <c r="J194" s="2" t="s">
        <v>26</v>
      </c>
      <c r="K194" s="11">
        <v>45331</v>
      </c>
      <c r="L194" s="11">
        <v>45557</v>
      </c>
      <c r="M194" s="3">
        <v>35000</v>
      </c>
      <c r="N194" s="3" t="s">
        <v>29</v>
      </c>
      <c r="O194" s="3" t="s">
        <v>21</v>
      </c>
    </row>
    <row r="195" spans="3:15">
      <c r="C195" s="2" t="s">
        <v>663</v>
      </c>
      <c r="D195" s="2" t="s">
        <v>664</v>
      </c>
      <c r="E195" s="2">
        <v>74</v>
      </c>
      <c r="F195" t="str">
        <f t="shared" si="2"/>
        <v>Senior</v>
      </c>
      <c r="G195" s="2" t="s">
        <v>14</v>
      </c>
      <c r="H195" s="2" t="s">
        <v>58</v>
      </c>
      <c r="I195" s="2" t="s">
        <v>34</v>
      </c>
      <c r="J195" s="2" t="s">
        <v>48</v>
      </c>
      <c r="K195" s="11">
        <v>45439</v>
      </c>
      <c r="L195" s="11">
        <v>45464</v>
      </c>
      <c r="M195" s="2">
        <v>8000</v>
      </c>
      <c r="N195" s="2" t="s">
        <v>20</v>
      </c>
      <c r="O195" s="2" t="s">
        <v>38</v>
      </c>
    </row>
    <row r="196" spans="3:15">
      <c r="C196" s="3" t="s">
        <v>666</v>
      </c>
      <c r="D196" s="2" t="s">
        <v>667</v>
      </c>
      <c r="E196" s="3">
        <v>58</v>
      </c>
      <c r="F196" t="str">
        <f t="shared" si="2"/>
        <v>Middle Age</v>
      </c>
      <c r="G196" s="3" t="s">
        <v>32</v>
      </c>
      <c r="H196" s="2" t="s">
        <v>33</v>
      </c>
      <c r="I196" s="2" t="s">
        <v>34</v>
      </c>
      <c r="J196" s="2" t="s">
        <v>48</v>
      </c>
      <c r="K196" s="11">
        <v>45489</v>
      </c>
      <c r="L196" s="11">
        <v>45516</v>
      </c>
      <c r="M196" s="3">
        <v>35000</v>
      </c>
      <c r="N196" s="3" t="s">
        <v>20</v>
      </c>
      <c r="O196" s="3" t="s">
        <v>87</v>
      </c>
    </row>
    <row r="197" spans="3:15">
      <c r="C197" s="2" t="s">
        <v>670</v>
      </c>
      <c r="D197" s="2" t="s">
        <v>282</v>
      </c>
      <c r="E197" s="2">
        <v>6</v>
      </c>
      <c r="F197" t="str">
        <f t="shared" si="2"/>
        <v>Child</v>
      </c>
      <c r="G197" s="2" t="s">
        <v>32</v>
      </c>
      <c r="H197" s="2" t="s">
        <v>85</v>
      </c>
      <c r="I197" s="2" t="s">
        <v>16</v>
      </c>
      <c r="J197" s="2" t="s">
        <v>26</v>
      </c>
      <c r="K197" s="11">
        <v>45359</v>
      </c>
      <c r="L197" s="11">
        <v>45518</v>
      </c>
      <c r="M197" s="2">
        <v>5000</v>
      </c>
      <c r="N197" s="2" t="s">
        <v>29</v>
      </c>
      <c r="O197" s="2" t="s">
        <v>87</v>
      </c>
    </row>
    <row r="198" spans="3:15">
      <c r="C198" s="2" t="s">
        <v>671</v>
      </c>
      <c r="D198" s="2" t="s">
        <v>672</v>
      </c>
      <c r="E198" s="2">
        <v>80</v>
      </c>
      <c r="F198" t="str">
        <f t="shared" si="2"/>
        <v>Senior</v>
      </c>
      <c r="G198" s="2" t="s">
        <v>32</v>
      </c>
      <c r="H198" s="2" t="s">
        <v>85</v>
      </c>
      <c r="I198" s="2" t="s">
        <v>16</v>
      </c>
      <c r="J198" s="2" t="s">
        <v>99</v>
      </c>
      <c r="K198" s="11">
        <v>45600</v>
      </c>
      <c r="L198" s="11">
        <v>45407</v>
      </c>
      <c r="M198" s="2">
        <v>50000</v>
      </c>
      <c r="N198" s="2" t="s">
        <v>20</v>
      </c>
      <c r="O198" s="2" t="s">
        <v>87</v>
      </c>
    </row>
    <row r="199" spans="3:15">
      <c r="C199" s="3" t="s">
        <v>673</v>
      </c>
      <c r="D199" s="2" t="s">
        <v>674</v>
      </c>
      <c r="E199" s="3">
        <v>22</v>
      </c>
      <c r="F199" t="str">
        <f t="shared" si="2"/>
        <v>Young Adult</v>
      </c>
      <c r="G199" s="3" t="s">
        <v>32</v>
      </c>
      <c r="H199" s="2" t="s">
        <v>58</v>
      </c>
      <c r="I199" s="2" t="s">
        <v>76</v>
      </c>
      <c r="J199" s="2" t="s">
        <v>17</v>
      </c>
      <c r="K199" s="11">
        <v>45310</v>
      </c>
      <c r="L199" s="11">
        <v>45315</v>
      </c>
      <c r="M199" s="3">
        <v>5000</v>
      </c>
      <c r="N199" s="3" t="s">
        <v>67</v>
      </c>
      <c r="O199" s="3" t="s">
        <v>55</v>
      </c>
    </row>
    <row r="200" spans="3:15">
      <c r="C200" s="2" t="s">
        <v>675</v>
      </c>
      <c r="D200" s="2" t="s">
        <v>156</v>
      </c>
      <c r="E200" s="2">
        <v>40</v>
      </c>
      <c r="F200" t="str">
        <f t="shared" si="2"/>
        <v>Middle Age</v>
      </c>
      <c r="G200" s="2" t="s">
        <v>14</v>
      </c>
      <c r="H200" s="2" t="s">
        <v>58</v>
      </c>
      <c r="I200" s="2" t="s">
        <v>42</v>
      </c>
      <c r="J200" s="2" t="s">
        <v>104</v>
      </c>
      <c r="K200" s="11">
        <v>45311</v>
      </c>
      <c r="L200" s="11">
        <v>45338</v>
      </c>
      <c r="M200" s="2">
        <v>20000</v>
      </c>
      <c r="N200" s="2" t="s">
        <v>29</v>
      </c>
      <c r="O200" s="2" t="s">
        <v>87</v>
      </c>
    </row>
    <row r="201" spans="3:15">
      <c r="C201" s="3" t="s">
        <v>677</v>
      </c>
      <c r="D201" s="2" t="s">
        <v>678</v>
      </c>
      <c r="E201" s="3" t="s">
        <v>775</v>
      </c>
      <c r="F201" t="str">
        <f t="shared" si="2"/>
        <v>Unknown</v>
      </c>
      <c r="G201" s="3" t="s">
        <v>14</v>
      </c>
      <c r="H201" s="2" t="s">
        <v>85</v>
      </c>
      <c r="I201" s="2" t="s">
        <v>127</v>
      </c>
      <c r="J201" s="2" t="s">
        <v>35</v>
      </c>
      <c r="K201" s="11">
        <v>45445</v>
      </c>
      <c r="L201" s="11">
        <v>45452</v>
      </c>
      <c r="M201" s="3">
        <v>35000</v>
      </c>
      <c r="N201" s="3" t="s">
        <v>20</v>
      </c>
      <c r="O201" s="3" t="s">
        <v>55</v>
      </c>
    </row>
    <row r="202" spans="3:15">
      <c r="C202" s="2" t="s">
        <v>680</v>
      </c>
      <c r="D202" s="2" t="s">
        <v>681</v>
      </c>
      <c r="E202" s="2">
        <v>45</v>
      </c>
      <c r="F202" t="str">
        <f t="shared" ref="F202:F265" si="3">IF(E202="Unknown","Unknown",IF(E202&lt;18,"Child",IF(E202&lt;40,"Young Adult",IF(E202&lt;60,"Middle Age","Senior"))))</f>
        <v>Middle Age</v>
      </c>
      <c r="G202" s="2" t="s">
        <v>32</v>
      </c>
      <c r="H202" s="2" t="s">
        <v>15</v>
      </c>
      <c r="I202" s="2" t="s">
        <v>132</v>
      </c>
      <c r="J202" s="2" t="s">
        <v>17</v>
      </c>
      <c r="K202" s="11">
        <v>45319</v>
      </c>
      <c r="L202" s="11">
        <v>45335</v>
      </c>
      <c r="M202" s="2">
        <v>5000</v>
      </c>
      <c r="N202" s="2" t="s">
        <v>29</v>
      </c>
      <c r="O202" s="2" t="s">
        <v>87</v>
      </c>
    </row>
    <row r="203" spans="3:15">
      <c r="C203" s="3" t="s">
        <v>683</v>
      </c>
      <c r="D203" s="2" t="s">
        <v>362</v>
      </c>
      <c r="E203" s="3">
        <v>12</v>
      </c>
      <c r="F203" t="str">
        <f t="shared" si="3"/>
        <v>Child</v>
      </c>
      <c r="G203" s="3" t="s">
        <v>14</v>
      </c>
      <c r="H203" s="2" t="s">
        <v>33</v>
      </c>
      <c r="I203" s="2" t="s">
        <v>42</v>
      </c>
      <c r="J203" s="2" t="s">
        <v>26</v>
      </c>
      <c r="K203" s="11">
        <v>45606</v>
      </c>
      <c r="L203" s="11">
        <v>45582</v>
      </c>
      <c r="M203" s="3">
        <v>15000</v>
      </c>
      <c r="N203" s="3" t="s">
        <v>67</v>
      </c>
      <c r="O203" s="3" t="s">
        <v>55</v>
      </c>
    </row>
    <row r="204" spans="3:15">
      <c r="C204" s="2" t="s">
        <v>686</v>
      </c>
      <c r="D204" s="2" t="s">
        <v>687</v>
      </c>
      <c r="E204" s="2">
        <v>13</v>
      </c>
      <c r="F204" t="str">
        <f t="shared" si="3"/>
        <v>Child</v>
      </c>
      <c r="G204" s="2" t="s">
        <v>32</v>
      </c>
      <c r="H204" s="2" t="s">
        <v>85</v>
      </c>
      <c r="I204" s="2" t="s">
        <v>25</v>
      </c>
      <c r="J204" s="2" t="s">
        <v>35</v>
      </c>
      <c r="K204" s="11">
        <v>45307</v>
      </c>
      <c r="L204" s="11">
        <v>45314</v>
      </c>
      <c r="M204" s="2">
        <v>75000</v>
      </c>
      <c r="N204" s="2" t="s">
        <v>20</v>
      </c>
      <c r="O204" s="2" t="s">
        <v>55</v>
      </c>
    </row>
    <row r="205" spans="3:15">
      <c r="C205" s="3" t="s">
        <v>688</v>
      </c>
      <c r="D205" s="2" t="s">
        <v>1231</v>
      </c>
      <c r="E205" s="3">
        <v>89</v>
      </c>
      <c r="F205" t="str">
        <f t="shared" si="3"/>
        <v>Senior</v>
      </c>
      <c r="G205" s="3" t="s">
        <v>690</v>
      </c>
      <c r="H205" s="2" t="s">
        <v>52</v>
      </c>
      <c r="I205" s="2" t="s">
        <v>16</v>
      </c>
      <c r="J205" s="2" t="s">
        <v>104</v>
      </c>
      <c r="K205" s="11">
        <v>45359</v>
      </c>
      <c r="L205" s="11">
        <v>45508</v>
      </c>
      <c r="M205" s="3">
        <v>75000</v>
      </c>
      <c r="N205" s="3" t="s">
        <v>20</v>
      </c>
      <c r="O205" s="3" t="s">
        <v>87</v>
      </c>
    </row>
    <row r="206" spans="3:15">
      <c r="C206" s="2" t="s">
        <v>691</v>
      </c>
      <c r="D206" s="2" t="s">
        <v>352</v>
      </c>
      <c r="E206" s="2">
        <v>4</v>
      </c>
      <c r="F206" t="str">
        <f t="shared" si="3"/>
        <v>Child</v>
      </c>
      <c r="G206" s="2" t="s">
        <v>32</v>
      </c>
      <c r="H206" s="2" t="s">
        <v>775</v>
      </c>
      <c r="I206" s="2" t="s">
        <v>42</v>
      </c>
      <c r="J206" s="2" t="s">
        <v>104</v>
      </c>
      <c r="K206" s="11">
        <v>45317</v>
      </c>
      <c r="L206" s="11">
        <v>45332</v>
      </c>
      <c r="M206" s="2">
        <v>8000</v>
      </c>
      <c r="N206" s="2" t="s">
        <v>37</v>
      </c>
      <c r="O206" s="2" t="s">
        <v>55</v>
      </c>
    </row>
    <row r="207" spans="3:15">
      <c r="C207" s="3" t="s">
        <v>692</v>
      </c>
      <c r="D207" s="2" t="s">
        <v>693</v>
      </c>
      <c r="E207" s="3">
        <v>45</v>
      </c>
      <c r="F207" t="str">
        <f t="shared" si="3"/>
        <v>Middle Age</v>
      </c>
      <c r="G207" s="3" t="s">
        <v>14</v>
      </c>
      <c r="H207" s="2" t="s">
        <v>15</v>
      </c>
      <c r="I207" s="2" t="s">
        <v>127</v>
      </c>
      <c r="J207" s="2" t="s">
        <v>104</v>
      </c>
      <c r="K207" s="11">
        <v>45443</v>
      </c>
      <c r="L207" s="11">
        <v>45460</v>
      </c>
      <c r="M207" s="3">
        <v>15000</v>
      </c>
      <c r="N207" s="3" t="s">
        <v>29</v>
      </c>
      <c r="O207" s="3" t="s">
        <v>21</v>
      </c>
    </row>
    <row r="208" spans="3:15">
      <c r="C208" s="2" t="s">
        <v>694</v>
      </c>
      <c r="D208" s="2" t="s">
        <v>695</v>
      </c>
      <c r="E208" s="2">
        <v>61</v>
      </c>
      <c r="F208" t="str">
        <f t="shared" si="3"/>
        <v>Senior</v>
      </c>
      <c r="G208" s="2" t="s">
        <v>14</v>
      </c>
      <c r="H208" s="2" t="s">
        <v>52</v>
      </c>
      <c r="I208" s="2" t="s">
        <v>25</v>
      </c>
      <c r="J208" s="2" t="s">
        <v>48</v>
      </c>
      <c r="K208" s="11">
        <v>45325</v>
      </c>
      <c r="L208" s="11">
        <v>45372</v>
      </c>
      <c r="M208" s="2">
        <v>25000</v>
      </c>
      <c r="N208" s="2" t="s">
        <v>29</v>
      </c>
      <c r="O208" s="2" t="s">
        <v>55</v>
      </c>
    </row>
    <row r="209" spans="3:15">
      <c r="C209" s="3" t="s">
        <v>697</v>
      </c>
      <c r="D209" s="2" t="s">
        <v>698</v>
      </c>
      <c r="E209" s="3">
        <v>56</v>
      </c>
      <c r="F209" t="str">
        <f t="shared" si="3"/>
        <v>Middle Age</v>
      </c>
      <c r="G209" s="3" t="s">
        <v>14</v>
      </c>
      <c r="H209" s="2" t="s">
        <v>33</v>
      </c>
      <c r="I209" s="2" t="s">
        <v>132</v>
      </c>
      <c r="J209" s="2" t="s">
        <v>35</v>
      </c>
      <c r="K209" s="11">
        <v>45511</v>
      </c>
      <c r="L209" s="11">
        <v>45484</v>
      </c>
      <c r="M209" s="3">
        <v>25000</v>
      </c>
      <c r="N209" s="3" t="s">
        <v>29</v>
      </c>
      <c r="O209" s="3" t="s">
        <v>87</v>
      </c>
    </row>
    <row r="210" spans="3:15">
      <c r="C210" s="2" t="s">
        <v>699</v>
      </c>
      <c r="D210" s="2" t="s">
        <v>700</v>
      </c>
      <c r="E210" s="2">
        <v>47</v>
      </c>
      <c r="F210" t="str">
        <f t="shared" si="3"/>
        <v>Middle Age</v>
      </c>
      <c r="G210" s="2" t="s">
        <v>32</v>
      </c>
      <c r="H210" s="2" t="s">
        <v>52</v>
      </c>
      <c r="I210" s="2" t="s">
        <v>127</v>
      </c>
      <c r="J210" s="2" t="s">
        <v>35</v>
      </c>
      <c r="K210" s="11">
        <v>45352</v>
      </c>
      <c r="L210" s="11">
        <v>45300</v>
      </c>
      <c r="M210" s="2">
        <v>15000</v>
      </c>
      <c r="N210" s="2" t="s">
        <v>20</v>
      </c>
      <c r="O210" s="2" t="s">
        <v>55</v>
      </c>
    </row>
    <row r="211" spans="3:15">
      <c r="C211" s="3" t="s">
        <v>703</v>
      </c>
      <c r="D211" s="2" t="s">
        <v>704</v>
      </c>
      <c r="E211" s="3">
        <v>31</v>
      </c>
      <c r="F211" t="str">
        <f t="shared" si="3"/>
        <v>Young Adult</v>
      </c>
      <c r="G211" s="3" t="s">
        <v>14</v>
      </c>
      <c r="H211" s="2" t="s">
        <v>52</v>
      </c>
      <c r="I211" s="2" t="s">
        <v>16</v>
      </c>
      <c r="J211" s="2" t="s">
        <v>53</v>
      </c>
      <c r="K211" s="11">
        <v>45535</v>
      </c>
      <c r="L211" s="11">
        <v>45545</v>
      </c>
      <c r="M211" s="3">
        <v>75000</v>
      </c>
      <c r="N211" s="3" t="s">
        <v>67</v>
      </c>
      <c r="O211" s="3" t="s">
        <v>87</v>
      </c>
    </row>
    <row r="212" spans="3:15">
      <c r="C212" s="2" t="s">
        <v>705</v>
      </c>
      <c r="D212" s="2" t="s">
        <v>706</v>
      </c>
      <c r="E212" s="2">
        <v>54</v>
      </c>
      <c r="F212" t="str">
        <f t="shared" si="3"/>
        <v>Middle Age</v>
      </c>
      <c r="G212" s="2" t="s">
        <v>32</v>
      </c>
      <c r="H212" s="2" t="s">
        <v>109</v>
      </c>
      <c r="I212" s="2" t="s">
        <v>42</v>
      </c>
      <c r="J212" s="2" t="s">
        <v>48</v>
      </c>
      <c r="K212" s="11">
        <v>45570</v>
      </c>
      <c r="L212" s="11">
        <v>45441</v>
      </c>
      <c r="M212" s="2">
        <v>15000</v>
      </c>
      <c r="N212" s="2" t="s">
        <v>29</v>
      </c>
      <c r="O212" s="2" t="s">
        <v>87</v>
      </c>
    </row>
    <row r="213" spans="3:15">
      <c r="C213" s="3" t="s">
        <v>707</v>
      </c>
      <c r="D213" s="2" t="s">
        <v>623</v>
      </c>
      <c r="E213" s="3">
        <v>56</v>
      </c>
      <c r="F213" t="str">
        <f t="shared" si="3"/>
        <v>Middle Age</v>
      </c>
      <c r="G213" s="3" t="s">
        <v>14</v>
      </c>
      <c r="H213" s="2" t="s">
        <v>85</v>
      </c>
      <c r="I213" s="2" t="s">
        <v>42</v>
      </c>
      <c r="J213" s="2" t="s">
        <v>53</v>
      </c>
      <c r="K213" s="11">
        <v>45517</v>
      </c>
      <c r="L213" s="11">
        <v>45518</v>
      </c>
      <c r="M213" s="3">
        <v>12000</v>
      </c>
      <c r="N213" s="3" t="s">
        <v>37</v>
      </c>
      <c r="O213" s="3" t="s">
        <v>55</v>
      </c>
    </row>
    <row r="214" spans="3:15">
      <c r="C214" s="2" t="s">
        <v>708</v>
      </c>
      <c r="D214" s="2" t="s">
        <v>291</v>
      </c>
      <c r="E214" s="2">
        <v>30</v>
      </c>
      <c r="F214" t="str">
        <f t="shared" si="3"/>
        <v>Young Adult</v>
      </c>
      <c r="G214" s="2" t="s">
        <v>32</v>
      </c>
      <c r="H214" s="2" t="s">
        <v>109</v>
      </c>
      <c r="I214" s="2" t="s">
        <v>25</v>
      </c>
      <c r="J214" s="2" t="s">
        <v>26</v>
      </c>
      <c r="K214" s="11">
        <v>45450</v>
      </c>
      <c r="L214" s="11">
        <v>45508</v>
      </c>
      <c r="M214" s="2">
        <v>35000</v>
      </c>
      <c r="N214" s="2" t="s">
        <v>37</v>
      </c>
      <c r="O214" s="2" t="s">
        <v>87</v>
      </c>
    </row>
    <row r="215" spans="3:15">
      <c r="C215" s="3" t="s">
        <v>709</v>
      </c>
      <c r="D215" s="2" t="s">
        <v>473</v>
      </c>
      <c r="E215" s="3">
        <v>18</v>
      </c>
      <c r="F215" t="str">
        <f t="shared" si="3"/>
        <v>Young Adult</v>
      </c>
      <c r="G215" s="3" t="s">
        <v>14</v>
      </c>
      <c r="H215" s="2" t="s">
        <v>15</v>
      </c>
      <c r="I215" s="2" t="s">
        <v>25</v>
      </c>
      <c r="J215" s="2" t="s">
        <v>99</v>
      </c>
      <c r="K215" s="11">
        <v>45301</v>
      </c>
      <c r="L215" s="11">
        <v>45579</v>
      </c>
      <c r="M215" s="3">
        <v>75000</v>
      </c>
      <c r="N215" s="3" t="s">
        <v>37</v>
      </c>
      <c r="O215" s="3" t="s">
        <v>55</v>
      </c>
    </row>
    <row r="216" spans="3:15">
      <c r="C216" s="2" t="s">
        <v>710</v>
      </c>
      <c r="D216" s="2" t="s">
        <v>711</v>
      </c>
      <c r="E216" s="2">
        <v>23</v>
      </c>
      <c r="F216" t="str">
        <f t="shared" si="3"/>
        <v>Young Adult</v>
      </c>
      <c r="G216" s="2" t="s">
        <v>32</v>
      </c>
      <c r="H216" s="2" t="s">
        <v>58</v>
      </c>
      <c r="I216" s="2" t="s">
        <v>132</v>
      </c>
      <c r="J216" s="2" t="s">
        <v>35</v>
      </c>
      <c r="K216" s="11">
        <v>45293</v>
      </c>
      <c r="L216" s="11">
        <v>45337</v>
      </c>
      <c r="M216" s="2">
        <v>100000</v>
      </c>
      <c r="N216" s="2" t="s">
        <v>37</v>
      </c>
      <c r="O216" s="2" t="s">
        <v>21</v>
      </c>
    </row>
    <row r="217" spans="3:15">
      <c r="C217" s="3" t="s">
        <v>712</v>
      </c>
      <c r="D217" s="2" t="s">
        <v>713</v>
      </c>
      <c r="E217" s="3">
        <v>81</v>
      </c>
      <c r="F217" t="str">
        <f t="shared" si="3"/>
        <v>Senior</v>
      </c>
      <c r="G217" s="3" t="s">
        <v>32</v>
      </c>
      <c r="H217" s="2" t="s">
        <v>33</v>
      </c>
      <c r="I217" s="2" t="s">
        <v>127</v>
      </c>
      <c r="J217" s="2" t="s">
        <v>17</v>
      </c>
      <c r="K217" s="11">
        <v>45430</v>
      </c>
      <c r="L217" s="11">
        <v>45433</v>
      </c>
      <c r="M217" s="3">
        <v>100000</v>
      </c>
      <c r="N217" s="3" t="s">
        <v>29</v>
      </c>
      <c r="O217" s="3" t="s">
        <v>87</v>
      </c>
    </row>
    <row r="218" spans="3:15">
      <c r="C218" s="2" t="s">
        <v>716</v>
      </c>
      <c r="D218" s="2" t="s">
        <v>298</v>
      </c>
      <c r="E218" s="2">
        <v>45</v>
      </c>
      <c r="F218" t="str">
        <f t="shared" si="3"/>
        <v>Middle Age</v>
      </c>
      <c r="G218" s="2" t="s">
        <v>14</v>
      </c>
      <c r="H218" s="2" t="s">
        <v>33</v>
      </c>
      <c r="I218" s="2" t="s">
        <v>34</v>
      </c>
      <c r="J218" s="2" t="s">
        <v>17</v>
      </c>
      <c r="K218" s="11">
        <v>45366</v>
      </c>
      <c r="L218" s="11">
        <v>45380</v>
      </c>
      <c r="M218" s="2">
        <v>15000</v>
      </c>
      <c r="N218" s="2" t="s">
        <v>67</v>
      </c>
      <c r="O218" s="2" t="s">
        <v>87</v>
      </c>
    </row>
    <row r="219" spans="3:15">
      <c r="C219" s="3" t="s">
        <v>717</v>
      </c>
      <c r="D219" s="2" t="s">
        <v>718</v>
      </c>
      <c r="E219" s="3">
        <v>67</v>
      </c>
      <c r="F219" t="str">
        <f t="shared" si="3"/>
        <v>Senior</v>
      </c>
      <c r="G219" s="3" t="s">
        <v>14</v>
      </c>
      <c r="H219" s="2" t="s">
        <v>109</v>
      </c>
      <c r="I219" s="2" t="s">
        <v>132</v>
      </c>
      <c r="J219" s="2" t="s">
        <v>104</v>
      </c>
      <c r="K219" s="11">
        <v>45502</v>
      </c>
      <c r="L219" s="11">
        <v>45528</v>
      </c>
      <c r="M219" s="3">
        <v>35000</v>
      </c>
      <c r="N219" s="3" t="s">
        <v>67</v>
      </c>
      <c r="O219" s="3" t="s">
        <v>87</v>
      </c>
    </row>
    <row r="220" spans="3:15">
      <c r="C220" s="2" t="s">
        <v>720</v>
      </c>
      <c r="D220" s="2" t="s">
        <v>721</v>
      </c>
      <c r="E220" s="2" t="s">
        <v>775</v>
      </c>
      <c r="F220" t="str">
        <f t="shared" si="3"/>
        <v>Unknown</v>
      </c>
      <c r="G220" s="2" t="s">
        <v>32</v>
      </c>
      <c r="H220" s="2" t="s">
        <v>15</v>
      </c>
      <c r="I220" s="2" t="s">
        <v>132</v>
      </c>
      <c r="J220" s="2" t="s">
        <v>26</v>
      </c>
      <c r="K220" s="11">
        <v>45571</v>
      </c>
      <c r="L220" s="11">
        <v>45460</v>
      </c>
      <c r="M220" s="2">
        <v>5000</v>
      </c>
      <c r="N220" s="2" t="s">
        <v>67</v>
      </c>
      <c r="O220" s="2" t="s">
        <v>55</v>
      </c>
    </row>
    <row r="221" spans="3:15">
      <c r="C221" s="3" t="s">
        <v>723</v>
      </c>
      <c r="D221" s="2" t="s">
        <v>724</v>
      </c>
      <c r="E221" s="3">
        <v>76</v>
      </c>
      <c r="F221" t="str">
        <f t="shared" si="3"/>
        <v>Senior</v>
      </c>
      <c r="G221" s="3" t="s">
        <v>32</v>
      </c>
      <c r="H221" s="2" t="s">
        <v>15</v>
      </c>
      <c r="I221" s="2" t="s">
        <v>132</v>
      </c>
      <c r="J221" s="2" t="s">
        <v>53</v>
      </c>
      <c r="K221" s="11">
        <v>45355</v>
      </c>
      <c r="L221" s="11">
        <v>45403</v>
      </c>
      <c r="M221" s="3">
        <v>12000</v>
      </c>
      <c r="N221" s="3" t="s">
        <v>20</v>
      </c>
      <c r="O221" s="3" t="s">
        <v>21</v>
      </c>
    </row>
    <row r="222" spans="3:15">
      <c r="C222" s="2" t="s">
        <v>726</v>
      </c>
      <c r="D222" s="2" t="s">
        <v>727</v>
      </c>
      <c r="E222" s="2">
        <v>24</v>
      </c>
      <c r="F222" t="str">
        <f t="shared" si="3"/>
        <v>Young Adult</v>
      </c>
      <c r="G222" s="2" t="s">
        <v>14</v>
      </c>
      <c r="H222" s="2" t="s">
        <v>85</v>
      </c>
      <c r="I222" s="2" t="s">
        <v>132</v>
      </c>
      <c r="J222" s="2" t="s">
        <v>17</v>
      </c>
      <c r="K222" s="11">
        <v>45530</v>
      </c>
      <c r="L222" s="11">
        <v>45547</v>
      </c>
      <c r="M222" s="2">
        <v>20000</v>
      </c>
      <c r="N222" s="2" t="s">
        <v>67</v>
      </c>
      <c r="O222" s="2" t="s">
        <v>21</v>
      </c>
    </row>
    <row r="223" spans="3:15">
      <c r="C223" s="3" t="s">
        <v>730</v>
      </c>
      <c r="D223" s="2" t="s">
        <v>731</v>
      </c>
      <c r="E223" s="3">
        <v>55</v>
      </c>
      <c r="F223" t="str">
        <f t="shared" si="3"/>
        <v>Middle Age</v>
      </c>
      <c r="G223" s="3" t="s">
        <v>14</v>
      </c>
      <c r="H223" s="2" t="s">
        <v>33</v>
      </c>
      <c r="I223" s="2" t="s">
        <v>16</v>
      </c>
      <c r="J223" s="2" t="s">
        <v>53</v>
      </c>
      <c r="K223" s="11">
        <v>45563</v>
      </c>
      <c r="L223" s="11">
        <v>45582</v>
      </c>
      <c r="M223" s="3">
        <v>8000</v>
      </c>
      <c r="N223" s="3" t="s">
        <v>29</v>
      </c>
      <c r="O223" s="3" t="s">
        <v>55</v>
      </c>
    </row>
    <row r="224" spans="3:15">
      <c r="C224" s="2" t="s">
        <v>732</v>
      </c>
      <c r="D224" s="2" t="s">
        <v>733</v>
      </c>
      <c r="E224" s="2">
        <v>61</v>
      </c>
      <c r="F224" t="str">
        <f t="shared" si="3"/>
        <v>Senior</v>
      </c>
      <c r="G224" s="2" t="s">
        <v>14</v>
      </c>
      <c r="H224" s="2" t="s">
        <v>58</v>
      </c>
      <c r="I224" s="2" t="s">
        <v>16</v>
      </c>
      <c r="J224" s="2" t="s">
        <v>99</v>
      </c>
      <c r="K224" s="11">
        <v>45562</v>
      </c>
      <c r="L224" s="11">
        <v>45578</v>
      </c>
      <c r="M224" s="2">
        <v>50000</v>
      </c>
      <c r="N224" s="2" t="s">
        <v>67</v>
      </c>
      <c r="O224" s="2" t="s">
        <v>38</v>
      </c>
    </row>
    <row r="225" spans="3:15">
      <c r="C225" s="3" t="s">
        <v>734</v>
      </c>
      <c r="D225" s="2" t="s">
        <v>735</v>
      </c>
      <c r="E225" s="3">
        <v>15</v>
      </c>
      <c r="F225" t="str">
        <f t="shared" si="3"/>
        <v>Child</v>
      </c>
      <c r="G225" s="3" t="s">
        <v>32</v>
      </c>
      <c r="H225" s="2" t="s">
        <v>70</v>
      </c>
      <c r="I225" s="2" t="s">
        <v>132</v>
      </c>
      <c r="J225" s="2" t="s">
        <v>48</v>
      </c>
      <c r="K225" s="11">
        <v>45374</v>
      </c>
      <c r="L225" s="11">
        <v>45387</v>
      </c>
      <c r="M225" s="3">
        <v>8000</v>
      </c>
      <c r="N225" s="3" t="s">
        <v>29</v>
      </c>
      <c r="O225" s="3" t="s">
        <v>21</v>
      </c>
    </row>
    <row r="226" spans="3:15">
      <c r="C226" s="2" t="s">
        <v>737</v>
      </c>
      <c r="D226" s="2" t="s">
        <v>291</v>
      </c>
      <c r="E226" s="2">
        <v>34</v>
      </c>
      <c r="F226" t="str">
        <f t="shared" si="3"/>
        <v>Young Adult</v>
      </c>
      <c r="G226" s="2" t="s">
        <v>14</v>
      </c>
      <c r="H226" s="2" t="s">
        <v>109</v>
      </c>
      <c r="I226" s="2" t="s">
        <v>16</v>
      </c>
      <c r="J226" s="2" t="s">
        <v>53</v>
      </c>
      <c r="K226" s="11">
        <v>45339</v>
      </c>
      <c r="L226" s="11">
        <v>45365</v>
      </c>
      <c r="M226" s="2">
        <v>12000</v>
      </c>
      <c r="N226" s="2" t="s">
        <v>29</v>
      </c>
      <c r="O226" s="2" t="s">
        <v>38</v>
      </c>
    </row>
    <row r="227" spans="3:15">
      <c r="C227" s="3" t="s">
        <v>739</v>
      </c>
      <c r="D227" s="2" t="s">
        <v>740</v>
      </c>
      <c r="E227" s="3">
        <v>28</v>
      </c>
      <c r="F227" t="str">
        <f t="shared" si="3"/>
        <v>Young Adult</v>
      </c>
      <c r="G227" s="3" t="s">
        <v>14</v>
      </c>
      <c r="H227" s="2" t="s">
        <v>58</v>
      </c>
      <c r="I227" s="2" t="s">
        <v>34</v>
      </c>
      <c r="J227" s="2" t="s">
        <v>26</v>
      </c>
      <c r="K227" s="11">
        <v>45459</v>
      </c>
      <c r="L227" s="11">
        <v>45461</v>
      </c>
      <c r="M227" s="3">
        <v>50000</v>
      </c>
      <c r="N227" s="3" t="s">
        <v>67</v>
      </c>
      <c r="O227" s="3" t="s">
        <v>87</v>
      </c>
    </row>
    <row r="228" spans="3:15">
      <c r="C228" s="2" t="s">
        <v>743</v>
      </c>
      <c r="D228" s="2" t="s">
        <v>744</v>
      </c>
      <c r="E228" s="2">
        <v>84</v>
      </c>
      <c r="F228" t="str">
        <f t="shared" si="3"/>
        <v>Senior</v>
      </c>
      <c r="G228" s="2" t="s">
        <v>32</v>
      </c>
      <c r="H228" s="2" t="s">
        <v>52</v>
      </c>
      <c r="I228" s="2" t="s">
        <v>16</v>
      </c>
      <c r="J228" s="2" t="s">
        <v>35</v>
      </c>
      <c r="K228" s="11">
        <v>45295</v>
      </c>
      <c r="L228" s="11">
        <v>45411</v>
      </c>
      <c r="M228" s="2">
        <v>20000</v>
      </c>
      <c r="N228" s="2" t="s">
        <v>37</v>
      </c>
      <c r="O228" s="2" t="s">
        <v>38</v>
      </c>
    </row>
    <row r="229" spans="3:15">
      <c r="C229" s="3" t="s">
        <v>746</v>
      </c>
      <c r="D229" s="2" t="s">
        <v>547</v>
      </c>
      <c r="E229" s="3">
        <v>81</v>
      </c>
      <c r="F229" t="str">
        <f t="shared" si="3"/>
        <v>Senior</v>
      </c>
      <c r="G229" s="3" t="s">
        <v>14</v>
      </c>
      <c r="H229" s="2" t="s">
        <v>52</v>
      </c>
      <c r="I229" s="2" t="s">
        <v>16</v>
      </c>
      <c r="J229" s="2" t="s">
        <v>17</v>
      </c>
      <c r="K229" s="11">
        <v>45513</v>
      </c>
      <c r="L229" s="11">
        <v>45553</v>
      </c>
      <c r="M229" s="3">
        <v>75000</v>
      </c>
      <c r="N229" s="3" t="s">
        <v>67</v>
      </c>
      <c r="O229" s="3" t="s">
        <v>55</v>
      </c>
    </row>
    <row r="230" spans="3:15">
      <c r="C230" s="2" t="s">
        <v>747</v>
      </c>
      <c r="D230" s="2" t="s">
        <v>748</v>
      </c>
      <c r="E230" s="2">
        <v>6</v>
      </c>
      <c r="F230" t="str">
        <f t="shared" si="3"/>
        <v>Child</v>
      </c>
      <c r="G230" s="2" t="s">
        <v>32</v>
      </c>
      <c r="H230" s="2" t="s">
        <v>52</v>
      </c>
      <c r="I230" s="2" t="s">
        <v>16</v>
      </c>
      <c r="J230" s="2" t="s">
        <v>99</v>
      </c>
      <c r="K230" s="11">
        <v>45306</v>
      </c>
      <c r="L230" s="11">
        <v>45324</v>
      </c>
      <c r="M230" s="2">
        <v>15000</v>
      </c>
      <c r="N230" s="2" t="s">
        <v>20</v>
      </c>
      <c r="O230" s="2" t="s">
        <v>38</v>
      </c>
    </row>
    <row r="231" spans="3:15">
      <c r="C231" s="3" t="s">
        <v>751</v>
      </c>
      <c r="D231" s="2" t="s">
        <v>408</v>
      </c>
      <c r="E231" s="3">
        <v>14</v>
      </c>
      <c r="F231" t="str">
        <f t="shared" si="3"/>
        <v>Child</v>
      </c>
      <c r="G231" s="3" t="s">
        <v>32</v>
      </c>
      <c r="H231" s="2" t="s">
        <v>70</v>
      </c>
      <c r="I231" s="2" t="s">
        <v>16</v>
      </c>
      <c r="J231" s="2" t="s">
        <v>53</v>
      </c>
      <c r="K231" s="11">
        <v>45520</v>
      </c>
      <c r="L231" s="11">
        <v>45541</v>
      </c>
      <c r="M231" s="3">
        <v>8000</v>
      </c>
      <c r="N231" s="3" t="s">
        <v>20</v>
      </c>
      <c r="O231" s="3" t="s">
        <v>38</v>
      </c>
    </row>
    <row r="232" spans="3:15">
      <c r="C232" s="2" t="s">
        <v>753</v>
      </c>
      <c r="D232" s="2" t="s">
        <v>2035</v>
      </c>
      <c r="E232" s="2" t="s">
        <v>775</v>
      </c>
      <c r="F232" t="str">
        <f t="shared" si="3"/>
        <v>Unknown</v>
      </c>
      <c r="G232" s="2" t="s">
        <v>32</v>
      </c>
      <c r="H232" s="2" t="s">
        <v>58</v>
      </c>
      <c r="I232" s="2" t="s">
        <v>76</v>
      </c>
      <c r="J232" s="2" t="s">
        <v>99</v>
      </c>
      <c r="K232" s="11">
        <v>45418</v>
      </c>
      <c r="L232" s="11">
        <v>45475</v>
      </c>
      <c r="M232" s="2">
        <v>25000</v>
      </c>
      <c r="N232" s="2" t="s">
        <v>37</v>
      </c>
      <c r="O232" s="2" t="s">
        <v>87</v>
      </c>
    </row>
    <row r="233" spans="3:15">
      <c r="C233" s="3" t="s">
        <v>755</v>
      </c>
      <c r="D233" s="2" t="s">
        <v>756</v>
      </c>
      <c r="E233" s="3">
        <v>54</v>
      </c>
      <c r="F233" t="str">
        <f t="shared" si="3"/>
        <v>Middle Age</v>
      </c>
      <c r="G233" s="3" t="s">
        <v>32</v>
      </c>
      <c r="H233" s="2" t="s">
        <v>58</v>
      </c>
      <c r="I233" s="2" t="s">
        <v>25</v>
      </c>
      <c r="J233" s="2" t="s">
        <v>104</v>
      </c>
      <c r="K233" s="11">
        <v>45293</v>
      </c>
      <c r="L233" s="11">
        <v>45325</v>
      </c>
      <c r="M233" s="3">
        <v>75000</v>
      </c>
      <c r="N233" s="3" t="s">
        <v>67</v>
      </c>
      <c r="O233" s="3" t="s">
        <v>21</v>
      </c>
    </row>
    <row r="234" spans="3:15">
      <c r="C234" s="2" t="s">
        <v>757</v>
      </c>
      <c r="D234" s="2" t="s">
        <v>758</v>
      </c>
      <c r="E234" s="2">
        <v>60</v>
      </c>
      <c r="F234" t="str">
        <f t="shared" si="3"/>
        <v>Senior</v>
      </c>
      <c r="G234" s="2" t="s">
        <v>14</v>
      </c>
      <c r="H234" s="2" t="s">
        <v>15</v>
      </c>
      <c r="I234" s="2" t="s">
        <v>34</v>
      </c>
      <c r="J234" s="2" t="s">
        <v>104</v>
      </c>
      <c r="K234" s="11">
        <v>45422</v>
      </c>
      <c r="L234" s="11">
        <v>45593</v>
      </c>
      <c r="M234" s="2">
        <v>100000</v>
      </c>
      <c r="N234" s="2" t="s">
        <v>20</v>
      </c>
      <c r="O234" s="2" t="s">
        <v>55</v>
      </c>
    </row>
    <row r="235" spans="3:15">
      <c r="C235" s="3" t="s">
        <v>760</v>
      </c>
      <c r="D235" s="2" t="s">
        <v>761</v>
      </c>
      <c r="E235" s="3">
        <v>69</v>
      </c>
      <c r="F235" t="str">
        <f t="shared" si="3"/>
        <v>Senior</v>
      </c>
      <c r="G235" s="3" t="s">
        <v>14</v>
      </c>
      <c r="H235" s="2" t="s">
        <v>109</v>
      </c>
      <c r="I235" s="2" t="s">
        <v>127</v>
      </c>
      <c r="J235" s="2" t="s">
        <v>26</v>
      </c>
      <c r="K235" s="11">
        <v>45329</v>
      </c>
      <c r="L235" s="11">
        <v>45487</v>
      </c>
      <c r="M235" s="3">
        <v>50000</v>
      </c>
      <c r="N235" s="3" t="s">
        <v>20</v>
      </c>
      <c r="O235" s="3" t="s">
        <v>55</v>
      </c>
    </row>
    <row r="236" spans="3:15">
      <c r="C236" s="2" t="s">
        <v>762</v>
      </c>
      <c r="D236" s="2" t="s">
        <v>763</v>
      </c>
      <c r="E236" s="2">
        <v>19</v>
      </c>
      <c r="F236" t="str">
        <f t="shared" si="3"/>
        <v>Young Adult</v>
      </c>
      <c r="G236" s="2" t="s">
        <v>14</v>
      </c>
      <c r="H236" s="2" t="s">
        <v>70</v>
      </c>
      <c r="I236" s="2" t="s">
        <v>42</v>
      </c>
      <c r="J236" s="2" t="s">
        <v>104</v>
      </c>
      <c r="K236" s="11">
        <v>45590</v>
      </c>
      <c r="L236" s="11">
        <v>45603</v>
      </c>
      <c r="M236" s="2">
        <v>25000</v>
      </c>
      <c r="N236" s="2" t="s">
        <v>67</v>
      </c>
      <c r="O236" s="2" t="s">
        <v>87</v>
      </c>
    </row>
    <row r="237" spans="3:15">
      <c r="C237" s="3" t="s">
        <v>766</v>
      </c>
      <c r="D237" s="2" t="s">
        <v>740</v>
      </c>
      <c r="E237" s="3">
        <v>26</v>
      </c>
      <c r="F237" t="str">
        <f t="shared" si="3"/>
        <v>Young Adult</v>
      </c>
      <c r="G237" s="3" t="s">
        <v>32</v>
      </c>
      <c r="H237" s="2" t="s">
        <v>52</v>
      </c>
      <c r="I237" s="2" t="s">
        <v>25</v>
      </c>
      <c r="J237" s="2" t="s">
        <v>104</v>
      </c>
      <c r="K237" s="11">
        <v>45496</v>
      </c>
      <c r="L237" s="11">
        <v>45506</v>
      </c>
      <c r="M237" s="3">
        <v>12000</v>
      </c>
      <c r="N237" s="3" t="s">
        <v>775</v>
      </c>
      <c r="O237" s="3" t="s">
        <v>55</v>
      </c>
    </row>
    <row r="238" spans="3:15">
      <c r="C238" s="2" t="s">
        <v>767</v>
      </c>
      <c r="D238" s="2" t="s">
        <v>768</v>
      </c>
      <c r="E238" s="2">
        <v>3</v>
      </c>
      <c r="F238" t="str">
        <f t="shared" si="3"/>
        <v>Child</v>
      </c>
      <c r="G238" s="2" t="s">
        <v>32</v>
      </c>
      <c r="H238" s="2" t="s">
        <v>33</v>
      </c>
      <c r="I238" s="2" t="s">
        <v>34</v>
      </c>
      <c r="J238" s="2" t="s">
        <v>35</v>
      </c>
      <c r="K238" s="11">
        <v>45567</v>
      </c>
      <c r="L238" s="11">
        <v>45342</v>
      </c>
      <c r="M238" s="2">
        <v>35000</v>
      </c>
      <c r="N238" s="2" t="s">
        <v>37</v>
      </c>
      <c r="O238" s="2" t="s">
        <v>38</v>
      </c>
    </row>
    <row r="239" spans="3:15">
      <c r="C239" s="3" t="s">
        <v>770</v>
      </c>
      <c r="D239" s="2" t="s">
        <v>771</v>
      </c>
      <c r="E239" s="3">
        <v>84</v>
      </c>
      <c r="F239" t="str">
        <f t="shared" si="3"/>
        <v>Senior</v>
      </c>
      <c r="G239" s="3" t="s">
        <v>14</v>
      </c>
      <c r="H239" s="2" t="s">
        <v>52</v>
      </c>
      <c r="I239" s="2" t="s">
        <v>132</v>
      </c>
      <c r="J239" s="2" t="s">
        <v>48</v>
      </c>
      <c r="K239" s="11">
        <v>45563</v>
      </c>
      <c r="L239" s="11">
        <v>45576</v>
      </c>
      <c r="M239" s="3">
        <v>0</v>
      </c>
      <c r="N239" s="3" t="s">
        <v>67</v>
      </c>
      <c r="O239" s="3" t="s">
        <v>55</v>
      </c>
    </row>
    <row r="240" spans="3:15">
      <c r="C240" s="2" t="s">
        <v>773</v>
      </c>
      <c r="D240" s="2" t="s">
        <v>774</v>
      </c>
      <c r="E240" s="2" t="s">
        <v>775</v>
      </c>
      <c r="F240" t="str">
        <f t="shared" si="3"/>
        <v>Unknown</v>
      </c>
      <c r="G240" s="2" t="s">
        <v>32</v>
      </c>
      <c r="H240" s="2" t="s">
        <v>52</v>
      </c>
      <c r="I240" s="2" t="s">
        <v>42</v>
      </c>
      <c r="J240" s="2" t="s">
        <v>99</v>
      </c>
      <c r="K240" s="11">
        <v>45444</v>
      </c>
      <c r="L240" s="11">
        <v>45467</v>
      </c>
      <c r="M240" s="2">
        <v>12000</v>
      </c>
      <c r="N240" s="2" t="s">
        <v>37</v>
      </c>
      <c r="O240" s="2" t="s">
        <v>775</v>
      </c>
    </row>
    <row r="241" spans="3:15">
      <c r="C241" s="3" t="s">
        <v>778</v>
      </c>
      <c r="D241" s="2" t="s">
        <v>779</v>
      </c>
      <c r="E241" s="3">
        <v>18</v>
      </c>
      <c r="F241" t="str">
        <f t="shared" si="3"/>
        <v>Young Adult</v>
      </c>
      <c r="G241" s="3" t="s">
        <v>32</v>
      </c>
      <c r="H241" s="2" t="s">
        <v>109</v>
      </c>
      <c r="I241" s="2" t="s">
        <v>25</v>
      </c>
      <c r="J241" s="2" t="s">
        <v>48</v>
      </c>
      <c r="K241" s="11">
        <v>45317</v>
      </c>
      <c r="L241" s="11">
        <v>45341</v>
      </c>
      <c r="M241" s="3">
        <v>15000</v>
      </c>
      <c r="N241" s="3" t="s">
        <v>37</v>
      </c>
      <c r="O241" s="3" t="s">
        <v>38</v>
      </c>
    </row>
    <row r="242" spans="3:15">
      <c r="C242" s="2" t="s">
        <v>780</v>
      </c>
      <c r="D242" s="2" t="s">
        <v>781</v>
      </c>
      <c r="E242" s="2">
        <v>40</v>
      </c>
      <c r="F242" t="str">
        <f t="shared" si="3"/>
        <v>Middle Age</v>
      </c>
      <c r="G242" s="2" t="s">
        <v>14</v>
      </c>
      <c r="H242" s="2" t="s">
        <v>70</v>
      </c>
      <c r="I242" s="2" t="s">
        <v>42</v>
      </c>
      <c r="J242" s="2" t="s">
        <v>104</v>
      </c>
      <c r="K242" s="11">
        <v>45404</v>
      </c>
      <c r="L242" s="11">
        <v>45408</v>
      </c>
      <c r="M242" s="2">
        <v>50000</v>
      </c>
      <c r="N242" s="2" t="s">
        <v>67</v>
      </c>
      <c r="O242" s="2" t="s">
        <v>38</v>
      </c>
    </row>
    <row r="243" spans="3:15">
      <c r="C243" s="3" t="s">
        <v>782</v>
      </c>
      <c r="D243" s="2" t="s">
        <v>783</v>
      </c>
      <c r="E243" s="3" t="s">
        <v>775</v>
      </c>
      <c r="F243" t="str">
        <f t="shared" si="3"/>
        <v>Unknown</v>
      </c>
      <c r="G243" s="3" t="s">
        <v>14</v>
      </c>
      <c r="H243" s="2" t="s">
        <v>70</v>
      </c>
      <c r="I243" s="2" t="s">
        <v>16</v>
      </c>
      <c r="J243" s="2" t="s">
        <v>35</v>
      </c>
      <c r="K243" s="11">
        <v>45588</v>
      </c>
      <c r="L243" s="11">
        <v>45606</v>
      </c>
      <c r="M243" s="3">
        <v>5000</v>
      </c>
      <c r="N243" s="3" t="s">
        <v>37</v>
      </c>
      <c r="O243" s="3" t="s">
        <v>38</v>
      </c>
    </row>
    <row r="244" spans="3:15">
      <c r="C244" s="2" t="s">
        <v>784</v>
      </c>
      <c r="D244" s="2" t="s">
        <v>432</v>
      </c>
      <c r="E244" s="2">
        <v>47</v>
      </c>
      <c r="F244" t="str">
        <f t="shared" si="3"/>
        <v>Middle Age</v>
      </c>
      <c r="G244" s="2" t="s">
        <v>14</v>
      </c>
      <c r="H244" s="2" t="s">
        <v>85</v>
      </c>
      <c r="I244" s="2" t="s">
        <v>34</v>
      </c>
      <c r="J244" s="2" t="s">
        <v>104</v>
      </c>
      <c r="K244" s="11">
        <v>45498</v>
      </c>
      <c r="L244" s="11">
        <v>45504</v>
      </c>
      <c r="M244" s="2">
        <v>20000</v>
      </c>
      <c r="N244" s="2" t="s">
        <v>29</v>
      </c>
      <c r="O244" s="2" t="s">
        <v>38</v>
      </c>
    </row>
    <row r="245" spans="3:15">
      <c r="C245" s="3" t="s">
        <v>787</v>
      </c>
      <c r="D245" s="2" t="s">
        <v>51</v>
      </c>
      <c r="E245" s="3">
        <v>47</v>
      </c>
      <c r="F245" t="str">
        <f t="shared" si="3"/>
        <v>Middle Age</v>
      </c>
      <c r="G245" s="3" t="s">
        <v>14</v>
      </c>
      <c r="H245" s="2" t="s">
        <v>33</v>
      </c>
      <c r="I245" s="2" t="s">
        <v>76</v>
      </c>
      <c r="J245" s="2" t="s">
        <v>53</v>
      </c>
      <c r="K245" s="11">
        <v>45504</v>
      </c>
      <c r="L245" s="11">
        <v>45512</v>
      </c>
      <c r="M245" s="3">
        <v>0</v>
      </c>
      <c r="N245" s="3" t="s">
        <v>29</v>
      </c>
      <c r="O245" s="3" t="s">
        <v>21</v>
      </c>
    </row>
    <row r="246" spans="3:15">
      <c r="C246" s="2" t="s">
        <v>790</v>
      </c>
      <c r="D246" s="2" t="s">
        <v>791</v>
      </c>
      <c r="E246" s="2">
        <v>61</v>
      </c>
      <c r="F246" t="str">
        <f t="shared" si="3"/>
        <v>Senior</v>
      </c>
      <c r="G246" s="2" t="s">
        <v>14</v>
      </c>
      <c r="H246" s="2" t="s">
        <v>52</v>
      </c>
      <c r="I246" s="2" t="s">
        <v>132</v>
      </c>
      <c r="J246" s="2" t="s">
        <v>99</v>
      </c>
      <c r="K246" s="11">
        <v>45297</v>
      </c>
      <c r="L246" s="11">
        <v>45471</v>
      </c>
      <c r="M246" s="2">
        <v>12000</v>
      </c>
      <c r="N246" s="2" t="s">
        <v>67</v>
      </c>
      <c r="O246" s="2" t="s">
        <v>55</v>
      </c>
    </row>
    <row r="247" spans="3:15">
      <c r="C247" s="3" t="s">
        <v>792</v>
      </c>
      <c r="D247" s="2" t="s">
        <v>247</v>
      </c>
      <c r="E247" s="3">
        <v>68</v>
      </c>
      <c r="F247" t="str">
        <f t="shared" si="3"/>
        <v>Senior</v>
      </c>
      <c r="G247" s="3" t="s">
        <v>32</v>
      </c>
      <c r="H247" s="2" t="s">
        <v>109</v>
      </c>
      <c r="I247" s="2" t="s">
        <v>25</v>
      </c>
      <c r="J247" s="2" t="s">
        <v>17</v>
      </c>
      <c r="K247" s="11">
        <v>45389</v>
      </c>
      <c r="L247" s="11">
        <v>45495</v>
      </c>
      <c r="M247" s="3">
        <v>15000</v>
      </c>
      <c r="N247" s="3" t="s">
        <v>67</v>
      </c>
      <c r="O247" s="3" t="s">
        <v>38</v>
      </c>
    </row>
    <row r="248" spans="3:15">
      <c r="C248" s="2" t="s">
        <v>794</v>
      </c>
      <c r="D248" s="2" t="s">
        <v>795</v>
      </c>
      <c r="E248" s="2">
        <v>31</v>
      </c>
      <c r="F248" t="str">
        <f t="shared" si="3"/>
        <v>Young Adult</v>
      </c>
      <c r="G248" s="2" t="s">
        <v>32</v>
      </c>
      <c r="H248" s="2" t="s">
        <v>52</v>
      </c>
      <c r="I248" s="2" t="s">
        <v>127</v>
      </c>
      <c r="J248" s="2" t="s">
        <v>48</v>
      </c>
      <c r="K248" s="11">
        <v>45517</v>
      </c>
      <c r="L248" s="11">
        <v>45543</v>
      </c>
      <c r="M248" s="2">
        <v>0</v>
      </c>
      <c r="N248" s="2" t="s">
        <v>20</v>
      </c>
      <c r="O248" s="2" t="s">
        <v>38</v>
      </c>
    </row>
    <row r="249" spans="3:15">
      <c r="C249" s="3" t="s">
        <v>796</v>
      </c>
      <c r="D249" s="2" t="s">
        <v>251</v>
      </c>
      <c r="E249" s="3">
        <v>21</v>
      </c>
      <c r="F249" t="str">
        <f t="shared" si="3"/>
        <v>Young Adult</v>
      </c>
      <c r="G249" s="3" t="s">
        <v>32</v>
      </c>
      <c r="H249" s="2" t="s">
        <v>52</v>
      </c>
      <c r="I249" s="2" t="s">
        <v>76</v>
      </c>
      <c r="J249" s="2" t="s">
        <v>99</v>
      </c>
      <c r="K249" s="11">
        <v>45587</v>
      </c>
      <c r="L249" s="11">
        <v>45617</v>
      </c>
      <c r="M249" s="3">
        <v>8000</v>
      </c>
      <c r="N249" s="3" t="s">
        <v>67</v>
      </c>
      <c r="O249" s="3" t="s">
        <v>87</v>
      </c>
    </row>
    <row r="250" spans="3:15">
      <c r="C250" s="2" t="s">
        <v>799</v>
      </c>
      <c r="D250" s="2" t="s">
        <v>721</v>
      </c>
      <c r="E250" s="2">
        <v>23</v>
      </c>
      <c r="F250" t="str">
        <f t="shared" si="3"/>
        <v>Young Adult</v>
      </c>
      <c r="G250" s="2" t="s">
        <v>775</v>
      </c>
      <c r="H250" s="2" t="s">
        <v>70</v>
      </c>
      <c r="I250" s="2" t="s">
        <v>127</v>
      </c>
      <c r="J250" s="2" t="s">
        <v>17</v>
      </c>
      <c r="K250" s="11">
        <v>45523</v>
      </c>
      <c r="L250" s="11">
        <v>45530</v>
      </c>
      <c r="M250" s="2">
        <v>50000</v>
      </c>
      <c r="N250" s="2" t="s">
        <v>29</v>
      </c>
      <c r="O250" s="2" t="s">
        <v>87</v>
      </c>
    </row>
    <row r="251" spans="3:15">
      <c r="C251" s="3" t="s">
        <v>800</v>
      </c>
      <c r="D251" s="2" t="s">
        <v>801</v>
      </c>
      <c r="E251" s="3">
        <v>34</v>
      </c>
      <c r="F251" t="str">
        <f t="shared" si="3"/>
        <v>Young Adult</v>
      </c>
      <c r="G251" s="3" t="s">
        <v>690</v>
      </c>
      <c r="H251" s="2" t="s">
        <v>70</v>
      </c>
      <c r="I251" s="2" t="s">
        <v>25</v>
      </c>
      <c r="J251" s="2" t="s">
        <v>48</v>
      </c>
      <c r="K251" s="11">
        <v>45318</v>
      </c>
      <c r="L251" s="11">
        <v>45346</v>
      </c>
      <c r="M251" s="3">
        <v>20000</v>
      </c>
      <c r="N251" s="3" t="s">
        <v>37</v>
      </c>
      <c r="O251" s="3" t="s">
        <v>87</v>
      </c>
    </row>
    <row r="252" spans="3:15">
      <c r="C252" s="2" t="s">
        <v>802</v>
      </c>
      <c r="D252" s="2" t="s">
        <v>803</v>
      </c>
      <c r="E252" s="2">
        <v>49</v>
      </c>
      <c r="F252" t="str">
        <f t="shared" si="3"/>
        <v>Middle Age</v>
      </c>
      <c r="G252" s="2" t="s">
        <v>14</v>
      </c>
      <c r="H252" s="2" t="s">
        <v>85</v>
      </c>
      <c r="I252" s="2" t="s">
        <v>16</v>
      </c>
      <c r="J252" s="2" t="s">
        <v>53</v>
      </c>
      <c r="K252" s="11">
        <v>45585</v>
      </c>
      <c r="L252" s="11">
        <v>45592</v>
      </c>
      <c r="M252" s="2">
        <v>8000</v>
      </c>
      <c r="N252" s="2" t="s">
        <v>67</v>
      </c>
      <c r="O252" s="2" t="s">
        <v>21</v>
      </c>
    </row>
    <row r="253" spans="3:15">
      <c r="C253" s="3" t="s">
        <v>805</v>
      </c>
      <c r="D253" s="2" t="s">
        <v>352</v>
      </c>
      <c r="E253" s="3">
        <v>61</v>
      </c>
      <c r="F253" t="str">
        <f t="shared" si="3"/>
        <v>Senior</v>
      </c>
      <c r="G253" s="3" t="s">
        <v>14</v>
      </c>
      <c r="H253" s="2" t="s">
        <v>33</v>
      </c>
      <c r="I253" s="2" t="s">
        <v>34</v>
      </c>
      <c r="J253" s="2" t="s">
        <v>99</v>
      </c>
      <c r="K253" s="11">
        <v>45530</v>
      </c>
      <c r="L253" s="11">
        <v>45555</v>
      </c>
      <c r="M253" s="3">
        <v>12000</v>
      </c>
      <c r="N253" s="3" t="s">
        <v>29</v>
      </c>
      <c r="O253" s="3" t="s">
        <v>55</v>
      </c>
    </row>
    <row r="254" spans="3:15">
      <c r="C254" s="2" t="s">
        <v>807</v>
      </c>
      <c r="D254" s="2" t="s">
        <v>820</v>
      </c>
      <c r="E254" s="2">
        <v>69</v>
      </c>
      <c r="F254" t="str">
        <f t="shared" si="3"/>
        <v>Senior</v>
      </c>
      <c r="G254" s="2" t="s">
        <v>14</v>
      </c>
      <c r="H254" s="2" t="s">
        <v>15</v>
      </c>
      <c r="I254" s="2" t="s">
        <v>76</v>
      </c>
      <c r="J254" s="2" t="s">
        <v>53</v>
      </c>
      <c r="K254" s="11">
        <v>45332</v>
      </c>
      <c r="L254" s="11">
        <v>45574</v>
      </c>
      <c r="M254" s="2">
        <v>5000</v>
      </c>
      <c r="N254" s="2" t="s">
        <v>20</v>
      </c>
      <c r="O254" s="2" t="s">
        <v>55</v>
      </c>
    </row>
    <row r="255" spans="3:15">
      <c r="C255" s="3" t="s">
        <v>811</v>
      </c>
      <c r="D255" s="2" t="s">
        <v>40</v>
      </c>
      <c r="E255" s="3">
        <v>15</v>
      </c>
      <c r="F255" t="str">
        <f t="shared" si="3"/>
        <v>Child</v>
      </c>
      <c r="G255" s="3" t="s">
        <v>14</v>
      </c>
      <c r="H255" s="2" t="s">
        <v>15</v>
      </c>
      <c r="I255" s="2" t="s">
        <v>34</v>
      </c>
      <c r="J255" s="2" t="s">
        <v>53</v>
      </c>
      <c r="K255" s="11">
        <v>45550</v>
      </c>
      <c r="L255" s="11">
        <v>45564</v>
      </c>
      <c r="M255" s="3">
        <v>5000</v>
      </c>
      <c r="N255" s="3" t="s">
        <v>20</v>
      </c>
      <c r="O255" s="3" t="s">
        <v>87</v>
      </c>
    </row>
    <row r="256" spans="3:15">
      <c r="C256" s="2" t="s">
        <v>813</v>
      </c>
      <c r="D256" s="2" t="s">
        <v>814</v>
      </c>
      <c r="E256" s="2">
        <v>11</v>
      </c>
      <c r="F256" t="str">
        <f t="shared" si="3"/>
        <v>Child</v>
      </c>
      <c r="G256" s="2" t="s">
        <v>32</v>
      </c>
      <c r="H256" s="2" t="s">
        <v>70</v>
      </c>
      <c r="I256" s="2" t="s">
        <v>76</v>
      </c>
      <c r="J256" s="2" t="s">
        <v>104</v>
      </c>
      <c r="K256" s="11">
        <v>45541</v>
      </c>
      <c r="L256" s="11">
        <v>45469</v>
      </c>
      <c r="M256" s="2">
        <v>5000</v>
      </c>
      <c r="N256" s="2" t="s">
        <v>67</v>
      </c>
      <c r="O256" s="2" t="s">
        <v>21</v>
      </c>
    </row>
    <row r="257" spans="3:15">
      <c r="C257" s="3" t="s">
        <v>815</v>
      </c>
      <c r="D257" s="2" t="s">
        <v>537</v>
      </c>
      <c r="E257" s="3">
        <v>37</v>
      </c>
      <c r="F257" t="str">
        <f t="shared" si="3"/>
        <v>Young Adult</v>
      </c>
      <c r="G257" s="3" t="s">
        <v>14</v>
      </c>
      <c r="H257" s="2" t="s">
        <v>70</v>
      </c>
      <c r="I257" s="2" t="s">
        <v>76</v>
      </c>
      <c r="J257" s="2" t="s">
        <v>104</v>
      </c>
      <c r="K257" s="11">
        <v>45561</v>
      </c>
      <c r="L257" s="11">
        <v>45568</v>
      </c>
      <c r="M257" s="3">
        <v>12000</v>
      </c>
      <c r="N257" s="3" t="s">
        <v>67</v>
      </c>
      <c r="O257" s="3" t="s">
        <v>38</v>
      </c>
    </row>
    <row r="258" spans="3:15">
      <c r="C258" s="2" t="s">
        <v>817</v>
      </c>
      <c r="D258" s="2" t="s">
        <v>212</v>
      </c>
      <c r="E258" s="2">
        <v>70</v>
      </c>
      <c r="F258" t="str">
        <f t="shared" si="3"/>
        <v>Senior</v>
      </c>
      <c r="G258" s="2" t="s">
        <v>32</v>
      </c>
      <c r="H258" s="2" t="s">
        <v>33</v>
      </c>
      <c r="I258" s="2" t="s">
        <v>25</v>
      </c>
      <c r="J258" s="2" t="s">
        <v>104</v>
      </c>
      <c r="K258" s="11">
        <v>45570</v>
      </c>
      <c r="L258" s="11">
        <v>45590</v>
      </c>
      <c r="M258" s="2">
        <v>35000</v>
      </c>
      <c r="N258" s="2" t="s">
        <v>29</v>
      </c>
      <c r="O258" s="2" t="s">
        <v>38</v>
      </c>
    </row>
    <row r="259" spans="3:15">
      <c r="C259" s="3" t="s">
        <v>819</v>
      </c>
      <c r="D259" s="2" t="s">
        <v>820</v>
      </c>
      <c r="E259" s="3" t="s">
        <v>775</v>
      </c>
      <c r="F259" t="str">
        <f t="shared" si="3"/>
        <v>Unknown</v>
      </c>
      <c r="G259" s="3" t="s">
        <v>32</v>
      </c>
      <c r="H259" s="2" t="s">
        <v>85</v>
      </c>
      <c r="I259" s="2" t="s">
        <v>25</v>
      </c>
      <c r="J259" s="2" t="s">
        <v>104</v>
      </c>
      <c r="K259" s="11">
        <v>45566</v>
      </c>
      <c r="L259" s="11">
        <v>45331</v>
      </c>
      <c r="M259" s="3">
        <v>35000</v>
      </c>
      <c r="N259" s="3" t="s">
        <v>67</v>
      </c>
      <c r="O259" s="3" t="s">
        <v>55</v>
      </c>
    </row>
    <row r="260" spans="3:15">
      <c r="C260" s="2" t="s">
        <v>822</v>
      </c>
      <c r="D260" s="2" t="s">
        <v>823</v>
      </c>
      <c r="E260" s="2">
        <v>42</v>
      </c>
      <c r="F260" t="str">
        <f t="shared" si="3"/>
        <v>Middle Age</v>
      </c>
      <c r="G260" s="2" t="s">
        <v>32</v>
      </c>
      <c r="H260" s="2" t="s">
        <v>15</v>
      </c>
      <c r="I260" s="2" t="s">
        <v>132</v>
      </c>
      <c r="J260" s="2" t="s">
        <v>104</v>
      </c>
      <c r="K260" s="11">
        <v>45548</v>
      </c>
      <c r="L260" s="11">
        <v>45571</v>
      </c>
      <c r="M260" s="2">
        <v>75000</v>
      </c>
      <c r="N260" s="2" t="s">
        <v>67</v>
      </c>
      <c r="O260" s="2" t="s">
        <v>55</v>
      </c>
    </row>
    <row r="261" spans="3:15">
      <c r="C261" s="3" t="s">
        <v>825</v>
      </c>
      <c r="D261" s="2" t="s">
        <v>826</v>
      </c>
      <c r="E261" s="3">
        <v>34</v>
      </c>
      <c r="F261" t="str">
        <f t="shared" si="3"/>
        <v>Young Adult</v>
      </c>
      <c r="G261" s="3" t="s">
        <v>32</v>
      </c>
      <c r="H261" s="2" t="s">
        <v>15</v>
      </c>
      <c r="I261" s="2" t="s">
        <v>76</v>
      </c>
      <c r="J261" s="2" t="s">
        <v>99</v>
      </c>
      <c r="K261" s="11">
        <v>45557</v>
      </c>
      <c r="L261" s="11">
        <v>45583</v>
      </c>
      <c r="M261" s="3">
        <v>12000</v>
      </c>
      <c r="N261" s="3" t="s">
        <v>29</v>
      </c>
      <c r="O261" s="3" t="s">
        <v>87</v>
      </c>
    </row>
    <row r="262" spans="3:15">
      <c r="C262" s="2" t="s">
        <v>827</v>
      </c>
      <c r="D262" s="2" t="s">
        <v>779</v>
      </c>
      <c r="E262" s="2">
        <v>57</v>
      </c>
      <c r="F262" t="str">
        <f t="shared" si="3"/>
        <v>Middle Age</v>
      </c>
      <c r="G262" s="2" t="s">
        <v>32</v>
      </c>
      <c r="H262" s="2" t="s">
        <v>70</v>
      </c>
      <c r="I262" s="2" t="s">
        <v>42</v>
      </c>
      <c r="J262" s="2" t="s">
        <v>35</v>
      </c>
      <c r="K262" s="11">
        <v>45323</v>
      </c>
      <c r="L262" s="11">
        <v>45317</v>
      </c>
      <c r="M262" s="2">
        <v>50000</v>
      </c>
      <c r="N262" s="2" t="s">
        <v>29</v>
      </c>
      <c r="O262" s="2" t="s">
        <v>21</v>
      </c>
    </row>
    <row r="263" spans="3:15">
      <c r="C263" s="3" t="s">
        <v>829</v>
      </c>
      <c r="D263" s="2" t="s">
        <v>156</v>
      </c>
      <c r="E263" s="3">
        <v>6</v>
      </c>
      <c r="F263" t="str">
        <f t="shared" si="3"/>
        <v>Child</v>
      </c>
      <c r="G263" s="3" t="s">
        <v>14</v>
      </c>
      <c r="H263" s="2" t="s">
        <v>33</v>
      </c>
      <c r="I263" s="2" t="s">
        <v>34</v>
      </c>
      <c r="J263" s="2" t="s">
        <v>53</v>
      </c>
      <c r="K263" s="11">
        <v>45411</v>
      </c>
      <c r="L263" s="11">
        <v>45433</v>
      </c>
      <c r="M263" s="3">
        <v>35000</v>
      </c>
      <c r="N263" s="3" t="s">
        <v>67</v>
      </c>
      <c r="O263" s="3" t="s">
        <v>38</v>
      </c>
    </row>
    <row r="264" spans="3:15">
      <c r="C264" s="3" t="s">
        <v>830</v>
      </c>
      <c r="D264" s="2" t="s">
        <v>713</v>
      </c>
      <c r="E264" s="3" t="s">
        <v>775</v>
      </c>
      <c r="F264" t="str">
        <f t="shared" si="3"/>
        <v>Unknown</v>
      </c>
      <c r="G264" s="3" t="s">
        <v>32</v>
      </c>
      <c r="H264" s="2" t="s">
        <v>15</v>
      </c>
      <c r="I264" s="2" t="s">
        <v>25</v>
      </c>
      <c r="J264" s="2" t="s">
        <v>99</v>
      </c>
      <c r="K264" s="11">
        <v>45373</v>
      </c>
      <c r="L264" s="11">
        <v>45402</v>
      </c>
      <c r="M264" s="3">
        <v>12000</v>
      </c>
      <c r="N264" s="3" t="s">
        <v>67</v>
      </c>
      <c r="O264" s="3" t="s">
        <v>55</v>
      </c>
    </row>
    <row r="265" spans="3:15">
      <c r="C265" s="2" t="s">
        <v>831</v>
      </c>
      <c r="D265" s="2" t="s">
        <v>84</v>
      </c>
      <c r="E265" s="2">
        <v>50</v>
      </c>
      <c r="F265" t="str">
        <f t="shared" si="3"/>
        <v>Middle Age</v>
      </c>
      <c r="G265" s="2" t="s">
        <v>32</v>
      </c>
      <c r="H265" s="2" t="s">
        <v>109</v>
      </c>
      <c r="I265" s="2" t="s">
        <v>42</v>
      </c>
      <c r="J265" s="2" t="s">
        <v>48</v>
      </c>
      <c r="K265" s="11">
        <v>45479</v>
      </c>
      <c r="L265" s="11">
        <v>45462</v>
      </c>
      <c r="M265" s="2">
        <v>15000</v>
      </c>
      <c r="N265" s="2" t="s">
        <v>37</v>
      </c>
      <c r="O265" s="2" t="s">
        <v>87</v>
      </c>
    </row>
    <row r="266" spans="3:15">
      <c r="C266" s="3" t="s">
        <v>833</v>
      </c>
      <c r="D266" s="2" t="s">
        <v>834</v>
      </c>
      <c r="E266" s="3">
        <v>3</v>
      </c>
      <c r="F266" t="str">
        <f t="shared" ref="F266:F329" si="4">IF(E266="Unknown","Unknown",IF(E266&lt;18,"Child",IF(E266&lt;40,"Young Adult",IF(E266&lt;60,"Middle Age","Senior"))))</f>
        <v>Child</v>
      </c>
      <c r="G266" s="3" t="s">
        <v>32</v>
      </c>
      <c r="H266" s="2" t="s">
        <v>85</v>
      </c>
      <c r="I266" s="2" t="s">
        <v>25</v>
      </c>
      <c r="J266" s="2" t="s">
        <v>53</v>
      </c>
      <c r="K266" s="11">
        <v>45484</v>
      </c>
      <c r="L266" s="11">
        <v>45507</v>
      </c>
      <c r="M266" s="3">
        <v>25000</v>
      </c>
      <c r="N266" s="3" t="s">
        <v>29</v>
      </c>
      <c r="O266" s="3" t="s">
        <v>38</v>
      </c>
    </row>
    <row r="267" spans="3:15">
      <c r="C267" s="2" t="s">
        <v>836</v>
      </c>
      <c r="D267" s="2" t="s">
        <v>229</v>
      </c>
      <c r="E267" s="2">
        <v>36</v>
      </c>
      <c r="F267" t="str">
        <f t="shared" si="4"/>
        <v>Young Adult</v>
      </c>
      <c r="G267" s="2" t="s">
        <v>32</v>
      </c>
      <c r="H267" s="2" t="s">
        <v>33</v>
      </c>
      <c r="I267" s="2" t="s">
        <v>34</v>
      </c>
      <c r="J267" s="2" t="s">
        <v>53</v>
      </c>
      <c r="K267" s="11">
        <v>45503</v>
      </c>
      <c r="L267" s="11">
        <v>45514</v>
      </c>
      <c r="M267" s="2">
        <v>25000</v>
      </c>
      <c r="N267" s="2" t="s">
        <v>37</v>
      </c>
      <c r="O267" s="2" t="s">
        <v>87</v>
      </c>
    </row>
    <row r="268" spans="3:15">
      <c r="C268" s="3" t="s">
        <v>837</v>
      </c>
      <c r="D268" s="2" t="s">
        <v>838</v>
      </c>
      <c r="E268" s="3">
        <v>75</v>
      </c>
      <c r="F268" t="str">
        <f t="shared" si="4"/>
        <v>Senior</v>
      </c>
      <c r="G268" s="3" t="s">
        <v>32</v>
      </c>
      <c r="H268" s="2" t="s">
        <v>58</v>
      </c>
      <c r="I268" s="2" t="s">
        <v>16</v>
      </c>
      <c r="J268" s="2" t="s">
        <v>48</v>
      </c>
      <c r="K268" s="11">
        <v>45480</v>
      </c>
      <c r="L268" s="11">
        <v>45484</v>
      </c>
      <c r="M268" s="3">
        <v>5000</v>
      </c>
      <c r="N268" s="3" t="s">
        <v>20</v>
      </c>
      <c r="O268" s="3" t="s">
        <v>55</v>
      </c>
    </row>
    <row r="269" spans="3:15">
      <c r="C269" s="2" t="s">
        <v>840</v>
      </c>
      <c r="D269" s="2" t="s">
        <v>841</v>
      </c>
      <c r="E269" s="2">
        <v>76</v>
      </c>
      <c r="F269" t="str">
        <f t="shared" si="4"/>
        <v>Senior</v>
      </c>
      <c r="G269" s="2" t="s">
        <v>32</v>
      </c>
      <c r="H269" s="2" t="s">
        <v>85</v>
      </c>
      <c r="I269" s="2" t="s">
        <v>25</v>
      </c>
      <c r="J269" s="2" t="s">
        <v>53</v>
      </c>
      <c r="K269" s="11">
        <v>45543</v>
      </c>
      <c r="L269" s="11">
        <v>45526</v>
      </c>
      <c r="M269" s="2">
        <v>50000</v>
      </c>
      <c r="N269" s="2" t="s">
        <v>67</v>
      </c>
      <c r="O269" s="2" t="s">
        <v>87</v>
      </c>
    </row>
    <row r="270" spans="3:15">
      <c r="C270" s="3" t="s">
        <v>843</v>
      </c>
      <c r="D270" s="2" t="s">
        <v>661</v>
      </c>
      <c r="E270" s="3" t="s">
        <v>775</v>
      </c>
      <c r="F270" t="str">
        <f t="shared" si="4"/>
        <v>Unknown</v>
      </c>
      <c r="G270" s="3" t="s">
        <v>32</v>
      </c>
      <c r="H270" s="2" t="s">
        <v>15</v>
      </c>
      <c r="I270" s="2" t="s">
        <v>16</v>
      </c>
      <c r="J270" s="2" t="s">
        <v>48</v>
      </c>
      <c r="K270" s="11">
        <v>45292</v>
      </c>
      <c r="L270" s="11">
        <v>45312</v>
      </c>
      <c r="M270" s="3">
        <v>35000</v>
      </c>
      <c r="N270" s="3" t="s">
        <v>29</v>
      </c>
      <c r="O270" s="3" t="s">
        <v>55</v>
      </c>
    </row>
    <row r="271" spans="3:15">
      <c r="C271" s="2" t="s">
        <v>844</v>
      </c>
      <c r="D271" s="2" t="s">
        <v>845</v>
      </c>
      <c r="E271" s="2">
        <v>15</v>
      </c>
      <c r="F271" t="str">
        <f t="shared" si="4"/>
        <v>Child</v>
      </c>
      <c r="G271" s="2" t="s">
        <v>14</v>
      </c>
      <c r="H271" s="2" t="s">
        <v>52</v>
      </c>
      <c r="I271" s="2" t="s">
        <v>25</v>
      </c>
      <c r="J271" s="2" t="s">
        <v>35</v>
      </c>
      <c r="K271" s="11">
        <v>45564</v>
      </c>
      <c r="L271" s="11">
        <v>45583</v>
      </c>
      <c r="M271" s="2">
        <v>20000</v>
      </c>
      <c r="N271" s="2" t="s">
        <v>67</v>
      </c>
      <c r="O271" s="2" t="s">
        <v>21</v>
      </c>
    </row>
    <row r="272" spans="3:15">
      <c r="C272" s="3" t="s">
        <v>846</v>
      </c>
      <c r="D272" s="2" t="s">
        <v>74</v>
      </c>
      <c r="E272" s="3">
        <v>2</v>
      </c>
      <c r="F272" t="str">
        <f t="shared" si="4"/>
        <v>Child</v>
      </c>
      <c r="G272" s="3" t="s">
        <v>14</v>
      </c>
      <c r="H272" s="2" t="s">
        <v>52</v>
      </c>
      <c r="I272" s="2" t="s">
        <v>42</v>
      </c>
      <c r="J272" s="2" t="s">
        <v>35</v>
      </c>
      <c r="K272" s="11">
        <v>45395</v>
      </c>
      <c r="L272" s="11">
        <v>45422</v>
      </c>
      <c r="M272" s="3">
        <v>50000</v>
      </c>
      <c r="N272" s="3" t="s">
        <v>37</v>
      </c>
      <c r="O272" s="3" t="s">
        <v>55</v>
      </c>
    </row>
    <row r="273" spans="3:15">
      <c r="C273" s="2" t="s">
        <v>848</v>
      </c>
      <c r="D273" s="2" t="s">
        <v>320</v>
      </c>
      <c r="E273" s="2">
        <v>43</v>
      </c>
      <c r="F273" t="str">
        <f t="shared" si="4"/>
        <v>Middle Age</v>
      </c>
      <c r="G273" s="2" t="s">
        <v>32</v>
      </c>
      <c r="H273" s="2" t="s">
        <v>58</v>
      </c>
      <c r="I273" s="2" t="s">
        <v>132</v>
      </c>
      <c r="J273" s="2" t="s">
        <v>99</v>
      </c>
      <c r="K273" s="11">
        <v>45563</v>
      </c>
      <c r="L273" s="11">
        <v>45566</v>
      </c>
      <c r="M273" s="2">
        <v>8000</v>
      </c>
      <c r="N273" s="2" t="s">
        <v>37</v>
      </c>
      <c r="O273" s="2" t="s">
        <v>55</v>
      </c>
    </row>
    <row r="274" spans="3:15">
      <c r="C274" s="3" t="s">
        <v>849</v>
      </c>
      <c r="D274" s="2" t="s">
        <v>850</v>
      </c>
      <c r="E274" s="3" t="s">
        <v>775</v>
      </c>
      <c r="F274" t="str">
        <f t="shared" si="4"/>
        <v>Unknown</v>
      </c>
      <c r="G274" s="3" t="s">
        <v>32</v>
      </c>
      <c r="H274" s="2" t="s">
        <v>70</v>
      </c>
      <c r="I274" s="2" t="s">
        <v>25</v>
      </c>
      <c r="J274" s="2" t="s">
        <v>99</v>
      </c>
      <c r="K274" s="11">
        <v>45347</v>
      </c>
      <c r="L274" s="11">
        <v>45370</v>
      </c>
      <c r="M274" s="3">
        <v>8000</v>
      </c>
      <c r="N274" s="3" t="s">
        <v>67</v>
      </c>
      <c r="O274" s="3" t="s">
        <v>38</v>
      </c>
    </row>
    <row r="275" spans="3:15">
      <c r="C275" s="2" t="s">
        <v>853</v>
      </c>
      <c r="D275" s="2" t="s">
        <v>854</v>
      </c>
      <c r="E275" s="2">
        <v>21</v>
      </c>
      <c r="F275" t="str">
        <f t="shared" si="4"/>
        <v>Young Adult</v>
      </c>
      <c r="G275" s="2" t="s">
        <v>32</v>
      </c>
      <c r="H275" s="2" t="s">
        <v>52</v>
      </c>
      <c r="I275" s="2" t="s">
        <v>34</v>
      </c>
      <c r="J275" s="2" t="s">
        <v>53</v>
      </c>
      <c r="K275" s="11">
        <v>45605</v>
      </c>
      <c r="L275" s="11">
        <v>45565</v>
      </c>
      <c r="M275" s="2">
        <v>12000</v>
      </c>
      <c r="N275" s="2" t="s">
        <v>37</v>
      </c>
      <c r="O275" s="2" t="s">
        <v>38</v>
      </c>
    </row>
    <row r="276" spans="3:15">
      <c r="C276" s="3" t="s">
        <v>856</v>
      </c>
      <c r="D276" s="2" t="s">
        <v>857</v>
      </c>
      <c r="E276" s="3">
        <v>67</v>
      </c>
      <c r="F276" t="str">
        <f t="shared" si="4"/>
        <v>Senior</v>
      </c>
      <c r="G276" s="3" t="s">
        <v>32</v>
      </c>
      <c r="H276" s="2" t="s">
        <v>15</v>
      </c>
      <c r="I276" s="2" t="s">
        <v>42</v>
      </c>
      <c r="J276" s="2" t="s">
        <v>35</v>
      </c>
      <c r="K276" s="11">
        <v>45301</v>
      </c>
      <c r="L276" s="11">
        <v>45316</v>
      </c>
      <c r="M276" s="3">
        <v>50000</v>
      </c>
      <c r="N276" s="3" t="s">
        <v>37</v>
      </c>
      <c r="O276" s="3" t="s">
        <v>38</v>
      </c>
    </row>
    <row r="277" spans="3:15">
      <c r="C277" s="2" t="s">
        <v>859</v>
      </c>
      <c r="D277" s="2" t="s">
        <v>860</v>
      </c>
      <c r="E277" s="2">
        <v>6</v>
      </c>
      <c r="F277" t="str">
        <f t="shared" si="4"/>
        <v>Child</v>
      </c>
      <c r="G277" s="2" t="s">
        <v>32</v>
      </c>
      <c r="H277" s="2" t="s">
        <v>109</v>
      </c>
      <c r="I277" s="2" t="s">
        <v>16</v>
      </c>
      <c r="J277" s="2" t="s">
        <v>53</v>
      </c>
      <c r="K277" s="11">
        <v>45590</v>
      </c>
      <c r="L277" s="11">
        <v>45611</v>
      </c>
      <c r="M277" s="2">
        <v>15000</v>
      </c>
      <c r="N277" s="2" t="s">
        <v>67</v>
      </c>
      <c r="O277" s="2" t="s">
        <v>21</v>
      </c>
    </row>
    <row r="278" spans="3:15">
      <c r="C278" s="3" t="s">
        <v>862</v>
      </c>
      <c r="D278" s="2" t="s">
        <v>488</v>
      </c>
      <c r="E278" s="3">
        <v>66</v>
      </c>
      <c r="F278" t="str">
        <f t="shared" si="4"/>
        <v>Senior</v>
      </c>
      <c r="G278" s="3" t="s">
        <v>32</v>
      </c>
      <c r="H278" s="2" t="s">
        <v>15</v>
      </c>
      <c r="I278" s="2" t="s">
        <v>16</v>
      </c>
      <c r="J278" s="2" t="s">
        <v>104</v>
      </c>
      <c r="K278" s="11">
        <v>45372</v>
      </c>
      <c r="L278" s="11">
        <v>45376</v>
      </c>
      <c r="M278" s="3">
        <v>8000</v>
      </c>
      <c r="N278" s="3" t="s">
        <v>29</v>
      </c>
      <c r="O278" s="3" t="s">
        <v>38</v>
      </c>
    </row>
    <row r="279" spans="3:15">
      <c r="C279" s="2" t="s">
        <v>865</v>
      </c>
      <c r="D279" s="2" t="s">
        <v>866</v>
      </c>
      <c r="E279" s="2">
        <v>51</v>
      </c>
      <c r="F279" t="str">
        <f t="shared" si="4"/>
        <v>Middle Age</v>
      </c>
      <c r="G279" s="2" t="s">
        <v>14</v>
      </c>
      <c r="H279" s="2" t="s">
        <v>58</v>
      </c>
      <c r="I279" s="2" t="s">
        <v>25</v>
      </c>
      <c r="J279" s="2" t="s">
        <v>48</v>
      </c>
      <c r="K279" s="11">
        <v>45354</v>
      </c>
      <c r="L279" s="11">
        <v>45357</v>
      </c>
      <c r="M279" s="2">
        <v>100000</v>
      </c>
      <c r="N279" s="2" t="s">
        <v>29</v>
      </c>
      <c r="O279" s="2" t="s">
        <v>87</v>
      </c>
    </row>
    <row r="280" spans="3:15">
      <c r="C280" s="3" t="s">
        <v>867</v>
      </c>
      <c r="D280" s="2" t="s">
        <v>868</v>
      </c>
      <c r="E280" s="3">
        <v>18</v>
      </c>
      <c r="F280" t="str">
        <f t="shared" si="4"/>
        <v>Young Adult</v>
      </c>
      <c r="G280" s="3" t="s">
        <v>32</v>
      </c>
      <c r="H280" s="2" t="s">
        <v>52</v>
      </c>
      <c r="I280" s="2" t="s">
        <v>127</v>
      </c>
      <c r="J280" s="2" t="s">
        <v>26</v>
      </c>
      <c r="K280" s="11">
        <v>45482</v>
      </c>
      <c r="L280" s="11">
        <v>45546</v>
      </c>
      <c r="M280" s="3">
        <v>35000</v>
      </c>
      <c r="N280" s="3" t="s">
        <v>67</v>
      </c>
      <c r="O280" s="3" t="s">
        <v>38</v>
      </c>
    </row>
    <row r="281" spans="3:15">
      <c r="C281" s="2" t="s">
        <v>869</v>
      </c>
      <c r="D281" s="2" t="s">
        <v>870</v>
      </c>
      <c r="E281" s="2">
        <v>58</v>
      </c>
      <c r="F281" t="str">
        <f t="shared" si="4"/>
        <v>Middle Age</v>
      </c>
      <c r="G281" s="2" t="s">
        <v>32</v>
      </c>
      <c r="H281" s="2" t="s">
        <v>33</v>
      </c>
      <c r="I281" s="2" t="s">
        <v>42</v>
      </c>
      <c r="J281" s="2" t="s">
        <v>104</v>
      </c>
      <c r="K281" s="11">
        <v>45553</v>
      </c>
      <c r="L281" s="11">
        <v>45568</v>
      </c>
      <c r="M281" s="2">
        <v>8000</v>
      </c>
      <c r="N281" s="2" t="s">
        <v>67</v>
      </c>
      <c r="O281" s="2" t="s">
        <v>87</v>
      </c>
    </row>
    <row r="282" spans="3:15">
      <c r="C282" s="3" t="s">
        <v>871</v>
      </c>
      <c r="D282" s="2" t="s">
        <v>872</v>
      </c>
      <c r="E282" s="3">
        <v>44</v>
      </c>
      <c r="F282" t="str">
        <f t="shared" si="4"/>
        <v>Middle Age</v>
      </c>
      <c r="G282" s="3" t="s">
        <v>14</v>
      </c>
      <c r="H282" s="2" t="s">
        <v>109</v>
      </c>
      <c r="I282" s="2" t="s">
        <v>25</v>
      </c>
      <c r="J282" s="2" t="s">
        <v>104</v>
      </c>
      <c r="K282" s="11">
        <v>45488</v>
      </c>
      <c r="L282" s="11">
        <v>45515</v>
      </c>
      <c r="M282" s="3">
        <v>12000</v>
      </c>
      <c r="N282" s="3" t="s">
        <v>20</v>
      </c>
      <c r="O282" s="3" t="s">
        <v>38</v>
      </c>
    </row>
    <row r="283" spans="3:15">
      <c r="C283" s="3" t="s">
        <v>874</v>
      </c>
      <c r="D283" s="2" t="s">
        <v>875</v>
      </c>
      <c r="E283" s="3">
        <v>43</v>
      </c>
      <c r="F283" t="str">
        <f t="shared" si="4"/>
        <v>Middle Age</v>
      </c>
      <c r="G283" s="3" t="s">
        <v>14</v>
      </c>
      <c r="H283" s="2" t="s">
        <v>33</v>
      </c>
      <c r="I283" s="2" t="s">
        <v>42</v>
      </c>
      <c r="J283" s="2" t="s">
        <v>99</v>
      </c>
      <c r="K283" s="11">
        <v>45632</v>
      </c>
      <c r="L283" s="11">
        <v>45459</v>
      </c>
      <c r="M283" s="3">
        <v>20000</v>
      </c>
      <c r="N283" s="3" t="s">
        <v>29</v>
      </c>
      <c r="O283" s="3" t="s">
        <v>38</v>
      </c>
    </row>
    <row r="284" spans="3:15">
      <c r="C284" s="2" t="s">
        <v>876</v>
      </c>
      <c r="D284" s="2" t="s">
        <v>845</v>
      </c>
      <c r="E284" s="2">
        <v>65</v>
      </c>
      <c r="F284" t="str">
        <f t="shared" si="4"/>
        <v>Senior</v>
      </c>
      <c r="G284" s="2" t="s">
        <v>32</v>
      </c>
      <c r="H284" s="2" t="s">
        <v>70</v>
      </c>
      <c r="I284" s="2" t="s">
        <v>16</v>
      </c>
      <c r="J284" s="2" t="s">
        <v>99</v>
      </c>
      <c r="K284" s="11">
        <v>45378</v>
      </c>
      <c r="L284" s="11">
        <v>45401</v>
      </c>
      <c r="M284" s="2">
        <v>100000</v>
      </c>
      <c r="N284" s="2" t="s">
        <v>37</v>
      </c>
      <c r="O284" s="2" t="s">
        <v>21</v>
      </c>
    </row>
    <row r="285" spans="3:15">
      <c r="C285" s="2" t="s">
        <v>879</v>
      </c>
      <c r="D285" s="2" t="s">
        <v>880</v>
      </c>
      <c r="E285" s="2">
        <v>72</v>
      </c>
      <c r="F285" t="str">
        <f t="shared" si="4"/>
        <v>Senior</v>
      </c>
      <c r="G285" s="2" t="s">
        <v>14</v>
      </c>
      <c r="H285" s="2" t="s">
        <v>109</v>
      </c>
      <c r="I285" s="2" t="s">
        <v>42</v>
      </c>
      <c r="J285" s="2" t="s">
        <v>35</v>
      </c>
      <c r="K285" s="11">
        <v>45379</v>
      </c>
      <c r="L285" s="11">
        <v>45398</v>
      </c>
      <c r="M285" s="2">
        <v>35000</v>
      </c>
      <c r="N285" s="2" t="s">
        <v>37</v>
      </c>
      <c r="O285" s="2" t="s">
        <v>87</v>
      </c>
    </row>
    <row r="286" spans="3:15">
      <c r="C286" s="3" t="s">
        <v>882</v>
      </c>
      <c r="D286" s="2" t="s">
        <v>883</v>
      </c>
      <c r="E286" s="3" t="s">
        <v>775</v>
      </c>
      <c r="F286" t="str">
        <f t="shared" si="4"/>
        <v>Unknown</v>
      </c>
      <c r="G286" s="3" t="s">
        <v>14</v>
      </c>
      <c r="H286" s="2" t="s">
        <v>70</v>
      </c>
      <c r="I286" s="2" t="s">
        <v>34</v>
      </c>
      <c r="J286" s="2" t="s">
        <v>104</v>
      </c>
      <c r="K286" s="11">
        <v>45587</v>
      </c>
      <c r="L286" s="11">
        <v>45599</v>
      </c>
      <c r="M286" s="3">
        <v>25000</v>
      </c>
      <c r="N286" s="3" t="s">
        <v>20</v>
      </c>
      <c r="O286" s="3" t="s">
        <v>38</v>
      </c>
    </row>
    <row r="287" spans="3:15">
      <c r="C287" s="2" t="s">
        <v>885</v>
      </c>
      <c r="D287" s="2" t="s">
        <v>116</v>
      </c>
      <c r="E287" s="2">
        <v>66</v>
      </c>
      <c r="F287" t="str">
        <f t="shared" si="4"/>
        <v>Senior</v>
      </c>
      <c r="G287" s="2" t="s">
        <v>14</v>
      </c>
      <c r="H287" s="2" t="s">
        <v>109</v>
      </c>
      <c r="I287" s="2" t="s">
        <v>132</v>
      </c>
      <c r="J287" s="2" t="s">
        <v>26</v>
      </c>
      <c r="K287" s="11">
        <v>45380</v>
      </c>
      <c r="L287" s="11">
        <v>45381</v>
      </c>
      <c r="M287" s="2">
        <v>20000</v>
      </c>
      <c r="N287" s="2" t="s">
        <v>20</v>
      </c>
      <c r="O287" s="2" t="s">
        <v>21</v>
      </c>
    </row>
    <row r="288" spans="3:15">
      <c r="C288" s="3" t="s">
        <v>886</v>
      </c>
      <c r="D288" s="2" t="s">
        <v>887</v>
      </c>
      <c r="E288" s="3">
        <v>57</v>
      </c>
      <c r="F288" t="str">
        <f t="shared" si="4"/>
        <v>Middle Age</v>
      </c>
      <c r="G288" s="3" t="s">
        <v>14</v>
      </c>
      <c r="H288" s="2" t="s">
        <v>58</v>
      </c>
      <c r="I288" s="2" t="s">
        <v>127</v>
      </c>
      <c r="J288" s="2" t="s">
        <v>99</v>
      </c>
      <c r="K288" s="11">
        <v>45462</v>
      </c>
      <c r="L288" s="11">
        <v>45476</v>
      </c>
      <c r="M288" s="3">
        <v>50000</v>
      </c>
      <c r="N288" s="3" t="s">
        <v>67</v>
      </c>
      <c r="O288" s="3" t="s">
        <v>87</v>
      </c>
    </row>
    <row r="289" spans="3:15">
      <c r="C289" s="2" t="s">
        <v>888</v>
      </c>
      <c r="D289" s="2" t="s">
        <v>889</v>
      </c>
      <c r="E289" s="2">
        <v>83</v>
      </c>
      <c r="F289" t="str">
        <f t="shared" si="4"/>
        <v>Senior</v>
      </c>
      <c r="G289" s="2" t="s">
        <v>41</v>
      </c>
      <c r="H289" s="2" t="s">
        <v>33</v>
      </c>
      <c r="I289" s="2" t="s">
        <v>132</v>
      </c>
      <c r="J289" s="2" t="s">
        <v>35</v>
      </c>
      <c r="K289" s="11">
        <v>45318</v>
      </c>
      <c r="L289" s="11">
        <v>45320</v>
      </c>
      <c r="M289" s="2">
        <v>50000</v>
      </c>
      <c r="N289" s="2" t="s">
        <v>37</v>
      </c>
      <c r="O289" s="2" t="s">
        <v>55</v>
      </c>
    </row>
    <row r="290" spans="3:15">
      <c r="C290" s="3" t="s">
        <v>890</v>
      </c>
      <c r="D290" s="2" t="s">
        <v>327</v>
      </c>
      <c r="E290" s="3">
        <v>48</v>
      </c>
      <c r="F290" t="str">
        <f t="shared" si="4"/>
        <v>Middle Age</v>
      </c>
      <c r="G290" s="3" t="s">
        <v>14</v>
      </c>
      <c r="H290" s="2" t="s">
        <v>33</v>
      </c>
      <c r="I290" s="2" t="s">
        <v>16</v>
      </c>
      <c r="J290" s="2" t="s">
        <v>48</v>
      </c>
      <c r="K290" s="11">
        <v>45387</v>
      </c>
      <c r="L290" s="11">
        <v>45424</v>
      </c>
      <c r="M290" s="3">
        <v>5000</v>
      </c>
      <c r="N290" s="3" t="s">
        <v>67</v>
      </c>
      <c r="O290" s="3" t="s">
        <v>21</v>
      </c>
    </row>
    <row r="291" spans="3:15">
      <c r="C291" s="2" t="s">
        <v>891</v>
      </c>
      <c r="D291" s="2" t="s">
        <v>892</v>
      </c>
      <c r="E291" s="2" t="s">
        <v>775</v>
      </c>
      <c r="F291" t="str">
        <f t="shared" si="4"/>
        <v>Unknown</v>
      </c>
      <c r="G291" s="2" t="s">
        <v>41</v>
      </c>
      <c r="H291" s="2" t="s">
        <v>70</v>
      </c>
      <c r="I291" s="2" t="s">
        <v>127</v>
      </c>
      <c r="J291" s="2" t="s">
        <v>53</v>
      </c>
      <c r="K291" s="11">
        <v>45425</v>
      </c>
      <c r="L291" s="11">
        <v>45437</v>
      </c>
      <c r="M291" s="2">
        <v>50000</v>
      </c>
      <c r="N291" s="2" t="s">
        <v>29</v>
      </c>
      <c r="O291" s="2" t="s">
        <v>21</v>
      </c>
    </row>
    <row r="292" spans="3:15">
      <c r="C292" s="3" t="s">
        <v>894</v>
      </c>
      <c r="D292" s="2" t="s">
        <v>895</v>
      </c>
      <c r="E292" s="3">
        <v>64</v>
      </c>
      <c r="F292" t="str">
        <f t="shared" si="4"/>
        <v>Senior</v>
      </c>
      <c r="G292" s="3" t="s">
        <v>14</v>
      </c>
      <c r="H292" s="2" t="s">
        <v>15</v>
      </c>
      <c r="I292" s="2" t="s">
        <v>34</v>
      </c>
      <c r="J292" s="2" t="s">
        <v>53</v>
      </c>
      <c r="K292" s="11">
        <v>45543</v>
      </c>
      <c r="L292" s="11">
        <v>45525</v>
      </c>
      <c r="M292" s="3">
        <v>5000</v>
      </c>
      <c r="N292" s="3" t="s">
        <v>67</v>
      </c>
      <c r="O292" s="3" t="s">
        <v>55</v>
      </c>
    </row>
    <row r="293" spans="3:15">
      <c r="C293" s="2" t="s">
        <v>896</v>
      </c>
      <c r="D293" s="2" t="s">
        <v>897</v>
      </c>
      <c r="E293" s="2" t="s">
        <v>775</v>
      </c>
      <c r="F293" t="str">
        <f t="shared" si="4"/>
        <v>Unknown</v>
      </c>
      <c r="G293" s="2" t="s">
        <v>14</v>
      </c>
      <c r="H293" s="2" t="s">
        <v>70</v>
      </c>
      <c r="I293" s="2" t="s">
        <v>34</v>
      </c>
      <c r="J293" s="2" t="s">
        <v>35</v>
      </c>
      <c r="K293" s="11">
        <v>45501</v>
      </c>
      <c r="L293" s="11">
        <v>45524</v>
      </c>
      <c r="M293" s="2">
        <v>5000</v>
      </c>
      <c r="N293" s="2" t="s">
        <v>168</v>
      </c>
      <c r="O293" s="2" t="s">
        <v>21</v>
      </c>
    </row>
    <row r="294" spans="3:15">
      <c r="C294" s="3" t="s">
        <v>898</v>
      </c>
      <c r="D294" s="2" t="s">
        <v>899</v>
      </c>
      <c r="E294" s="3">
        <v>16</v>
      </c>
      <c r="F294" t="str">
        <f t="shared" si="4"/>
        <v>Child</v>
      </c>
      <c r="G294" s="3" t="s">
        <v>287</v>
      </c>
      <c r="H294" s="2" t="s">
        <v>52</v>
      </c>
      <c r="I294" s="2" t="s">
        <v>16</v>
      </c>
      <c r="J294" s="2" t="s">
        <v>53</v>
      </c>
      <c r="K294" s="11">
        <v>45487</v>
      </c>
      <c r="L294" s="11">
        <v>45504</v>
      </c>
      <c r="M294" s="3">
        <v>35000</v>
      </c>
      <c r="N294" s="3" t="s">
        <v>37</v>
      </c>
      <c r="O294" s="3" t="s">
        <v>87</v>
      </c>
    </row>
    <row r="295" spans="3:15">
      <c r="C295" s="2" t="s">
        <v>900</v>
      </c>
      <c r="D295" s="2" t="s">
        <v>609</v>
      </c>
      <c r="E295" s="2">
        <v>63</v>
      </c>
      <c r="F295" t="str">
        <f t="shared" si="4"/>
        <v>Senior</v>
      </c>
      <c r="G295" s="2" t="s">
        <v>14</v>
      </c>
      <c r="H295" s="2" t="s">
        <v>85</v>
      </c>
      <c r="I295" s="2" t="s">
        <v>25</v>
      </c>
      <c r="J295" s="2" t="s">
        <v>99</v>
      </c>
      <c r="K295" s="11">
        <v>45316</v>
      </c>
      <c r="L295" s="11">
        <v>45331</v>
      </c>
      <c r="M295" s="2">
        <v>50000</v>
      </c>
      <c r="N295" s="2" t="s">
        <v>20</v>
      </c>
      <c r="O295" s="2" t="s">
        <v>55</v>
      </c>
    </row>
    <row r="296" spans="3:15">
      <c r="C296" s="3" t="s">
        <v>901</v>
      </c>
      <c r="D296" s="2" t="s">
        <v>902</v>
      </c>
      <c r="E296" s="3">
        <v>74</v>
      </c>
      <c r="F296" t="str">
        <f t="shared" si="4"/>
        <v>Senior</v>
      </c>
      <c r="G296" s="3" t="s">
        <v>14</v>
      </c>
      <c r="H296" s="2" t="s">
        <v>70</v>
      </c>
      <c r="I296" s="2" t="s">
        <v>25</v>
      </c>
      <c r="J296" s="2" t="s">
        <v>26</v>
      </c>
      <c r="K296" s="11">
        <v>45583</v>
      </c>
      <c r="L296" s="11">
        <v>45612</v>
      </c>
      <c r="M296" s="3">
        <v>15000</v>
      </c>
      <c r="N296" s="3" t="s">
        <v>20</v>
      </c>
      <c r="O296" s="3" t="s">
        <v>55</v>
      </c>
    </row>
    <row r="297" spans="3:15">
      <c r="C297" s="2" t="s">
        <v>904</v>
      </c>
      <c r="D297" s="2" t="s">
        <v>13</v>
      </c>
      <c r="E297" s="2">
        <v>28</v>
      </c>
      <c r="F297" t="str">
        <f t="shared" si="4"/>
        <v>Young Adult</v>
      </c>
      <c r="G297" s="2" t="s">
        <v>14</v>
      </c>
      <c r="H297" s="2" t="s">
        <v>109</v>
      </c>
      <c r="I297" s="2" t="s">
        <v>42</v>
      </c>
      <c r="J297" s="2" t="s">
        <v>99</v>
      </c>
      <c r="K297" s="11">
        <v>45367</v>
      </c>
      <c r="L297" s="11">
        <v>45369</v>
      </c>
      <c r="M297" s="2">
        <v>20000</v>
      </c>
      <c r="N297" s="2" t="s">
        <v>29</v>
      </c>
      <c r="O297" s="2" t="s">
        <v>38</v>
      </c>
    </row>
    <row r="298" spans="3:15">
      <c r="C298" s="3" t="s">
        <v>906</v>
      </c>
      <c r="D298" s="2" t="s">
        <v>907</v>
      </c>
      <c r="E298" s="3">
        <v>59</v>
      </c>
      <c r="F298" t="str">
        <f t="shared" si="4"/>
        <v>Middle Age</v>
      </c>
      <c r="G298" s="3" t="s">
        <v>32</v>
      </c>
      <c r="H298" s="2" t="s">
        <v>52</v>
      </c>
      <c r="I298" s="2" t="s">
        <v>42</v>
      </c>
      <c r="J298" s="2" t="s">
        <v>35</v>
      </c>
      <c r="K298" s="11">
        <v>45548</v>
      </c>
      <c r="L298" s="11">
        <v>45552</v>
      </c>
      <c r="M298" s="3">
        <v>20000</v>
      </c>
      <c r="N298" s="3" t="s">
        <v>20</v>
      </c>
      <c r="O298" s="3" t="s">
        <v>21</v>
      </c>
    </row>
    <row r="299" spans="3:15">
      <c r="C299" s="2" t="s">
        <v>909</v>
      </c>
      <c r="D299" s="2" t="s">
        <v>910</v>
      </c>
      <c r="E299" s="2">
        <v>81</v>
      </c>
      <c r="F299" t="str">
        <f t="shared" si="4"/>
        <v>Senior</v>
      </c>
      <c r="G299" s="2" t="s">
        <v>14</v>
      </c>
      <c r="H299" s="2" t="s">
        <v>33</v>
      </c>
      <c r="I299" s="2" t="s">
        <v>132</v>
      </c>
      <c r="J299" s="2" t="s">
        <v>99</v>
      </c>
      <c r="K299" s="11">
        <v>45448</v>
      </c>
      <c r="L299" s="11">
        <v>45419</v>
      </c>
      <c r="M299" s="2">
        <v>20000</v>
      </c>
      <c r="N299" s="2" t="s">
        <v>37</v>
      </c>
      <c r="O299" s="2" t="s">
        <v>55</v>
      </c>
    </row>
    <row r="300" spans="3:15">
      <c r="C300" s="3" t="s">
        <v>911</v>
      </c>
      <c r="D300" s="2" t="s">
        <v>912</v>
      </c>
      <c r="E300" s="3">
        <v>40</v>
      </c>
      <c r="F300" t="str">
        <f t="shared" si="4"/>
        <v>Middle Age</v>
      </c>
      <c r="G300" s="3" t="s">
        <v>14</v>
      </c>
      <c r="H300" s="2" t="s">
        <v>85</v>
      </c>
      <c r="I300" s="2" t="s">
        <v>127</v>
      </c>
      <c r="J300" s="2" t="s">
        <v>53</v>
      </c>
      <c r="K300" s="11">
        <v>45537</v>
      </c>
      <c r="L300" s="11">
        <v>45335</v>
      </c>
      <c r="M300" s="3">
        <v>100000</v>
      </c>
      <c r="N300" s="3" t="s">
        <v>20</v>
      </c>
      <c r="O300" s="3" t="s">
        <v>87</v>
      </c>
    </row>
    <row r="301" spans="3:15">
      <c r="C301" s="2" t="s">
        <v>913</v>
      </c>
      <c r="D301" s="2" t="s">
        <v>914</v>
      </c>
      <c r="E301" s="2">
        <v>34</v>
      </c>
      <c r="F301" t="str">
        <f t="shared" si="4"/>
        <v>Young Adult</v>
      </c>
      <c r="G301" s="2" t="s">
        <v>32</v>
      </c>
      <c r="H301" s="2" t="s">
        <v>109</v>
      </c>
      <c r="I301" s="2" t="s">
        <v>132</v>
      </c>
      <c r="J301" s="2" t="s">
        <v>35</v>
      </c>
      <c r="K301" s="11">
        <v>45588</v>
      </c>
      <c r="L301" s="11">
        <v>45606</v>
      </c>
      <c r="M301" s="2">
        <v>100000</v>
      </c>
      <c r="N301" s="2" t="s">
        <v>20</v>
      </c>
      <c r="O301" s="2" t="s">
        <v>87</v>
      </c>
    </row>
    <row r="302" spans="3:15">
      <c r="C302" s="3" t="s">
        <v>915</v>
      </c>
      <c r="D302" s="2" t="s">
        <v>916</v>
      </c>
      <c r="E302" s="3">
        <v>7</v>
      </c>
      <c r="F302" t="str">
        <f t="shared" si="4"/>
        <v>Child</v>
      </c>
      <c r="G302" s="3" t="s">
        <v>32</v>
      </c>
      <c r="H302" s="2" t="s">
        <v>33</v>
      </c>
      <c r="I302" s="2" t="s">
        <v>25</v>
      </c>
      <c r="J302" s="2" t="s">
        <v>53</v>
      </c>
      <c r="K302" s="11">
        <v>45532</v>
      </c>
      <c r="L302" s="11">
        <v>45553</v>
      </c>
      <c r="M302" s="3">
        <v>35000</v>
      </c>
      <c r="N302" s="3" t="s">
        <v>67</v>
      </c>
      <c r="O302" s="3" t="s">
        <v>87</v>
      </c>
    </row>
    <row r="303" spans="3:15">
      <c r="C303" s="2" t="s">
        <v>917</v>
      </c>
      <c r="D303" s="2" t="s">
        <v>918</v>
      </c>
      <c r="E303" s="2">
        <v>34</v>
      </c>
      <c r="F303" t="str">
        <f t="shared" si="4"/>
        <v>Young Adult</v>
      </c>
      <c r="G303" s="2" t="s">
        <v>690</v>
      </c>
      <c r="H303" s="2" t="s">
        <v>15</v>
      </c>
      <c r="I303" s="2" t="s">
        <v>127</v>
      </c>
      <c r="J303" s="2" t="s">
        <v>48</v>
      </c>
      <c r="K303" s="11">
        <v>45583</v>
      </c>
      <c r="L303" s="11">
        <v>45592</v>
      </c>
      <c r="M303" s="2">
        <v>75000</v>
      </c>
      <c r="N303" s="2" t="s">
        <v>37</v>
      </c>
      <c r="O303" s="2" t="s">
        <v>87</v>
      </c>
    </row>
    <row r="304" spans="3:15">
      <c r="C304" s="3" t="s">
        <v>919</v>
      </c>
      <c r="D304" s="2" t="s">
        <v>372</v>
      </c>
      <c r="E304" s="3">
        <v>9</v>
      </c>
      <c r="F304" t="str">
        <f t="shared" si="4"/>
        <v>Child</v>
      </c>
      <c r="G304" s="3" t="s">
        <v>14</v>
      </c>
      <c r="H304" s="2" t="s">
        <v>85</v>
      </c>
      <c r="I304" s="2" t="s">
        <v>25</v>
      </c>
      <c r="J304" s="2" t="s">
        <v>35</v>
      </c>
      <c r="K304" s="11">
        <v>45355</v>
      </c>
      <c r="L304" s="11">
        <v>45408</v>
      </c>
      <c r="M304" s="3">
        <v>12000</v>
      </c>
      <c r="N304" s="3" t="s">
        <v>37</v>
      </c>
      <c r="O304" s="3" t="s">
        <v>55</v>
      </c>
    </row>
    <row r="305" spans="3:15">
      <c r="C305" s="2" t="s">
        <v>921</v>
      </c>
      <c r="D305" s="2" t="s">
        <v>700</v>
      </c>
      <c r="E305" s="2">
        <v>47</v>
      </c>
      <c r="F305" t="str">
        <f t="shared" si="4"/>
        <v>Middle Age</v>
      </c>
      <c r="G305" s="2" t="s">
        <v>14</v>
      </c>
      <c r="H305" s="2" t="s">
        <v>15</v>
      </c>
      <c r="I305" s="2" t="s">
        <v>127</v>
      </c>
      <c r="J305" s="2" t="s">
        <v>17</v>
      </c>
      <c r="K305" s="11">
        <v>45346</v>
      </c>
      <c r="L305" s="11">
        <v>45355</v>
      </c>
      <c r="M305" s="2">
        <v>35000</v>
      </c>
      <c r="N305" s="2" t="s">
        <v>37</v>
      </c>
      <c r="O305" s="2" t="s">
        <v>21</v>
      </c>
    </row>
    <row r="306" spans="3:15">
      <c r="C306" s="3" t="s">
        <v>922</v>
      </c>
      <c r="D306" s="2" t="s">
        <v>923</v>
      </c>
      <c r="E306" s="3">
        <v>8</v>
      </c>
      <c r="F306" t="str">
        <f t="shared" si="4"/>
        <v>Child</v>
      </c>
      <c r="G306" s="3" t="s">
        <v>32</v>
      </c>
      <c r="H306" s="2" t="s">
        <v>52</v>
      </c>
      <c r="I306" s="2" t="s">
        <v>16</v>
      </c>
      <c r="J306" s="2" t="s">
        <v>48</v>
      </c>
      <c r="K306" s="11">
        <v>45503</v>
      </c>
      <c r="L306" s="11">
        <v>45509</v>
      </c>
      <c r="M306" s="3">
        <v>50000</v>
      </c>
      <c r="N306" s="3" t="s">
        <v>29</v>
      </c>
      <c r="O306" s="3" t="s">
        <v>55</v>
      </c>
    </row>
    <row r="307" spans="3:15">
      <c r="C307" s="2" t="s">
        <v>924</v>
      </c>
      <c r="D307" s="2" t="s">
        <v>925</v>
      </c>
      <c r="E307" s="2">
        <v>8</v>
      </c>
      <c r="F307" t="str">
        <f t="shared" si="4"/>
        <v>Child</v>
      </c>
      <c r="G307" s="2" t="s">
        <v>32</v>
      </c>
      <c r="H307" s="2" t="s">
        <v>70</v>
      </c>
      <c r="I307" s="2" t="s">
        <v>16</v>
      </c>
      <c r="J307" s="2" t="s">
        <v>53</v>
      </c>
      <c r="K307" s="11">
        <v>45429</v>
      </c>
      <c r="L307" s="11">
        <v>45451</v>
      </c>
      <c r="M307" s="2">
        <v>75000</v>
      </c>
      <c r="N307" s="2" t="s">
        <v>20</v>
      </c>
      <c r="O307" s="2" t="s">
        <v>55</v>
      </c>
    </row>
    <row r="308" spans="3:15">
      <c r="C308" s="3" t="s">
        <v>927</v>
      </c>
      <c r="D308" s="2" t="s">
        <v>436</v>
      </c>
      <c r="E308" s="3">
        <v>72</v>
      </c>
      <c r="F308" t="str">
        <f t="shared" si="4"/>
        <v>Senior</v>
      </c>
      <c r="G308" s="3" t="s">
        <v>14</v>
      </c>
      <c r="H308" s="2" t="s">
        <v>109</v>
      </c>
      <c r="I308" s="2" t="s">
        <v>127</v>
      </c>
      <c r="J308" s="2" t="s">
        <v>99</v>
      </c>
      <c r="K308" s="11">
        <v>45411</v>
      </c>
      <c r="L308" s="11">
        <v>45423</v>
      </c>
      <c r="M308" s="3">
        <v>0</v>
      </c>
      <c r="N308" s="3" t="s">
        <v>29</v>
      </c>
      <c r="O308" s="3" t="s">
        <v>55</v>
      </c>
    </row>
    <row r="309" spans="3:15">
      <c r="C309" s="2" t="s">
        <v>928</v>
      </c>
      <c r="D309" s="2" t="s">
        <v>80</v>
      </c>
      <c r="E309" s="2">
        <v>47</v>
      </c>
      <c r="F309" t="str">
        <f t="shared" si="4"/>
        <v>Middle Age</v>
      </c>
      <c r="G309" s="2" t="s">
        <v>14</v>
      </c>
      <c r="H309" s="2" t="s">
        <v>58</v>
      </c>
      <c r="I309" s="2" t="s">
        <v>34</v>
      </c>
      <c r="J309" s="2" t="s">
        <v>26</v>
      </c>
      <c r="K309" s="11">
        <v>45437</v>
      </c>
      <c r="L309" s="11">
        <v>45465</v>
      </c>
      <c r="M309" s="2">
        <v>12000</v>
      </c>
      <c r="N309" s="2" t="s">
        <v>37</v>
      </c>
      <c r="O309" s="2" t="s">
        <v>87</v>
      </c>
    </row>
    <row r="310" spans="3:15">
      <c r="C310" s="3" t="s">
        <v>929</v>
      </c>
      <c r="D310" s="2" t="s">
        <v>930</v>
      </c>
      <c r="E310" s="3">
        <v>43</v>
      </c>
      <c r="F310" t="str">
        <f t="shared" si="4"/>
        <v>Middle Age</v>
      </c>
      <c r="G310" s="3" t="s">
        <v>14</v>
      </c>
      <c r="H310" s="2" t="s">
        <v>85</v>
      </c>
      <c r="I310" s="2" t="s">
        <v>76</v>
      </c>
      <c r="J310" s="2" t="s">
        <v>26</v>
      </c>
      <c r="K310" s="11">
        <v>45339</v>
      </c>
      <c r="L310" s="11">
        <v>45359</v>
      </c>
      <c r="M310" s="3">
        <v>5000</v>
      </c>
      <c r="N310" s="3" t="s">
        <v>29</v>
      </c>
      <c r="O310" s="3" t="s">
        <v>38</v>
      </c>
    </row>
    <row r="311" spans="3:15">
      <c r="C311" s="2" t="s">
        <v>931</v>
      </c>
      <c r="D311" s="2" t="s">
        <v>932</v>
      </c>
      <c r="E311" s="2">
        <v>7</v>
      </c>
      <c r="F311" t="str">
        <f t="shared" si="4"/>
        <v>Child</v>
      </c>
      <c r="G311" s="2" t="s">
        <v>32</v>
      </c>
      <c r="H311" s="2" t="s">
        <v>109</v>
      </c>
      <c r="I311" s="2" t="s">
        <v>42</v>
      </c>
      <c r="J311" s="2" t="s">
        <v>35</v>
      </c>
      <c r="K311" s="11">
        <v>45572</v>
      </c>
      <c r="L311" s="11">
        <v>45512</v>
      </c>
      <c r="M311" s="2">
        <v>0</v>
      </c>
      <c r="N311" s="2" t="s">
        <v>67</v>
      </c>
      <c r="O311" s="2" t="s">
        <v>21</v>
      </c>
    </row>
    <row r="312" spans="3:15">
      <c r="C312" s="3" t="s">
        <v>934</v>
      </c>
      <c r="D312" s="2" t="s">
        <v>935</v>
      </c>
      <c r="E312" s="3">
        <v>45</v>
      </c>
      <c r="F312" t="str">
        <f t="shared" si="4"/>
        <v>Middle Age</v>
      </c>
      <c r="G312" s="3" t="s">
        <v>14</v>
      </c>
      <c r="H312" s="2" t="s">
        <v>15</v>
      </c>
      <c r="I312" s="2" t="s">
        <v>132</v>
      </c>
      <c r="J312" s="2" t="s">
        <v>99</v>
      </c>
      <c r="K312" s="11">
        <v>45380</v>
      </c>
      <c r="L312" s="11">
        <v>45389</v>
      </c>
      <c r="M312" s="3">
        <v>20000</v>
      </c>
      <c r="N312" s="3" t="s">
        <v>67</v>
      </c>
      <c r="O312" s="3" t="s">
        <v>21</v>
      </c>
    </row>
    <row r="313" spans="3:15">
      <c r="C313" s="2" t="s">
        <v>937</v>
      </c>
      <c r="D313" s="2" t="s">
        <v>938</v>
      </c>
      <c r="E313" s="2">
        <v>40</v>
      </c>
      <c r="F313" t="str">
        <f t="shared" si="4"/>
        <v>Middle Age</v>
      </c>
      <c r="G313" s="2" t="s">
        <v>32</v>
      </c>
      <c r="H313" s="2" t="s">
        <v>58</v>
      </c>
      <c r="I313" s="2" t="s">
        <v>127</v>
      </c>
      <c r="J313" s="2" t="s">
        <v>26</v>
      </c>
      <c r="K313" s="11">
        <v>45452</v>
      </c>
      <c r="L313" s="11">
        <v>45564</v>
      </c>
      <c r="M313" s="2">
        <v>15000</v>
      </c>
      <c r="N313" s="2" t="s">
        <v>67</v>
      </c>
      <c r="O313" s="2" t="s">
        <v>21</v>
      </c>
    </row>
    <row r="314" spans="3:15">
      <c r="C314" s="3" t="s">
        <v>939</v>
      </c>
      <c r="D314" s="2" t="s">
        <v>576</v>
      </c>
      <c r="E314" s="3">
        <v>34</v>
      </c>
      <c r="F314" t="str">
        <f t="shared" si="4"/>
        <v>Young Adult</v>
      </c>
      <c r="G314" s="3" t="s">
        <v>14</v>
      </c>
      <c r="H314" s="2" t="s">
        <v>58</v>
      </c>
      <c r="I314" s="2" t="s">
        <v>76</v>
      </c>
      <c r="J314" s="2" t="s">
        <v>17</v>
      </c>
      <c r="K314" s="11">
        <v>45481</v>
      </c>
      <c r="L314" s="11">
        <v>45513</v>
      </c>
      <c r="M314" s="3">
        <v>50000</v>
      </c>
      <c r="N314" s="3" t="s">
        <v>67</v>
      </c>
      <c r="O314" s="3" t="s">
        <v>21</v>
      </c>
    </row>
    <row r="315" spans="3:15">
      <c r="C315" s="2" t="s">
        <v>940</v>
      </c>
      <c r="D315" s="2" t="s">
        <v>23</v>
      </c>
      <c r="E315" s="2">
        <v>33</v>
      </c>
      <c r="F315" t="str">
        <f t="shared" si="4"/>
        <v>Young Adult</v>
      </c>
      <c r="G315" s="2" t="s">
        <v>32</v>
      </c>
      <c r="H315" s="2" t="s">
        <v>15</v>
      </c>
      <c r="I315" s="2" t="s">
        <v>76</v>
      </c>
      <c r="J315" s="2" t="s">
        <v>104</v>
      </c>
      <c r="K315" s="11">
        <v>45588</v>
      </c>
      <c r="L315" s="11">
        <v>45595</v>
      </c>
      <c r="M315" s="2">
        <v>15000</v>
      </c>
      <c r="N315" s="2" t="s">
        <v>37</v>
      </c>
      <c r="O315" s="2" t="s">
        <v>38</v>
      </c>
    </row>
    <row r="316" spans="3:15">
      <c r="C316" s="3" t="s">
        <v>941</v>
      </c>
      <c r="D316" s="2" t="s">
        <v>942</v>
      </c>
      <c r="E316" s="3">
        <v>45</v>
      </c>
      <c r="F316" t="str">
        <f t="shared" si="4"/>
        <v>Middle Age</v>
      </c>
      <c r="G316" s="3" t="s">
        <v>14</v>
      </c>
      <c r="H316" s="2" t="s">
        <v>109</v>
      </c>
      <c r="I316" s="2" t="s">
        <v>76</v>
      </c>
      <c r="J316" s="2" t="s">
        <v>35</v>
      </c>
      <c r="K316" s="11">
        <v>45599</v>
      </c>
      <c r="L316" s="11">
        <v>45374</v>
      </c>
      <c r="M316" s="3">
        <v>8000</v>
      </c>
      <c r="N316" s="3" t="s">
        <v>67</v>
      </c>
      <c r="O316" s="3" t="s">
        <v>21</v>
      </c>
    </row>
    <row r="317" spans="3:15">
      <c r="C317" s="2" t="s">
        <v>944</v>
      </c>
      <c r="D317" s="2" t="s">
        <v>462</v>
      </c>
      <c r="E317" s="2">
        <v>88</v>
      </c>
      <c r="F317" t="str">
        <f t="shared" si="4"/>
        <v>Senior</v>
      </c>
      <c r="G317" s="2" t="s">
        <v>32</v>
      </c>
      <c r="H317" s="2" t="s">
        <v>15</v>
      </c>
      <c r="I317" s="2" t="s">
        <v>34</v>
      </c>
      <c r="J317" s="2" t="s">
        <v>104</v>
      </c>
      <c r="K317" s="11">
        <v>45560</v>
      </c>
      <c r="L317" s="11">
        <v>45561</v>
      </c>
      <c r="M317" s="2">
        <v>50000</v>
      </c>
      <c r="N317" s="2" t="s">
        <v>20</v>
      </c>
      <c r="O317" s="2" t="s">
        <v>38</v>
      </c>
    </row>
    <row r="318" spans="3:15">
      <c r="C318" s="3" t="s">
        <v>946</v>
      </c>
      <c r="D318" s="2" t="s">
        <v>46</v>
      </c>
      <c r="E318" s="3" t="s">
        <v>775</v>
      </c>
      <c r="F318" t="str">
        <f t="shared" si="4"/>
        <v>Unknown</v>
      </c>
      <c r="G318" s="3" t="s">
        <v>32</v>
      </c>
      <c r="H318" s="2" t="s">
        <v>85</v>
      </c>
      <c r="I318" s="2" t="s">
        <v>42</v>
      </c>
      <c r="J318" s="2" t="s">
        <v>53</v>
      </c>
      <c r="K318" s="11">
        <v>45402</v>
      </c>
      <c r="L318" s="11">
        <v>45423</v>
      </c>
      <c r="M318" s="3">
        <v>50000</v>
      </c>
      <c r="N318" s="3" t="s">
        <v>37</v>
      </c>
      <c r="O318" s="3" t="s">
        <v>38</v>
      </c>
    </row>
    <row r="319" spans="3:15">
      <c r="C319" s="2" t="s">
        <v>947</v>
      </c>
      <c r="D319" s="2" t="s">
        <v>1431</v>
      </c>
      <c r="E319" s="2">
        <v>89</v>
      </c>
      <c r="F319" t="str">
        <f t="shared" si="4"/>
        <v>Senior</v>
      </c>
      <c r="G319" s="2" t="s">
        <v>690</v>
      </c>
      <c r="H319" s="2" t="s">
        <v>85</v>
      </c>
      <c r="I319" s="2" t="s">
        <v>34</v>
      </c>
      <c r="J319" s="2" t="s">
        <v>26</v>
      </c>
      <c r="K319" s="11">
        <v>45563</v>
      </c>
      <c r="L319" s="11">
        <v>45582</v>
      </c>
      <c r="M319" s="2">
        <v>50000</v>
      </c>
      <c r="N319" s="2" t="s">
        <v>37</v>
      </c>
      <c r="O319" s="2" t="s">
        <v>55</v>
      </c>
    </row>
    <row r="320" spans="3:15">
      <c r="C320" s="3" t="s">
        <v>949</v>
      </c>
      <c r="D320" s="2" t="s">
        <v>950</v>
      </c>
      <c r="E320" s="3">
        <v>49</v>
      </c>
      <c r="F320" t="str">
        <f t="shared" si="4"/>
        <v>Middle Age</v>
      </c>
      <c r="G320" s="3" t="s">
        <v>32</v>
      </c>
      <c r="H320" s="2" t="s">
        <v>33</v>
      </c>
      <c r="I320" s="2" t="s">
        <v>16</v>
      </c>
      <c r="J320" s="2" t="s">
        <v>104</v>
      </c>
      <c r="K320" s="11">
        <v>45540</v>
      </c>
      <c r="L320" s="11">
        <v>45433</v>
      </c>
      <c r="M320" s="3">
        <v>15000</v>
      </c>
      <c r="N320" s="3" t="s">
        <v>29</v>
      </c>
      <c r="O320" s="3" t="s">
        <v>21</v>
      </c>
    </row>
    <row r="321" spans="3:15">
      <c r="C321" s="2" t="s">
        <v>951</v>
      </c>
      <c r="D321" s="2" t="s">
        <v>214</v>
      </c>
      <c r="E321" s="2">
        <v>73</v>
      </c>
      <c r="F321" t="str">
        <f t="shared" si="4"/>
        <v>Senior</v>
      </c>
      <c r="G321" s="2" t="s">
        <v>14</v>
      </c>
      <c r="H321" s="2" t="s">
        <v>85</v>
      </c>
      <c r="I321" s="2" t="s">
        <v>42</v>
      </c>
      <c r="J321" s="2" t="s">
        <v>99</v>
      </c>
      <c r="K321" s="11">
        <v>45325</v>
      </c>
      <c r="L321" s="11">
        <v>45382</v>
      </c>
      <c r="M321" s="2">
        <v>75000</v>
      </c>
      <c r="N321" s="2" t="s">
        <v>29</v>
      </c>
      <c r="O321" s="2" t="s">
        <v>55</v>
      </c>
    </row>
    <row r="322" spans="3:15">
      <c r="C322" s="3" t="s">
        <v>953</v>
      </c>
      <c r="D322" s="2" t="s">
        <v>258</v>
      </c>
      <c r="E322" s="3">
        <v>82</v>
      </c>
      <c r="F322" t="str">
        <f t="shared" si="4"/>
        <v>Senior</v>
      </c>
      <c r="G322" s="3" t="s">
        <v>32</v>
      </c>
      <c r="H322" s="2" t="s">
        <v>52</v>
      </c>
      <c r="I322" s="2" t="s">
        <v>25</v>
      </c>
      <c r="J322" s="2" t="s">
        <v>99</v>
      </c>
      <c r="K322" s="11">
        <v>45425</v>
      </c>
      <c r="L322" s="11">
        <v>45453</v>
      </c>
      <c r="M322" s="3">
        <v>12000</v>
      </c>
      <c r="N322" s="3" t="s">
        <v>67</v>
      </c>
      <c r="O322" s="3" t="s">
        <v>55</v>
      </c>
    </row>
    <row r="323" spans="3:15">
      <c r="C323" s="2" t="s">
        <v>954</v>
      </c>
      <c r="D323" s="2" t="s">
        <v>868</v>
      </c>
      <c r="E323" s="2">
        <v>86</v>
      </c>
      <c r="F323" t="str">
        <f t="shared" si="4"/>
        <v>Senior</v>
      </c>
      <c r="G323" s="2" t="s">
        <v>14</v>
      </c>
      <c r="H323" s="2" t="s">
        <v>15</v>
      </c>
      <c r="I323" s="2" t="s">
        <v>127</v>
      </c>
      <c r="J323" s="2" t="s">
        <v>35</v>
      </c>
      <c r="K323" s="11">
        <v>45453</v>
      </c>
      <c r="L323" s="11">
        <v>45582</v>
      </c>
      <c r="M323" s="2">
        <v>35000</v>
      </c>
      <c r="N323" s="2" t="s">
        <v>67</v>
      </c>
      <c r="O323" s="2" t="s">
        <v>87</v>
      </c>
    </row>
    <row r="324" spans="3:15">
      <c r="C324" s="3" t="s">
        <v>955</v>
      </c>
      <c r="D324" s="2" t="s">
        <v>956</v>
      </c>
      <c r="E324" s="3">
        <v>10</v>
      </c>
      <c r="F324" t="str">
        <f t="shared" si="4"/>
        <v>Child</v>
      </c>
      <c r="G324" s="3" t="s">
        <v>14</v>
      </c>
      <c r="H324" s="2" t="s">
        <v>85</v>
      </c>
      <c r="I324" s="2" t="s">
        <v>76</v>
      </c>
      <c r="J324" s="2" t="s">
        <v>35</v>
      </c>
      <c r="K324" s="11">
        <v>45338</v>
      </c>
      <c r="L324" s="11">
        <v>45340</v>
      </c>
      <c r="M324" s="3">
        <v>15000</v>
      </c>
      <c r="N324" s="3" t="s">
        <v>29</v>
      </c>
      <c r="O324" s="3" t="s">
        <v>55</v>
      </c>
    </row>
    <row r="325" spans="3:15">
      <c r="C325" s="2" t="s">
        <v>957</v>
      </c>
      <c r="D325" s="2" t="s">
        <v>958</v>
      </c>
      <c r="E325" s="2">
        <v>36</v>
      </c>
      <c r="F325" t="str">
        <f t="shared" si="4"/>
        <v>Young Adult</v>
      </c>
      <c r="G325" s="2" t="s">
        <v>14</v>
      </c>
      <c r="H325" s="2" t="s">
        <v>109</v>
      </c>
      <c r="I325" s="2" t="s">
        <v>42</v>
      </c>
      <c r="J325" s="2" t="s">
        <v>26</v>
      </c>
      <c r="K325" s="11">
        <v>45632</v>
      </c>
      <c r="L325" s="11">
        <v>45464</v>
      </c>
      <c r="M325" s="2">
        <v>12000</v>
      </c>
      <c r="N325" s="2" t="s">
        <v>37</v>
      </c>
      <c r="O325" s="2" t="s">
        <v>21</v>
      </c>
    </row>
    <row r="326" spans="3:15">
      <c r="C326" s="3" t="s">
        <v>959</v>
      </c>
      <c r="D326" s="2" t="s">
        <v>693</v>
      </c>
      <c r="E326" s="3">
        <v>41</v>
      </c>
      <c r="F326" t="str">
        <f t="shared" si="4"/>
        <v>Middle Age</v>
      </c>
      <c r="G326" s="3" t="s">
        <v>14</v>
      </c>
      <c r="H326" s="2" t="s">
        <v>70</v>
      </c>
      <c r="I326" s="2" t="s">
        <v>16</v>
      </c>
      <c r="J326" s="2" t="s">
        <v>104</v>
      </c>
      <c r="K326" s="11">
        <v>45436</v>
      </c>
      <c r="L326" s="11">
        <v>45460</v>
      </c>
      <c r="M326" s="3">
        <v>25000</v>
      </c>
      <c r="N326" s="3" t="s">
        <v>20</v>
      </c>
      <c r="O326" s="3" t="s">
        <v>87</v>
      </c>
    </row>
    <row r="327" spans="3:15">
      <c r="C327" s="3" t="s">
        <v>961</v>
      </c>
      <c r="D327" s="2" t="s">
        <v>887</v>
      </c>
      <c r="E327" s="3">
        <v>90</v>
      </c>
      <c r="F327" t="str">
        <f t="shared" si="4"/>
        <v>Senior</v>
      </c>
      <c r="G327" s="3" t="s">
        <v>14</v>
      </c>
      <c r="H327" s="2" t="s">
        <v>85</v>
      </c>
      <c r="I327" s="2" t="s">
        <v>34</v>
      </c>
      <c r="J327" s="2" t="s">
        <v>53</v>
      </c>
      <c r="K327" s="11">
        <v>45389</v>
      </c>
      <c r="L327" s="11">
        <v>45487</v>
      </c>
      <c r="M327" s="3">
        <v>20000</v>
      </c>
      <c r="N327" s="3" t="s">
        <v>29</v>
      </c>
      <c r="O327" s="3" t="s">
        <v>87</v>
      </c>
    </row>
    <row r="328" spans="3:15">
      <c r="C328" s="2" t="s">
        <v>962</v>
      </c>
      <c r="D328" s="2" t="s">
        <v>963</v>
      </c>
      <c r="E328" s="2">
        <v>21</v>
      </c>
      <c r="F328" t="str">
        <f t="shared" si="4"/>
        <v>Young Adult</v>
      </c>
      <c r="G328" s="2" t="s">
        <v>32</v>
      </c>
      <c r="H328" s="2" t="s">
        <v>85</v>
      </c>
      <c r="I328" s="2" t="s">
        <v>76</v>
      </c>
      <c r="J328" s="2" t="s">
        <v>53</v>
      </c>
      <c r="K328" s="11">
        <v>45368</v>
      </c>
      <c r="L328" s="11">
        <v>45390</v>
      </c>
      <c r="M328" s="2">
        <v>0</v>
      </c>
      <c r="N328" s="2" t="s">
        <v>29</v>
      </c>
      <c r="O328" s="2" t="s">
        <v>87</v>
      </c>
    </row>
    <row r="329" spans="3:15">
      <c r="C329" s="3" t="s">
        <v>964</v>
      </c>
      <c r="D329" s="2" t="s">
        <v>761</v>
      </c>
      <c r="E329" s="3">
        <v>22</v>
      </c>
      <c r="F329" t="str">
        <f t="shared" si="4"/>
        <v>Young Adult</v>
      </c>
      <c r="G329" s="3" t="s">
        <v>14</v>
      </c>
      <c r="H329" s="2" t="s">
        <v>109</v>
      </c>
      <c r="I329" s="2" t="s">
        <v>132</v>
      </c>
      <c r="J329" s="2" t="s">
        <v>99</v>
      </c>
      <c r="K329" s="11">
        <v>45404</v>
      </c>
      <c r="L329" s="11">
        <v>45423</v>
      </c>
      <c r="M329" s="3">
        <v>100000</v>
      </c>
      <c r="N329" s="3" t="s">
        <v>37</v>
      </c>
      <c r="O329" s="3" t="s">
        <v>87</v>
      </c>
    </row>
    <row r="330" spans="3:15">
      <c r="C330" s="2" t="s">
        <v>965</v>
      </c>
      <c r="D330" s="2" t="s">
        <v>966</v>
      </c>
      <c r="E330" s="2">
        <v>77</v>
      </c>
      <c r="F330" t="str">
        <f t="shared" ref="F330:F393" si="5">IF(E330="Unknown","Unknown",IF(E330&lt;18,"Child",IF(E330&lt;40,"Young Adult",IF(E330&lt;60,"Middle Age","Senior"))))</f>
        <v>Senior</v>
      </c>
      <c r="G330" s="2" t="s">
        <v>14</v>
      </c>
      <c r="H330" s="2" t="s">
        <v>85</v>
      </c>
      <c r="I330" s="2" t="s">
        <v>127</v>
      </c>
      <c r="J330" s="2" t="s">
        <v>53</v>
      </c>
      <c r="K330" s="11">
        <v>45521</v>
      </c>
      <c r="L330" s="11">
        <v>45543</v>
      </c>
      <c r="M330" s="2">
        <v>12000</v>
      </c>
      <c r="N330" s="2" t="s">
        <v>67</v>
      </c>
      <c r="O330" s="2" t="s">
        <v>38</v>
      </c>
    </row>
    <row r="331" spans="3:15">
      <c r="C331" s="2" t="s">
        <v>968</v>
      </c>
      <c r="D331" s="2" t="s">
        <v>966</v>
      </c>
      <c r="E331" s="3">
        <v>77</v>
      </c>
      <c r="F331" t="str">
        <f t="shared" si="5"/>
        <v>Senior</v>
      </c>
      <c r="G331" s="3" t="s">
        <v>14</v>
      </c>
      <c r="H331" s="2" t="s">
        <v>85</v>
      </c>
      <c r="I331" s="2" t="s">
        <v>127</v>
      </c>
      <c r="J331" s="2" t="s">
        <v>53</v>
      </c>
      <c r="K331" s="11">
        <v>45521</v>
      </c>
      <c r="L331" s="11">
        <v>45543</v>
      </c>
      <c r="M331" s="3">
        <v>12000</v>
      </c>
      <c r="N331" s="3" t="s">
        <v>67</v>
      </c>
      <c r="O331" s="3" t="s">
        <v>38</v>
      </c>
    </row>
    <row r="332" spans="3:15">
      <c r="C332" s="3" t="s">
        <v>969</v>
      </c>
      <c r="D332" s="2" t="s">
        <v>150</v>
      </c>
      <c r="E332" s="2">
        <v>52</v>
      </c>
      <c r="F332" t="str">
        <f t="shared" si="5"/>
        <v>Middle Age</v>
      </c>
      <c r="G332" s="2" t="s">
        <v>32</v>
      </c>
      <c r="H332" s="2" t="s">
        <v>52</v>
      </c>
      <c r="I332" s="2" t="s">
        <v>16</v>
      </c>
      <c r="J332" s="2" t="s">
        <v>17</v>
      </c>
      <c r="K332" s="11">
        <v>45589</v>
      </c>
      <c r="L332" s="11">
        <v>45595</v>
      </c>
      <c r="M332" s="2">
        <v>25000</v>
      </c>
      <c r="N332" s="2" t="s">
        <v>67</v>
      </c>
      <c r="O332" s="2" t="s">
        <v>87</v>
      </c>
    </row>
    <row r="333" spans="3:15">
      <c r="C333" s="2" t="s">
        <v>970</v>
      </c>
      <c r="D333" s="2" t="s">
        <v>771</v>
      </c>
      <c r="E333" s="3">
        <v>2</v>
      </c>
      <c r="F333" t="str">
        <f t="shared" si="5"/>
        <v>Child</v>
      </c>
      <c r="G333" s="3" t="s">
        <v>14</v>
      </c>
      <c r="H333" s="2" t="s">
        <v>52</v>
      </c>
      <c r="I333" s="2" t="s">
        <v>127</v>
      </c>
      <c r="J333" s="2" t="s">
        <v>53</v>
      </c>
      <c r="K333" s="11">
        <v>45601</v>
      </c>
      <c r="L333" s="11">
        <v>45441</v>
      </c>
      <c r="M333" s="3">
        <v>25000</v>
      </c>
      <c r="N333" s="3" t="s">
        <v>67</v>
      </c>
      <c r="O333" s="3" t="s">
        <v>55</v>
      </c>
    </row>
    <row r="334" spans="3:15">
      <c r="C334" s="3" t="s">
        <v>972</v>
      </c>
      <c r="D334" s="2" t="s">
        <v>971</v>
      </c>
      <c r="E334" s="2">
        <v>90</v>
      </c>
      <c r="F334" t="str">
        <f t="shared" si="5"/>
        <v>Senior</v>
      </c>
      <c r="G334" s="2" t="s">
        <v>775</v>
      </c>
      <c r="H334" s="2" t="s">
        <v>70</v>
      </c>
      <c r="I334" s="2" t="s">
        <v>25</v>
      </c>
      <c r="J334" s="2" t="s">
        <v>104</v>
      </c>
      <c r="K334" s="11">
        <v>45305</v>
      </c>
      <c r="L334" s="11">
        <v>45335</v>
      </c>
      <c r="M334" s="2">
        <v>8000</v>
      </c>
      <c r="N334" s="2" t="s">
        <v>37</v>
      </c>
      <c r="O334" s="2" t="s">
        <v>87</v>
      </c>
    </row>
    <row r="335" spans="3:15">
      <c r="C335" s="2" t="s">
        <v>975</v>
      </c>
      <c r="D335" s="2" t="s">
        <v>642</v>
      </c>
      <c r="E335" s="3">
        <v>81</v>
      </c>
      <c r="F335" t="str">
        <f t="shared" si="5"/>
        <v>Senior</v>
      </c>
      <c r="G335" s="3" t="s">
        <v>14</v>
      </c>
      <c r="H335" s="2" t="s">
        <v>52</v>
      </c>
      <c r="I335" s="2" t="s">
        <v>42</v>
      </c>
      <c r="J335" s="2" t="s">
        <v>17</v>
      </c>
      <c r="K335" s="11">
        <v>45630</v>
      </c>
      <c r="L335" s="11">
        <v>45415</v>
      </c>
      <c r="M335" s="3">
        <v>100000</v>
      </c>
      <c r="N335" s="3" t="s">
        <v>37</v>
      </c>
      <c r="O335" s="3" t="s">
        <v>55</v>
      </c>
    </row>
    <row r="336" spans="3:15">
      <c r="C336" s="3" t="s">
        <v>978</v>
      </c>
      <c r="D336" s="2" t="s">
        <v>976</v>
      </c>
      <c r="E336" s="2">
        <v>37</v>
      </c>
      <c r="F336" t="str">
        <f t="shared" si="5"/>
        <v>Young Adult</v>
      </c>
      <c r="G336" s="2" t="s">
        <v>32</v>
      </c>
      <c r="H336" s="2" t="s">
        <v>58</v>
      </c>
      <c r="I336" s="2" t="s">
        <v>42</v>
      </c>
      <c r="J336" s="2" t="s">
        <v>53</v>
      </c>
      <c r="K336" s="11">
        <v>45547</v>
      </c>
      <c r="L336" s="11">
        <v>45571</v>
      </c>
      <c r="M336" s="2">
        <v>8000</v>
      </c>
      <c r="N336" s="2" t="s">
        <v>29</v>
      </c>
      <c r="O336" s="2" t="s">
        <v>38</v>
      </c>
    </row>
    <row r="337" spans="3:15">
      <c r="C337" s="2" t="s">
        <v>979</v>
      </c>
      <c r="D337" s="2" t="s">
        <v>892</v>
      </c>
      <c r="E337" s="3">
        <v>70</v>
      </c>
      <c r="F337" t="str">
        <f t="shared" si="5"/>
        <v>Senior</v>
      </c>
      <c r="G337" s="3" t="s">
        <v>14</v>
      </c>
      <c r="H337" s="2" t="s">
        <v>33</v>
      </c>
      <c r="I337" s="2" t="s">
        <v>127</v>
      </c>
      <c r="J337" s="2" t="s">
        <v>48</v>
      </c>
      <c r="K337" s="11">
        <v>45344</v>
      </c>
      <c r="L337" s="11">
        <v>45374</v>
      </c>
      <c r="M337" s="3">
        <v>20000</v>
      </c>
      <c r="N337" s="3" t="s">
        <v>37</v>
      </c>
      <c r="O337" s="3" t="s">
        <v>38</v>
      </c>
    </row>
    <row r="338" spans="3:15">
      <c r="C338" s="3" t="s">
        <v>980</v>
      </c>
      <c r="D338" s="2" t="s">
        <v>197</v>
      </c>
      <c r="E338" s="2">
        <v>25</v>
      </c>
      <c r="F338" t="str">
        <f t="shared" si="5"/>
        <v>Young Adult</v>
      </c>
      <c r="G338" s="2" t="s">
        <v>14</v>
      </c>
      <c r="H338" s="2" t="s">
        <v>33</v>
      </c>
      <c r="I338" s="2" t="s">
        <v>76</v>
      </c>
      <c r="J338" s="2" t="s">
        <v>104</v>
      </c>
      <c r="K338" s="11">
        <v>45342</v>
      </c>
      <c r="L338" s="11">
        <v>45345</v>
      </c>
      <c r="M338" s="2">
        <v>5000</v>
      </c>
      <c r="N338" s="2" t="s">
        <v>20</v>
      </c>
      <c r="O338" s="2" t="s">
        <v>55</v>
      </c>
    </row>
    <row r="339" spans="3:15">
      <c r="C339" s="2" t="s">
        <v>981</v>
      </c>
      <c r="D339" s="2" t="s">
        <v>731</v>
      </c>
      <c r="E339" s="3">
        <v>86</v>
      </c>
      <c r="F339" t="str">
        <f t="shared" si="5"/>
        <v>Senior</v>
      </c>
      <c r="G339" s="3" t="s">
        <v>32</v>
      </c>
      <c r="H339" s="2" t="s">
        <v>33</v>
      </c>
      <c r="I339" s="2" t="s">
        <v>42</v>
      </c>
      <c r="J339" s="2" t="s">
        <v>17</v>
      </c>
      <c r="K339" s="11">
        <v>45442</v>
      </c>
      <c r="L339" s="11">
        <v>45452</v>
      </c>
      <c r="M339" s="3">
        <v>75000</v>
      </c>
      <c r="N339" s="3" t="s">
        <v>29</v>
      </c>
      <c r="O339" s="3" t="s">
        <v>87</v>
      </c>
    </row>
    <row r="340" spans="3:15">
      <c r="C340" s="3" t="s">
        <v>984</v>
      </c>
      <c r="D340" s="2" t="s">
        <v>982</v>
      </c>
      <c r="E340" s="2" t="s">
        <v>775</v>
      </c>
      <c r="F340" t="str">
        <f t="shared" si="5"/>
        <v>Unknown</v>
      </c>
      <c r="G340" s="2" t="s">
        <v>14</v>
      </c>
      <c r="H340" s="2" t="s">
        <v>70</v>
      </c>
      <c r="I340" s="2" t="s">
        <v>34</v>
      </c>
      <c r="J340" s="2" t="s">
        <v>17</v>
      </c>
      <c r="K340" s="11">
        <v>45416</v>
      </c>
      <c r="L340" s="11">
        <v>45392</v>
      </c>
      <c r="M340" s="2">
        <v>8000</v>
      </c>
      <c r="N340" s="2" t="s">
        <v>67</v>
      </c>
      <c r="O340" s="2" t="s">
        <v>87</v>
      </c>
    </row>
    <row r="341" spans="3:15">
      <c r="C341" s="2" t="s">
        <v>986</v>
      </c>
      <c r="D341" s="2" t="s">
        <v>985</v>
      </c>
      <c r="E341" s="3">
        <v>52</v>
      </c>
      <c r="F341" t="str">
        <f t="shared" si="5"/>
        <v>Middle Age</v>
      </c>
      <c r="G341" s="3" t="s">
        <v>14</v>
      </c>
      <c r="H341" s="2" t="s">
        <v>70</v>
      </c>
      <c r="I341" s="2" t="s">
        <v>34</v>
      </c>
      <c r="J341" s="2" t="s">
        <v>53</v>
      </c>
      <c r="K341" s="11">
        <v>45435</v>
      </c>
      <c r="L341" s="11">
        <v>45442</v>
      </c>
      <c r="M341" s="3">
        <v>50000</v>
      </c>
      <c r="N341" s="3" t="s">
        <v>20</v>
      </c>
      <c r="O341" s="3" t="s">
        <v>21</v>
      </c>
    </row>
    <row r="342" spans="3:15">
      <c r="C342" s="3" t="s">
        <v>988</v>
      </c>
      <c r="D342" s="2" t="s">
        <v>244</v>
      </c>
      <c r="E342" s="2">
        <v>20</v>
      </c>
      <c r="F342" t="str">
        <f t="shared" si="5"/>
        <v>Young Adult</v>
      </c>
      <c r="G342" s="2" t="s">
        <v>14</v>
      </c>
      <c r="H342" s="2" t="s">
        <v>58</v>
      </c>
      <c r="I342" s="2" t="s">
        <v>76</v>
      </c>
      <c r="J342" s="2" t="s">
        <v>48</v>
      </c>
      <c r="K342" s="11">
        <v>45322</v>
      </c>
      <c r="L342" s="11">
        <v>45343</v>
      </c>
      <c r="M342" s="2">
        <v>50000</v>
      </c>
      <c r="N342" s="2" t="s">
        <v>29</v>
      </c>
      <c r="O342" s="2" t="s">
        <v>87</v>
      </c>
    </row>
    <row r="343" spans="3:15">
      <c r="C343" s="2" t="s">
        <v>990</v>
      </c>
      <c r="D343" s="2" t="s">
        <v>989</v>
      </c>
      <c r="E343" s="3">
        <v>84</v>
      </c>
      <c r="F343" t="str">
        <f t="shared" si="5"/>
        <v>Senior</v>
      </c>
      <c r="G343" s="3" t="s">
        <v>14</v>
      </c>
      <c r="H343" s="2" t="s">
        <v>70</v>
      </c>
      <c r="I343" s="2" t="s">
        <v>127</v>
      </c>
      <c r="J343" s="2" t="s">
        <v>104</v>
      </c>
      <c r="K343" s="11">
        <v>45564</v>
      </c>
      <c r="L343" s="11">
        <v>45583</v>
      </c>
      <c r="M343" s="3">
        <v>20000</v>
      </c>
      <c r="N343" s="3" t="s">
        <v>67</v>
      </c>
      <c r="O343" s="3" t="s">
        <v>21</v>
      </c>
    </row>
    <row r="344" spans="3:15">
      <c r="C344" s="3" t="s">
        <v>992</v>
      </c>
      <c r="D344" s="2" t="s">
        <v>991</v>
      </c>
      <c r="E344" s="2">
        <v>11</v>
      </c>
      <c r="F344" t="str">
        <f t="shared" si="5"/>
        <v>Child</v>
      </c>
      <c r="G344" s="2" t="s">
        <v>32</v>
      </c>
      <c r="H344" s="2" t="s">
        <v>52</v>
      </c>
      <c r="I344" s="2" t="s">
        <v>76</v>
      </c>
      <c r="J344" s="2" t="s">
        <v>26</v>
      </c>
      <c r="K344" s="11">
        <v>45300</v>
      </c>
      <c r="L344" s="11">
        <v>45564</v>
      </c>
      <c r="M344" s="2">
        <v>15000</v>
      </c>
      <c r="N344" s="2" t="s">
        <v>37</v>
      </c>
      <c r="O344" s="2" t="s">
        <v>38</v>
      </c>
    </row>
    <row r="345" spans="3:15">
      <c r="C345" s="2" t="s">
        <v>995</v>
      </c>
      <c r="D345" s="2" t="s">
        <v>993</v>
      </c>
      <c r="E345" s="3">
        <v>89</v>
      </c>
      <c r="F345" t="str">
        <f t="shared" si="5"/>
        <v>Senior</v>
      </c>
      <c r="G345" s="3" t="s">
        <v>14</v>
      </c>
      <c r="H345" s="2" t="s">
        <v>52</v>
      </c>
      <c r="I345" s="2" t="s">
        <v>127</v>
      </c>
      <c r="J345" s="2" t="s">
        <v>99</v>
      </c>
      <c r="K345" s="11">
        <v>45328</v>
      </c>
      <c r="L345" s="11">
        <v>45468</v>
      </c>
      <c r="M345" s="3">
        <v>8000</v>
      </c>
      <c r="N345" s="3" t="s">
        <v>20</v>
      </c>
      <c r="O345" s="3" t="s">
        <v>55</v>
      </c>
    </row>
    <row r="346" spans="3:15">
      <c r="C346" s="3" t="s">
        <v>998</v>
      </c>
      <c r="D346" s="2" t="s">
        <v>996</v>
      </c>
      <c r="E346" s="2">
        <v>69</v>
      </c>
      <c r="F346" t="str">
        <f t="shared" si="5"/>
        <v>Senior</v>
      </c>
      <c r="G346" s="2" t="s">
        <v>32</v>
      </c>
      <c r="H346" s="2" t="s">
        <v>70</v>
      </c>
      <c r="I346" s="2" t="s">
        <v>25</v>
      </c>
      <c r="J346" s="2" t="s">
        <v>17</v>
      </c>
      <c r="K346" s="11">
        <v>45384</v>
      </c>
      <c r="L346" s="11">
        <v>45327</v>
      </c>
      <c r="M346" s="2">
        <v>25000</v>
      </c>
      <c r="N346" s="2" t="s">
        <v>67</v>
      </c>
      <c r="O346" s="2" t="s">
        <v>38</v>
      </c>
    </row>
    <row r="347" spans="3:15">
      <c r="C347" s="2" t="s">
        <v>1000</v>
      </c>
      <c r="D347" s="2" t="s">
        <v>999</v>
      </c>
      <c r="E347" s="3">
        <v>31</v>
      </c>
      <c r="F347" t="str">
        <f t="shared" si="5"/>
        <v>Young Adult</v>
      </c>
      <c r="G347" s="3" t="s">
        <v>14</v>
      </c>
      <c r="H347" s="2" t="s">
        <v>58</v>
      </c>
      <c r="I347" s="2" t="s">
        <v>76</v>
      </c>
      <c r="J347" s="2" t="s">
        <v>48</v>
      </c>
      <c r="K347" s="11">
        <v>45465</v>
      </c>
      <c r="L347" s="11">
        <v>45477</v>
      </c>
      <c r="M347" s="3">
        <v>100000</v>
      </c>
      <c r="N347" s="3" t="s">
        <v>67</v>
      </c>
      <c r="O347" s="3" t="s">
        <v>21</v>
      </c>
    </row>
    <row r="348" spans="3:15">
      <c r="C348" s="3" t="s">
        <v>1002</v>
      </c>
      <c r="D348" s="2" t="s">
        <v>1001</v>
      </c>
      <c r="E348" s="2">
        <v>64</v>
      </c>
      <c r="F348" t="str">
        <f t="shared" si="5"/>
        <v>Senior</v>
      </c>
      <c r="G348" s="2" t="s">
        <v>14</v>
      </c>
      <c r="H348" s="2" t="s">
        <v>85</v>
      </c>
      <c r="I348" s="2" t="s">
        <v>42</v>
      </c>
      <c r="J348" s="2" t="s">
        <v>17</v>
      </c>
      <c r="K348" s="11">
        <v>45371</v>
      </c>
      <c r="L348" s="11">
        <v>45390</v>
      </c>
      <c r="M348" s="2">
        <v>5000</v>
      </c>
      <c r="N348" s="2" t="s">
        <v>37</v>
      </c>
      <c r="O348" s="2" t="s">
        <v>87</v>
      </c>
    </row>
    <row r="349" spans="3:15">
      <c r="C349" s="2" t="s">
        <v>1004</v>
      </c>
      <c r="D349" s="2" t="s">
        <v>1003</v>
      </c>
      <c r="E349" s="3">
        <v>71</v>
      </c>
      <c r="F349" t="str">
        <f t="shared" si="5"/>
        <v>Senior</v>
      </c>
      <c r="G349" s="3" t="s">
        <v>32</v>
      </c>
      <c r="H349" s="2" t="s">
        <v>15</v>
      </c>
      <c r="I349" s="2" t="s">
        <v>76</v>
      </c>
      <c r="J349" s="2" t="s">
        <v>17</v>
      </c>
      <c r="K349" s="11">
        <v>45433</v>
      </c>
      <c r="L349" s="11">
        <v>45448</v>
      </c>
      <c r="M349" s="3">
        <v>12000</v>
      </c>
      <c r="N349" s="3" t="s">
        <v>29</v>
      </c>
      <c r="O349" s="3" t="s">
        <v>38</v>
      </c>
    </row>
    <row r="350" spans="3:15">
      <c r="C350" s="3" t="s">
        <v>1007</v>
      </c>
      <c r="D350" s="2" t="s">
        <v>1005</v>
      </c>
      <c r="E350" s="2">
        <v>20</v>
      </c>
      <c r="F350" t="str">
        <f t="shared" si="5"/>
        <v>Young Adult</v>
      </c>
      <c r="G350" s="2" t="s">
        <v>32</v>
      </c>
      <c r="H350" s="2" t="s">
        <v>52</v>
      </c>
      <c r="I350" s="2" t="s">
        <v>127</v>
      </c>
      <c r="J350" s="2" t="s">
        <v>17</v>
      </c>
      <c r="K350" s="11">
        <v>45485</v>
      </c>
      <c r="L350" s="11">
        <v>45488</v>
      </c>
      <c r="M350" s="2">
        <v>12000</v>
      </c>
      <c r="N350" s="2" t="s">
        <v>29</v>
      </c>
      <c r="O350" s="2" t="s">
        <v>38</v>
      </c>
    </row>
    <row r="351" spans="3:15">
      <c r="C351" s="2" t="s">
        <v>1009</v>
      </c>
      <c r="D351" s="2" t="s">
        <v>1008</v>
      </c>
      <c r="E351" s="3">
        <v>88</v>
      </c>
      <c r="F351" t="str">
        <f t="shared" si="5"/>
        <v>Senior</v>
      </c>
      <c r="G351" s="3" t="s">
        <v>41</v>
      </c>
      <c r="H351" s="2" t="s">
        <v>15</v>
      </c>
      <c r="I351" s="2" t="s">
        <v>16</v>
      </c>
      <c r="J351" s="2" t="s">
        <v>35</v>
      </c>
      <c r="K351" s="11">
        <v>45530</v>
      </c>
      <c r="L351" s="11">
        <v>45535</v>
      </c>
      <c r="M351" s="3">
        <v>25000</v>
      </c>
      <c r="N351" s="3" t="s">
        <v>29</v>
      </c>
      <c r="O351" s="3" t="s">
        <v>21</v>
      </c>
    </row>
    <row r="352" spans="3:15">
      <c r="C352" s="3" t="s">
        <v>1011</v>
      </c>
      <c r="D352" s="2" t="s">
        <v>1010</v>
      </c>
      <c r="E352" s="2">
        <v>76</v>
      </c>
      <c r="F352" t="str">
        <f t="shared" si="5"/>
        <v>Senior</v>
      </c>
      <c r="G352" s="2" t="s">
        <v>32</v>
      </c>
      <c r="H352" s="2" t="s">
        <v>52</v>
      </c>
      <c r="I352" s="2" t="s">
        <v>25</v>
      </c>
      <c r="J352" s="2" t="s">
        <v>26</v>
      </c>
      <c r="K352" s="11">
        <v>45453</v>
      </c>
      <c r="L352" s="11">
        <v>45601</v>
      </c>
      <c r="M352" s="2">
        <v>15000</v>
      </c>
      <c r="N352" s="2" t="s">
        <v>168</v>
      </c>
      <c r="O352" s="2" t="s">
        <v>87</v>
      </c>
    </row>
    <row r="353" spans="3:15">
      <c r="C353" s="2" t="s">
        <v>1013</v>
      </c>
      <c r="D353" s="2" t="s">
        <v>1012</v>
      </c>
      <c r="E353" s="3">
        <v>86</v>
      </c>
      <c r="F353" t="str">
        <f t="shared" si="5"/>
        <v>Senior</v>
      </c>
      <c r="G353" s="3" t="s">
        <v>14</v>
      </c>
      <c r="H353" s="2" t="s">
        <v>15</v>
      </c>
      <c r="I353" s="2" t="s">
        <v>127</v>
      </c>
      <c r="J353" s="2" t="s">
        <v>48</v>
      </c>
      <c r="K353" s="11">
        <v>45297</v>
      </c>
      <c r="L353" s="11">
        <v>45453</v>
      </c>
      <c r="M353" s="3">
        <v>20000</v>
      </c>
      <c r="N353" s="3" t="s">
        <v>37</v>
      </c>
      <c r="O353" s="3" t="s">
        <v>21</v>
      </c>
    </row>
    <row r="354" spans="3:15">
      <c r="C354" s="3" t="s">
        <v>1016</v>
      </c>
      <c r="D354" s="2" t="s">
        <v>1014</v>
      </c>
      <c r="E354" s="2">
        <v>43</v>
      </c>
      <c r="F354" t="str">
        <f t="shared" si="5"/>
        <v>Middle Age</v>
      </c>
      <c r="G354" s="2" t="s">
        <v>32</v>
      </c>
      <c r="H354" s="2" t="s">
        <v>52</v>
      </c>
      <c r="I354" s="2" t="s">
        <v>25</v>
      </c>
      <c r="J354" s="2" t="s">
        <v>53</v>
      </c>
      <c r="K354" s="11">
        <v>45355</v>
      </c>
      <c r="L354" s="11">
        <v>45405</v>
      </c>
      <c r="M354" s="2">
        <v>50000</v>
      </c>
      <c r="N354" s="2" t="s">
        <v>29</v>
      </c>
      <c r="O354" s="2" t="s">
        <v>38</v>
      </c>
    </row>
    <row r="355" spans="3:15">
      <c r="C355" s="2" t="s">
        <v>1018</v>
      </c>
      <c r="D355" s="2" t="s">
        <v>889</v>
      </c>
      <c r="E355" s="3">
        <v>27</v>
      </c>
      <c r="F355" t="str">
        <f t="shared" si="5"/>
        <v>Young Adult</v>
      </c>
      <c r="G355" s="3" t="s">
        <v>32</v>
      </c>
      <c r="H355" s="2" t="s">
        <v>70</v>
      </c>
      <c r="I355" s="2" t="s">
        <v>16</v>
      </c>
      <c r="J355" s="2" t="s">
        <v>53</v>
      </c>
      <c r="K355" s="11">
        <v>45313</v>
      </c>
      <c r="L355" s="11">
        <v>45334</v>
      </c>
      <c r="M355" s="3">
        <v>15000</v>
      </c>
      <c r="N355" s="3" t="s">
        <v>20</v>
      </c>
      <c r="O355" s="3" t="s">
        <v>87</v>
      </c>
    </row>
    <row r="356" spans="3:15">
      <c r="C356" s="3" t="s">
        <v>1020</v>
      </c>
      <c r="D356" s="2" t="s">
        <v>601</v>
      </c>
      <c r="E356" s="2">
        <v>15</v>
      </c>
      <c r="F356" t="str">
        <f t="shared" si="5"/>
        <v>Child</v>
      </c>
      <c r="G356" s="2" t="s">
        <v>32</v>
      </c>
      <c r="H356" s="2" t="s">
        <v>109</v>
      </c>
      <c r="I356" s="2" t="s">
        <v>34</v>
      </c>
      <c r="J356" s="2" t="s">
        <v>48</v>
      </c>
      <c r="K356" s="11">
        <v>45415</v>
      </c>
      <c r="L356" s="11">
        <v>45372</v>
      </c>
      <c r="M356" s="2">
        <v>50000</v>
      </c>
      <c r="N356" s="2" t="s">
        <v>37</v>
      </c>
      <c r="O356" s="2" t="s">
        <v>55</v>
      </c>
    </row>
    <row r="357" spans="3:15">
      <c r="C357" s="2" t="s">
        <v>1022</v>
      </c>
      <c r="D357" s="2" t="s">
        <v>814</v>
      </c>
      <c r="E357" s="3">
        <v>28</v>
      </c>
      <c r="F357" t="str">
        <f t="shared" si="5"/>
        <v>Young Adult</v>
      </c>
      <c r="G357" s="3" t="s">
        <v>32</v>
      </c>
      <c r="H357" s="2" t="s">
        <v>15</v>
      </c>
      <c r="I357" s="2" t="s">
        <v>127</v>
      </c>
      <c r="J357" s="2" t="s">
        <v>53</v>
      </c>
      <c r="K357" s="11">
        <v>45406</v>
      </c>
      <c r="L357" s="11">
        <v>45426</v>
      </c>
      <c r="M357" s="3">
        <v>50000</v>
      </c>
      <c r="N357" s="3" t="s">
        <v>37</v>
      </c>
      <c r="O357" s="3" t="s">
        <v>87</v>
      </c>
    </row>
    <row r="358" spans="3:15">
      <c r="C358" s="3" t="s">
        <v>1023</v>
      </c>
      <c r="D358" s="2" t="s">
        <v>820</v>
      </c>
      <c r="E358" s="2">
        <v>42</v>
      </c>
      <c r="F358" t="str">
        <f t="shared" si="5"/>
        <v>Middle Age</v>
      </c>
      <c r="G358" s="2" t="s">
        <v>32</v>
      </c>
      <c r="H358" s="2" t="s">
        <v>85</v>
      </c>
      <c r="I358" s="2" t="s">
        <v>127</v>
      </c>
      <c r="J358" s="2" t="s">
        <v>17</v>
      </c>
      <c r="K358" s="11">
        <v>45570</v>
      </c>
      <c r="L358" s="11">
        <v>45451</v>
      </c>
      <c r="M358" s="2">
        <v>75000</v>
      </c>
      <c r="N358" s="2" t="s">
        <v>37</v>
      </c>
      <c r="O358" s="2" t="s">
        <v>55</v>
      </c>
    </row>
    <row r="359" spans="3:15">
      <c r="C359" s="2" t="s">
        <v>1025</v>
      </c>
      <c r="D359" s="2" t="s">
        <v>1024</v>
      </c>
      <c r="E359" s="3" t="s">
        <v>775</v>
      </c>
      <c r="F359" t="str">
        <f t="shared" si="5"/>
        <v>Unknown</v>
      </c>
      <c r="G359" s="3" t="s">
        <v>14</v>
      </c>
      <c r="H359" s="2" t="s">
        <v>58</v>
      </c>
      <c r="I359" s="2" t="s">
        <v>76</v>
      </c>
      <c r="J359" s="2" t="s">
        <v>53</v>
      </c>
      <c r="K359" s="11">
        <v>45530</v>
      </c>
      <c r="L359" s="11">
        <v>45560</v>
      </c>
      <c r="M359" s="3">
        <v>5000</v>
      </c>
      <c r="N359" s="3" t="s">
        <v>37</v>
      </c>
      <c r="O359" s="3" t="s">
        <v>55</v>
      </c>
    </row>
    <row r="360" spans="3:15">
      <c r="C360" s="3" t="s">
        <v>1028</v>
      </c>
      <c r="D360" s="2" t="s">
        <v>1026</v>
      </c>
      <c r="E360" s="2">
        <v>87</v>
      </c>
      <c r="F360" t="str">
        <f t="shared" si="5"/>
        <v>Senior</v>
      </c>
      <c r="G360" s="2" t="s">
        <v>14</v>
      </c>
      <c r="H360" s="2" t="s">
        <v>33</v>
      </c>
      <c r="I360" s="2" t="s">
        <v>76</v>
      </c>
      <c r="J360" s="2" t="s">
        <v>99</v>
      </c>
      <c r="K360" s="11">
        <v>45358</v>
      </c>
      <c r="L360" s="11">
        <v>45490</v>
      </c>
      <c r="M360" s="2">
        <v>12000</v>
      </c>
      <c r="N360" s="2" t="s">
        <v>29</v>
      </c>
      <c r="O360" s="2" t="s">
        <v>55</v>
      </c>
    </row>
    <row r="361" spans="3:15">
      <c r="C361" s="2" t="s">
        <v>1029</v>
      </c>
      <c r="D361" s="2" t="s">
        <v>46</v>
      </c>
      <c r="E361" s="3">
        <v>3</v>
      </c>
      <c r="F361" t="str">
        <f t="shared" si="5"/>
        <v>Child</v>
      </c>
      <c r="G361" s="3" t="s">
        <v>14</v>
      </c>
      <c r="H361" s="2" t="s">
        <v>85</v>
      </c>
      <c r="I361" s="2" t="s">
        <v>42</v>
      </c>
      <c r="J361" s="2" t="s">
        <v>48</v>
      </c>
      <c r="K361" s="11">
        <v>45384</v>
      </c>
      <c r="L361" s="11">
        <v>45350</v>
      </c>
      <c r="M361" s="3">
        <v>25000</v>
      </c>
      <c r="N361" s="3" t="s">
        <v>20</v>
      </c>
      <c r="O361" s="3" t="s">
        <v>55</v>
      </c>
    </row>
    <row r="362" spans="3:15">
      <c r="C362" s="3" t="s">
        <v>1030</v>
      </c>
      <c r="D362" s="2" t="s">
        <v>601</v>
      </c>
      <c r="E362" s="2">
        <v>41</v>
      </c>
      <c r="F362" t="str">
        <f t="shared" si="5"/>
        <v>Middle Age</v>
      </c>
      <c r="G362" s="2" t="s">
        <v>32</v>
      </c>
      <c r="H362" s="2" t="s">
        <v>85</v>
      </c>
      <c r="I362" s="2" t="s">
        <v>42</v>
      </c>
      <c r="J362" s="2" t="s">
        <v>35</v>
      </c>
      <c r="K362" s="11">
        <v>45328</v>
      </c>
      <c r="L362" s="11">
        <v>45448</v>
      </c>
      <c r="M362" s="2">
        <v>35000</v>
      </c>
      <c r="N362" s="2" t="s">
        <v>20</v>
      </c>
      <c r="O362" s="2" t="s">
        <v>87</v>
      </c>
    </row>
    <row r="363" spans="3:15">
      <c r="C363" s="2" t="s">
        <v>1032</v>
      </c>
      <c r="D363" s="2" t="s">
        <v>1031</v>
      </c>
      <c r="E363" s="3">
        <v>42</v>
      </c>
      <c r="F363" t="str">
        <f t="shared" si="5"/>
        <v>Middle Age</v>
      </c>
      <c r="G363" s="3" t="s">
        <v>32</v>
      </c>
      <c r="H363" s="2" t="s">
        <v>85</v>
      </c>
      <c r="I363" s="2" t="s">
        <v>16</v>
      </c>
      <c r="J363" s="2" t="s">
        <v>53</v>
      </c>
      <c r="K363" s="11">
        <v>45508</v>
      </c>
      <c r="L363" s="11">
        <v>45392</v>
      </c>
      <c r="M363" s="3">
        <v>50000</v>
      </c>
      <c r="N363" s="3" t="s">
        <v>37</v>
      </c>
      <c r="O363" s="3" t="s">
        <v>87</v>
      </c>
    </row>
    <row r="364" spans="3:15">
      <c r="C364" s="3" t="s">
        <v>1036</v>
      </c>
      <c r="D364" s="2" t="s">
        <v>1033</v>
      </c>
      <c r="E364" s="2">
        <v>58</v>
      </c>
      <c r="F364" t="str">
        <f t="shared" si="5"/>
        <v>Middle Age</v>
      </c>
      <c r="G364" s="2" t="s">
        <v>32</v>
      </c>
      <c r="H364" s="2" t="s">
        <v>85</v>
      </c>
      <c r="I364" s="2" t="s">
        <v>42</v>
      </c>
      <c r="J364" s="2" t="s">
        <v>53</v>
      </c>
      <c r="K364" s="11">
        <v>45478</v>
      </c>
      <c r="L364" s="11">
        <v>45500</v>
      </c>
      <c r="M364" s="2">
        <v>0</v>
      </c>
      <c r="N364" s="2" t="s">
        <v>29</v>
      </c>
      <c r="O364" s="2" t="s">
        <v>55</v>
      </c>
    </row>
    <row r="365" spans="3:15">
      <c r="C365" s="2" t="s">
        <v>1040</v>
      </c>
      <c r="D365" s="2" t="s">
        <v>1037</v>
      </c>
      <c r="E365" s="3">
        <v>31</v>
      </c>
      <c r="F365" t="str">
        <f t="shared" si="5"/>
        <v>Young Adult</v>
      </c>
      <c r="G365" s="3" t="s">
        <v>14</v>
      </c>
      <c r="H365" s="2" t="s">
        <v>70</v>
      </c>
      <c r="I365" s="2" t="s">
        <v>76</v>
      </c>
      <c r="J365" s="2" t="s">
        <v>53</v>
      </c>
      <c r="K365" s="11">
        <v>45449</v>
      </c>
      <c r="L365" s="11">
        <v>45454</v>
      </c>
      <c r="M365" s="3">
        <v>15000</v>
      </c>
      <c r="N365" s="3" t="s">
        <v>67</v>
      </c>
      <c r="O365" s="3" t="s">
        <v>21</v>
      </c>
    </row>
    <row r="366" spans="3:15">
      <c r="C366" s="3" t="s">
        <v>1043</v>
      </c>
      <c r="D366" s="2" t="s">
        <v>1041</v>
      </c>
      <c r="E366" s="2">
        <v>1</v>
      </c>
      <c r="F366" t="str">
        <f t="shared" si="5"/>
        <v>Child</v>
      </c>
      <c r="G366" s="2" t="s">
        <v>14</v>
      </c>
      <c r="H366" s="2" t="s">
        <v>58</v>
      </c>
      <c r="I366" s="2" t="s">
        <v>34</v>
      </c>
      <c r="J366" s="2" t="s">
        <v>104</v>
      </c>
      <c r="K366" s="11">
        <v>45431</v>
      </c>
      <c r="L366" s="11">
        <v>45434</v>
      </c>
      <c r="M366" s="2">
        <v>15000</v>
      </c>
      <c r="N366" s="2" t="s">
        <v>37</v>
      </c>
      <c r="O366" s="2" t="s">
        <v>38</v>
      </c>
    </row>
    <row r="367" spans="3:15">
      <c r="C367" s="2" t="s">
        <v>1045</v>
      </c>
      <c r="D367" s="2" t="s">
        <v>1044</v>
      </c>
      <c r="E367" s="3">
        <v>30</v>
      </c>
      <c r="F367" t="str">
        <f t="shared" si="5"/>
        <v>Young Adult</v>
      </c>
      <c r="G367" s="3" t="s">
        <v>14</v>
      </c>
      <c r="H367" s="2" t="s">
        <v>70</v>
      </c>
      <c r="I367" s="2" t="s">
        <v>132</v>
      </c>
      <c r="J367" s="2" t="s">
        <v>17</v>
      </c>
      <c r="K367" s="11">
        <v>45409</v>
      </c>
      <c r="L367" s="11">
        <v>45422</v>
      </c>
      <c r="M367" s="3">
        <v>8000</v>
      </c>
      <c r="N367" s="3" t="s">
        <v>20</v>
      </c>
      <c r="O367" s="3" t="s">
        <v>21</v>
      </c>
    </row>
    <row r="368" spans="3:15">
      <c r="C368" s="3" t="s">
        <v>1046</v>
      </c>
      <c r="D368" s="2" t="s">
        <v>553</v>
      </c>
      <c r="E368" s="2">
        <v>46</v>
      </c>
      <c r="F368" t="str">
        <f t="shared" si="5"/>
        <v>Middle Age</v>
      </c>
      <c r="G368" s="2" t="s">
        <v>32</v>
      </c>
      <c r="H368" s="2" t="s">
        <v>109</v>
      </c>
      <c r="I368" s="2" t="s">
        <v>42</v>
      </c>
      <c r="J368" s="2" t="s">
        <v>99</v>
      </c>
      <c r="K368" s="11">
        <v>45336</v>
      </c>
      <c r="L368" s="11">
        <v>45343</v>
      </c>
      <c r="M368" s="2">
        <v>15000</v>
      </c>
      <c r="N368" s="2" t="s">
        <v>37</v>
      </c>
      <c r="O368" s="2" t="s">
        <v>87</v>
      </c>
    </row>
    <row r="369" spans="3:15">
      <c r="C369" s="2" t="s">
        <v>1049</v>
      </c>
      <c r="D369" s="2" t="s">
        <v>1047</v>
      </c>
      <c r="E369" s="3">
        <v>6</v>
      </c>
      <c r="F369" t="str">
        <f t="shared" si="5"/>
        <v>Child</v>
      </c>
      <c r="G369" s="3" t="s">
        <v>32</v>
      </c>
      <c r="H369" s="2" t="s">
        <v>15</v>
      </c>
      <c r="I369" s="2" t="s">
        <v>42</v>
      </c>
      <c r="J369" s="2" t="s">
        <v>53</v>
      </c>
      <c r="K369" s="11">
        <v>45604</v>
      </c>
      <c r="L369" s="11">
        <v>45531</v>
      </c>
      <c r="M369" s="3">
        <v>75000</v>
      </c>
      <c r="N369" s="3" t="s">
        <v>20</v>
      </c>
      <c r="O369" s="3" t="s">
        <v>21</v>
      </c>
    </row>
    <row r="370" spans="3:15">
      <c r="C370" s="3" t="s">
        <v>1051</v>
      </c>
      <c r="D370" s="2" t="s">
        <v>1050</v>
      </c>
      <c r="E370" s="2">
        <v>76</v>
      </c>
      <c r="F370" t="str">
        <f t="shared" si="5"/>
        <v>Senior</v>
      </c>
      <c r="G370" s="2" t="s">
        <v>14</v>
      </c>
      <c r="H370" s="2" t="s">
        <v>85</v>
      </c>
      <c r="I370" s="2" t="s">
        <v>34</v>
      </c>
      <c r="J370" s="2" t="s">
        <v>48</v>
      </c>
      <c r="K370" s="11">
        <v>45517</v>
      </c>
      <c r="L370" s="11">
        <v>45544</v>
      </c>
      <c r="M370" s="2">
        <v>15000</v>
      </c>
      <c r="N370" s="2" t="s">
        <v>67</v>
      </c>
      <c r="O370" s="2" t="s">
        <v>55</v>
      </c>
    </row>
    <row r="371" spans="3:15">
      <c r="C371" s="2" t="s">
        <v>1053</v>
      </c>
      <c r="D371" s="2" t="s">
        <v>1052</v>
      </c>
      <c r="E371" s="3">
        <v>39</v>
      </c>
      <c r="F371" t="str">
        <f t="shared" si="5"/>
        <v>Young Adult</v>
      </c>
      <c r="G371" s="3" t="s">
        <v>32</v>
      </c>
      <c r="H371" s="2" t="s">
        <v>58</v>
      </c>
      <c r="I371" s="2" t="s">
        <v>16</v>
      </c>
      <c r="J371" s="2" t="s">
        <v>35</v>
      </c>
      <c r="K371" s="11">
        <v>45487</v>
      </c>
      <c r="L371" s="11">
        <v>45512</v>
      </c>
      <c r="M371" s="3">
        <v>35000</v>
      </c>
      <c r="N371" s="3" t="s">
        <v>29</v>
      </c>
      <c r="O371" s="3" t="s">
        <v>38</v>
      </c>
    </row>
    <row r="372" spans="3:15">
      <c r="C372" s="3" t="s">
        <v>1055</v>
      </c>
      <c r="D372" s="2" t="s">
        <v>1054</v>
      </c>
      <c r="E372" s="2">
        <v>3</v>
      </c>
      <c r="F372" t="str">
        <f t="shared" si="5"/>
        <v>Child</v>
      </c>
      <c r="G372" s="2" t="s">
        <v>32</v>
      </c>
      <c r="H372" s="2" t="s">
        <v>58</v>
      </c>
      <c r="I372" s="2" t="s">
        <v>16</v>
      </c>
      <c r="J372" s="2" t="s">
        <v>26</v>
      </c>
      <c r="K372" s="11">
        <v>45605</v>
      </c>
      <c r="L372" s="11">
        <v>45554</v>
      </c>
      <c r="M372" s="2">
        <v>100000</v>
      </c>
      <c r="N372" s="2" t="s">
        <v>29</v>
      </c>
      <c r="O372" s="2" t="s">
        <v>55</v>
      </c>
    </row>
    <row r="373" spans="3:15">
      <c r="C373" s="2" t="s">
        <v>1056</v>
      </c>
      <c r="D373" s="2" t="s">
        <v>868</v>
      </c>
      <c r="E373" s="3">
        <v>10</v>
      </c>
      <c r="F373" t="str">
        <f t="shared" si="5"/>
        <v>Child</v>
      </c>
      <c r="G373" s="3" t="s">
        <v>32</v>
      </c>
      <c r="H373" s="2" t="s">
        <v>58</v>
      </c>
      <c r="I373" s="2" t="s">
        <v>25</v>
      </c>
      <c r="J373" s="2" t="s">
        <v>35</v>
      </c>
      <c r="K373" s="11">
        <v>45407</v>
      </c>
      <c r="L373" s="11">
        <v>45417</v>
      </c>
      <c r="M373" s="3">
        <v>5000</v>
      </c>
      <c r="N373" s="3" t="s">
        <v>29</v>
      </c>
      <c r="O373" s="3" t="s">
        <v>55</v>
      </c>
    </row>
    <row r="374" spans="3:15">
      <c r="C374" s="3" t="s">
        <v>1057</v>
      </c>
      <c r="D374" s="2" t="s">
        <v>304</v>
      </c>
      <c r="E374" s="2">
        <v>83</v>
      </c>
      <c r="F374" t="str">
        <f t="shared" si="5"/>
        <v>Senior</v>
      </c>
      <c r="G374" s="2" t="s">
        <v>14</v>
      </c>
      <c r="H374" s="2" t="s">
        <v>52</v>
      </c>
      <c r="I374" s="2" t="s">
        <v>34</v>
      </c>
      <c r="J374" s="2" t="s">
        <v>99</v>
      </c>
      <c r="K374" s="11">
        <v>45461</v>
      </c>
      <c r="L374" s="11">
        <v>45468</v>
      </c>
      <c r="M374" s="2">
        <v>12000</v>
      </c>
      <c r="N374" s="2" t="s">
        <v>67</v>
      </c>
      <c r="O374" s="2" t="s">
        <v>55</v>
      </c>
    </row>
    <row r="375" spans="3:15">
      <c r="C375" s="3" t="s">
        <v>1058</v>
      </c>
      <c r="D375" s="2" t="s">
        <v>40</v>
      </c>
      <c r="E375" s="3">
        <v>85</v>
      </c>
      <c r="F375" t="str">
        <f t="shared" si="5"/>
        <v>Senior</v>
      </c>
      <c r="G375" s="3" t="s">
        <v>14</v>
      </c>
      <c r="H375" s="2" t="s">
        <v>58</v>
      </c>
      <c r="I375" s="2" t="s">
        <v>42</v>
      </c>
      <c r="J375" s="2" t="s">
        <v>48</v>
      </c>
      <c r="K375" s="11">
        <v>45583</v>
      </c>
      <c r="L375" s="11">
        <v>45606</v>
      </c>
      <c r="M375" s="3">
        <v>15000</v>
      </c>
      <c r="N375" s="3" t="s">
        <v>67</v>
      </c>
      <c r="O375" s="3" t="s">
        <v>87</v>
      </c>
    </row>
    <row r="376" spans="3:15">
      <c r="C376" s="2" t="s">
        <v>1061</v>
      </c>
      <c r="D376" s="2" t="s">
        <v>1059</v>
      </c>
      <c r="E376" s="3">
        <v>70</v>
      </c>
      <c r="F376" t="str">
        <f t="shared" si="5"/>
        <v>Senior</v>
      </c>
      <c r="G376" s="3" t="s">
        <v>32</v>
      </c>
      <c r="H376" s="2" t="s">
        <v>33</v>
      </c>
      <c r="I376" s="2" t="s">
        <v>34</v>
      </c>
      <c r="J376" s="2" t="s">
        <v>26</v>
      </c>
      <c r="K376" s="11">
        <v>45475</v>
      </c>
      <c r="L376" s="11">
        <v>45342</v>
      </c>
      <c r="M376" s="3">
        <v>35000</v>
      </c>
      <c r="N376" s="3" t="s">
        <v>29</v>
      </c>
      <c r="O376" s="3" t="s">
        <v>87</v>
      </c>
    </row>
    <row r="377" spans="3:15">
      <c r="C377" s="3" t="s">
        <v>1063</v>
      </c>
      <c r="D377" s="2" t="s">
        <v>1062</v>
      </c>
      <c r="E377" s="2">
        <v>14</v>
      </c>
      <c r="F377" t="str">
        <f t="shared" si="5"/>
        <v>Child</v>
      </c>
      <c r="G377" s="2" t="s">
        <v>32</v>
      </c>
      <c r="H377" s="2" t="s">
        <v>109</v>
      </c>
      <c r="I377" s="2" t="s">
        <v>34</v>
      </c>
      <c r="J377" s="2" t="s">
        <v>48</v>
      </c>
      <c r="K377" s="11">
        <v>45346</v>
      </c>
      <c r="L377" s="11">
        <v>45357</v>
      </c>
      <c r="M377" s="2">
        <v>15000</v>
      </c>
      <c r="N377" s="2" t="s">
        <v>20</v>
      </c>
      <c r="O377" s="2" t="s">
        <v>87</v>
      </c>
    </row>
    <row r="378" spans="3:15">
      <c r="C378" s="2" t="s">
        <v>1065</v>
      </c>
      <c r="D378" s="2" t="s">
        <v>1064</v>
      </c>
      <c r="E378" s="3">
        <v>34</v>
      </c>
      <c r="F378" t="str">
        <f t="shared" si="5"/>
        <v>Young Adult</v>
      </c>
      <c r="G378" s="3" t="s">
        <v>14</v>
      </c>
      <c r="H378" s="2" t="s">
        <v>85</v>
      </c>
      <c r="I378" s="2" t="s">
        <v>16</v>
      </c>
      <c r="J378" s="2" t="s">
        <v>26</v>
      </c>
      <c r="K378" s="11">
        <v>45330</v>
      </c>
      <c r="L378" s="11">
        <v>45535</v>
      </c>
      <c r="M378" s="3">
        <v>75000</v>
      </c>
      <c r="N378" s="3" t="s">
        <v>29</v>
      </c>
      <c r="O378" s="3" t="s">
        <v>21</v>
      </c>
    </row>
    <row r="379" spans="3:15">
      <c r="C379" s="3" t="s">
        <v>1068</v>
      </c>
      <c r="D379" s="2" t="s">
        <v>1066</v>
      </c>
      <c r="E379" s="2">
        <v>36</v>
      </c>
      <c r="F379" t="str">
        <f t="shared" si="5"/>
        <v>Young Adult</v>
      </c>
      <c r="G379" s="2" t="s">
        <v>14</v>
      </c>
      <c r="H379" s="2" t="s">
        <v>109</v>
      </c>
      <c r="I379" s="2" t="s">
        <v>34</v>
      </c>
      <c r="J379" s="2" t="s">
        <v>99</v>
      </c>
      <c r="K379" s="11">
        <v>45436</v>
      </c>
      <c r="L379" s="11">
        <v>45455</v>
      </c>
      <c r="M379" s="2">
        <v>12000</v>
      </c>
      <c r="N379" s="2" t="s">
        <v>29</v>
      </c>
      <c r="O379" s="2" t="s">
        <v>38</v>
      </c>
    </row>
    <row r="380" spans="3:15">
      <c r="C380" s="2" t="s">
        <v>1070</v>
      </c>
      <c r="D380" s="2" t="s">
        <v>1069</v>
      </c>
      <c r="E380" s="3">
        <v>31</v>
      </c>
      <c r="F380" t="str">
        <f t="shared" si="5"/>
        <v>Young Adult</v>
      </c>
      <c r="G380" s="3" t="s">
        <v>32</v>
      </c>
      <c r="H380" s="2" t="s">
        <v>70</v>
      </c>
      <c r="I380" s="2" t="s">
        <v>25</v>
      </c>
      <c r="J380" s="2" t="s">
        <v>104</v>
      </c>
      <c r="K380" s="11">
        <v>45578</v>
      </c>
      <c r="L380" s="11">
        <v>45596</v>
      </c>
      <c r="M380" s="3">
        <v>35000</v>
      </c>
      <c r="N380" s="3" t="s">
        <v>67</v>
      </c>
      <c r="O380" s="3" t="s">
        <v>21</v>
      </c>
    </row>
    <row r="381" spans="3:15">
      <c r="C381" s="3" t="s">
        <v>1072</v>
      </c>
      <c r="D381" s="2" t="s">
        <v>1071</v>
      </c>
      <c r="E381" s="2">
        <v>59</v>
      </c>
      <c r="F381" t="str">
        <f t="shared" si="5"/>
        <v>Middle Age</v>
      </c>
      <c r="G381" s="2" t="s">
        <v>32</v>
      </c>
      <c r="H381" s="2" t="s">
        <v>52</v>
      </c>
      <c r="I381" s="2" t="s">
        <v>132</v>
      </c>
      <c r="J381" s="2" t="s">
        <v>2067</v>
      </c>
      <c r="K381" s="11">
        <v>45426</v>
      </c>
      <c r="L381" s="11">
        <v>45454</v>
      </c>
      <c r="M381" s="2">
        <v>50000</v>
      </c>
      <c r="N381" s="2" t="s">
        <v>20</v>
      </c>
      <c r="O381" s="2" t="s">
        <v>87</v>
      </c>
    </row>
    <row r="382" spans="3:15">
      <c r="C382" s="2" t="s">
        <v>1073</v>
      </c>
      <c r="D382" s="2" t="s">
        <v>1069</v>
      </c>
      <c r="E382" s="3">
        <v>25</v>
      </c>
      <c r="F382" t="str">
        <f t="shared" si="5"/>
        <v>Young Adult</v>
      </c>
      <c r="G382" s="3" t="s">
        <v>14</v>
      </c>
      <c r="H382" s="2" t="s">
        <v>58</v>
      </c>
      <c r="I382" s="2" t="s">
        <v>25</v>
      </c>
      <c r="J382" s="2" t="s">
        <v>35</v>
      </c>
      <c r="K382" s="11">
        <v>45605</v>
      </c>
      <c r="L382" s="11">
        <v>45547</v>
      </c>
      <c r="M382" s="3">
        <v>25000</v>
      </c>
      <c r="N382" s="3" t="s">
        <v>29</v>
      </c>
      <c r="O382" s="3" t="s">
        <v>55</v>
      </c>
    </row>
    <row r="383" spans="3:15">
      <c r="C383" s="3" t="s">
        <v>1074</v>
      </c>
      <c r="D383" s="2" t="s">
        <v>258</v>
      </c>
      <c r="E383" s="2">
        <v>40</v>
      </c>
      <c r="F383" t="str">
        <f t="shared" si="5"/>
        <v>Middle Age</v>
      </c>
      <c r="G383" s="2" t="s">
        <v>287</v>
      </c>
      <c r="H383" s="2" t="s">
        <v>52</v>
      </c>
      <c r="I383" s="2" t="s">
        <v>16</v>
      </c>
      <c r="J383" s="2" t="s">
        <v>17</v>
      </c>
      <c r="K383" s="11">
        <v>45475</v>
      </c>
      <c r="L383" s="11">
        <v>45352</v>
      </c>
      <c r="M383" s="2">
        <v>15000</v>
      </c>
      <c r="N383" s="2" t="s">
        <v>20</v>
      </c>
      <c r="O383" s="2" t="s">
        <v>87</v>
      </c>
    </row>
    <row r="384" spans="3:15">
      <c r="C384" s="2" t="s">
        <v>1076</v>
      </c>
      <c r="D384" s="2" t="s">
        <v>1075</v>
      </c>
      <c r="E384" s="3">
        <v>69</v>
      </c>
      <c r="F384" t="str">
        <f t="shared" si="5"/>
        <v>Senior</v>
      </c>
      <c r="G384" s="3" t="s">
        <v>32</v>
      </c>
      <c r="H384" s="2" t="s">
        <v>58</v>
      </c>
      <c r="I384" s="2" t="s">
        <v>16</v>
      </c>
      <c r="J384" s="2" t="s">
        <v>99</v>
      </c>
      <c r="K384" s="11">
        <v>45350</v>
      </c>
      <c r="L384" s="11">
        <v>45360</v>
      </c>
      <c r="M384" s="3">
        <v>20000</v>
      </c>
      <c r="N384" s="3" t="s">
        <v>29</v>
      </c>
      <c r="O384" s="3" t="s">
        <v>38</v>
      </c>
    </row>
    <row r="385" spans="3:15">
      <c r="C385" s="3" t="s">
        <v>1077</v>
      </c>
      <c r="D385" s="2" t="s">
        <v>907</v>
      </c>
      <c r="E385" s="2">
        <v>82</v>
      </c>
      <c r="F385" t="str">
        <f t="shared" si="5"/>
        <v>Senior</v>
      </c>
      <c r="G385" s="2" t="s">
        <v>32</v>
      </c>
      <c r="H385" s="2" t="s">
        <v>15</v>
      </c>
      <c r="I385" s="2" t="s">
        <v>42</v>
      </c>
      <c r="J385" s="2" t="s">
        <v>104</v>
      </c>
      <c r="K385" s="11">
        <v>45419</v>
      </c>
      <c r="L385" s="11">
        <v>45504</v>
      </c>
      <c r="M385" s="2">
        <v>25000</v>
      </c>
      <c r="N385" s="2" t="s">
        <v>67</v>
      </c>
      <c r="O385" s="2" t="s">
        <v>38</v>
      </c>
    </row>
    <row r="386" spans="3:15">
      <c r="C386" s="2" t="s">
        <v>1079</v>
      </c>
      <c r="D386" s="2" t="s">
        <v>1078</v>
      </c>
      <c r="E386" s="3">
        <v>47</v>
      </c>
      <c r="F386" t="str">
        <f t="shared" si="5"/>
        <v>Middle Age</v>
      </c>
      <c r="G386" s="3" t="s">
        <v>14</v>
      </c>
      <c r="H386" s="2" t="s">
        <v>15</v>
      </c>
      <c r="I386" s="2" t="s">
        <v>16</v>
      </c>
      <c r="J386" s="2" t="s">
        <v>48</v>
      </c>
      <c r="K386" s="11">
        <v>45498</v>
      </c>
      <c r="L386" s="11">
        <v>45507</v>
      </c>
      <c r="M386" s="3">
        <v>5000</v>
      </c>
      <c r="N386" s="3" t="s">
        <v>20</v>
      </c>
      <c r="O386" s="3" t="s">
        <v>55</v>
      </c>
    </row>
    <row r="387" spans="3:15">
      <c r="C387" s="3" t="s">
        <v>1080</v>
      </c>
      <c r="D387" s="2" t="s">
        <v>1069</v>
      </c>
      <c r="E387" s="2">
        <v>34</v>
      </c>
      <c r="F387" t="str">
        <f t="shared" si="5"/>
        <v>Young Adult</v>
      </c>
      <c r="G387" s="2" t="s">
        <v>32</v>
      </c>
      <c r="H387" s="2" t="s">
        <v>33</v>
      </c>
      <c r="I387" s="2" t="s">
        <v>16</v>
      </c>
      <c r="J387" s="2" t="s">
        <v>17</v>
      </c>
      <c r="K387" s="11">
        <v>45550</v>
      </c>
      <c r="L387" s="11">
        <v>45561</v>
      </c>
      <c r="M387" s="2">
        <v>15000</v>
      </c>
      <c r="N387" s="2" t="s">
        <v>67</v>
      </c>
      <c r="O387" s="2" t="s">
        <v>55</v>
      </c>
    </row>
    <row r="388" spans="3:15">
      <c r="C388" s="2" t="s">
        <v>1081</v>
      </c>
      <c r="D388" s="2" t="s">
        <v>902</v>
      </c>
      <c r="E388" s="3">
        <v>9</v>
      </c>
      <c r="F388" t="str">
        <f t="shared" si="5"/>
        <v>Child</v>
      </c>
      <c r="G388" s="3" t="s">
        <v>14</v>
      </c>
      <c r="H388" s="2" t="s">
        <v>109</v>
      </c>
      <c r="I388" s="2" t="s">
        <v>25</v>
      </c>
      <c r="J388" s="2" t="s">
        <v>99</v>
      </c>
      <c r="K388" s="11">
        <v>45554</v>
      </c>
      <c r="L388" s="11">
        <v>45573</v>
      </c>
      <c r="M388" s="3">
        <v>50000</v>
      </c>
      <c r="N388" s="3" t="s">
        <v>67</v>
      </c>
      <c r="O388" s="3" t="s">
        <v>55</v>
      </c>
    </row>
    <row r="389" spans="3:15">
      <c r="C389" s="3" t="s">
        <v>1083</v>
      </c>
      <c r="D389" s="2" t="s">
        <v>1082</v>
      </c>
      <c r="E389" s="2">
        <v>47</v>
      </c>
      <c r="F389" t="str">
        <f t="shared" si="5"/>
        <v>Middle Age</v>
      </c>
      <c r="G389" s="2" t="s">
        <v>32</v>
      </c>
      <c r="H389" s="2" t="s">
        <v>109</v>
      </c>
      <c r="I389" s="2" t="s">
        <v>42</v>
      </c>
      <c r="J389" s="2" t="s">
        <v>48</v>
      </c>
      <c r="K389" s="11">
        <v>45459</v>
      </c>
      <c r="L389" s="11">
        <v>45472</v>
      </c>
      <c r="M389" s="2">
        <v>5000</v>
      </c>
      <c r="N389" s="2" t="s">
        <v>37</v>
      </c>
      <c r="O389" s="2" t="s">
        <v>87</v>
      </c>
    </row>
    <row r="390" spans="3:15">
      <c r="C390" s="2" t="s">
        <v>1085</v>
      </c>
      <c r="D390" s="2" t="s">
        <v>485</v>
      </c>
      <c r="E390" s="3">
        <v>69</v>
      </c>
      <c r="F390" t="str">
        <f t="shared" si="5"/>
        <v>Senior</v>
      </c>
      <c r="G390" s="3" t="s">
        <v>14</v>
      </c>
      <c r="H390" s="2" t="s">
        <v>52</v>
      </c>
      <c r="I390" s="2" t="s">
        <v>132</v>
      </c>
      <c r="J390" s="2" t="s">
        <v>26</v>
      </c>
      <c r="K390" s="11">
        <v>45372</v>
      </c>
      <c r="L390" s="11">
        <v>45396</v>
      </c>
      <c r="M390" s="3">
        <v>50000</v>
      </c>
      <c r="N390" s="3" t="s">
        <v>67</v>
      </c>
      <c r="O390" s="3" t="s">
        <v>87</v>
      </c>
    </row>
    <row r="391" spans="3:15">
      <c r="C391" s="3" t="s">
        <v>1087</v>
      </c>
      <c r="D391" s="2" t="s">
        <v>907</v>
      </c>
      <c r="E391" s="2">
        <v>43</v>
      </c>
      <c r="F391" t="str">
        <f t="shared" si="5"/>
        <v>Middle Age</v>
      </c>
      <c r="G391" s="2" t="s">
        <v>14</v>
      </c>
      <c r="H391" s="2" t="s">
        <v>15</v>
      </c>
      <c r="I391" s="2" t="s">
        <v>42</v>
      </c>
      <c r="J391" s="2" t="s">
        <v>26</v>
      </c>
      <c r="K391" s="11">
        <v>45520</v>
      </c>
      <c r="L391" s="11">
        <v>45548</v>
      </c>
      <c r="M391" s="2">
        <v>15000</v>
      </c>
      <c r="N391" s="2" t="s">
        <v>67</v>
      </c>
      <c r="O391" s="2" t="s">
        <v>55</v>
      </c>
    </row>
    <row r="392" spans="3:15">
      <c r="C392" s="2" t="s">
        <v>1088</v>
      </c>
      <c r="D392" s="2" t="s">
        <v>823</v>
      </c>
      <c r="E392" s="3" t="s">
        <v>775</v>
      </c>
      <c r="F392" t="str">
        <f t="shared" si="5"/>
        <v>Unknown</v>
      </c>
      <c r="G392" s="3" t="s">
        <v>14</v>
      </c>
      <c r="H392" s="2" t="s">
        <v>15</v>
      </c>
      <c r="I392" s="2" t="s">
        <v>34</v>
      </c>
      <c r="J392" s="2" t="s">
        <v>48</v>
      </c>
      <c r="K392" s="11">
        <v>45295</v>
      </c>
      <c r="L392" s="11">
        <v>45401</v>
      </c>
      <c r="M392" s="3">
        <v>35000</v>
      </c>
      <c r="N392" s="3" t="s">
        <v>37</v>
      </c>
      <c r="O392" s="3" t="s">
        <v>21</v>
      </c>
    </row>
    <row r="393" spans="3:15">
      <c r="C393" s="3" t="s">
        <v>1089</v>
      </c>
      <c r="D393" s="2" t="s">
        <v>803</v>
      </c>
      <c r="E393" s="2">
        <v>76</v>
      </c>
      <c r="F393" t="str">
        <f t="shared" si="5"/>
        <v>Senior</v>
      </c>
      <c r="G393" s="2" t="s">
        <v>14</v>
      </c>
      <c r="H393" s="2" t="s">
        <v>15</v>
      </c>
      <c r="I393" s="2" t="s">
        <v>127</v>
      </c>
      <c r="J393" s="2" t="s">
        <v>26</v>
      </c>
      <c r="K393" s="11">
        <v>45297</v>
      </c>
      <c r="L393" s="11">
        <v>45470</v>
      </c>
      <c r="M393" s="2">
        <v>100000</v>
      </c>
      <c r="N393" s="2" t="s">
        <v>29</v>
      </c>
      <c r="O393" s="2" t="s">
        <v>775</v>
      </c>
    </row>
    <row r="394" spans="3:15">
      <c r="C394" s="2" t="s">
        <v>1090</v>
      </c>
      <c r="D394" s="2" t="s">
        <v>428</v>
      </c>
      <c r="E394" s="3">
        <v>86</v>
      </c>
      <c r="F394" t="str">
        <f t="shared" ref="F394:F457" si="6">IF(E394="Unknown","Unknown",IF(E394&lt;18,"Child",IF(E394&lt;40,"Young Adult",IF(E394&lt;60,"Middle Age","Senior"))))</f>
        <v>Senior</v>
      </c>
      <c r="G394" s="3" t="s">
        <v>32</v>
      </c>
      <c r="H394" s="2" t="s">
        <v>109</v>
      </c>
      <c r="I394" s="2" t="s">
        <v>25</v>
      </c>
      <c r="J394" s="2" t="s">
        <v>99</v>
      </c>
      <c r="K394" s="11">
        <v>45388</v>
      </c>
      <c r="L394" s="11">
        <v>45472</v>
      </c>
      <c r="M394" s="3">
        <v>20000</v>
      </c>
      <c r="N394" s="3" t="s">
        <v>20</v>
      </c>
      <c r="O394" s="3" t="s">
        <v>21</v>
      </c>
    </row>
    <row r="395" spans="3:15">
      <c r="C395" s="3" t="s">
        <v>1092</v>
      </c>
      <c r="D395" s="2" t="s">
        <v>1091</v>
      </c>
      <c r="E395" s="2">
        <v>8</v>
      </c>
      <c r="F395" t="str">
        <f t="shared" si="6"/>
        <v>Child</v>
      </c>
      <c r="G395" s="2" t="s">
        <v>32</v>
      </c>
      <c r="H395" s="2" t="s">
        <v>70</v>
      </c>
      <c r="I395" s="2" t="s">
        <v>25</v>
      </c>
      <c r="J395" s="2" t="s">
        <v>35</v>
      </c>
      <c r="K395" s="11">
        <v>45412</v>
      </c>
      <c r="L395" s="11">
        <v>45436</v>
      </c>
      <c r="M395" s="2">
        <v>5000</v>
      </c>
      <c r="N395" s="2" t="s">
        <v>37</v>
      </c>
      <c r="O395" s="2" t="s">
        <v>21</v>
      </c>
    </row>
    <row r="396" spans="3:15">
      <c r="C396" s="2" t="s">
        <v>1095</v>
      </c>
      <c r="D396" s="2" t="s">
        <v>1093</v>
      </c>
      <c r="E396" s="3" t="s">
        <v>775</v>
      </c>
      <c r="F396" t="str">
        <f t="shared" si="6"/>
        <v>Unknown</v>
      </c>
      <c r="G396" s="3" t="s">
        <v>32</v>
      </c>
      <c r="H396" s="2" t="s">
        <v>109</v>
      </c>
      <c r="I396" s="2" t="s">
        <v>132</v>
      </c>
      <c r="J396" s="2" t="s">
        <v>26</v>
      </c>
      <c r="K396" s="11">
        <v>45489</v>
      </c>
      <c r="L396" s="11">
        <v>45511</v>
      </c>
      <c r="M396" s="3">
        <v>75000</v>
      </c>
      <c r="N396" s="3" t="s">
        <v>37</v>
      </c>
      <c r="O396" s="3" t="s">
        <v>55</v>
      </c>
    </row>
    <row r="397" spans="3:15">
      <c r="C397" s="3" t="s">
        <v>1097</v>
      </c>
      <c r="D397" s="2" t="s">
        <v>1096</v>
      </c>
      <c r="E397" s="2">
        <v>10</v>
      </c>
      <c r="F397" t="str">
        <f t="shared" si="6"/>
        <v>Child</v>
      </c>
      <c r="G397" s="2" t="s">
        <v>14</v>
      </c>
      <c r="H397" s="2" t="s">
        <v>70</v>
      </c>
      <c r="I397" s="2" t="s">
        <v>42</v>
      </c>
      <c r="J397" s="2" t="s">
        <v>26</v>
      </c>
      <c r="K397" s="11">
        <v>45346</v>
      </c>
      <c r="L397" s="11">
        <v>45355</v>
      </c>
      <c r="M397" s="2">
        <v>100000</v>
      </c>
      <c r="N397" s="2" t="s">
        <v>37</v>
      </c>
      <c r="O397" s="2" t="s">
        <v>55</v>
      </c>
    </row>
    <row r="398" spans="3:15">
      <c r="C398" s="2" t="s">
        <v>1100</v>
      </c>
      <c r="D398" s="2" t="s">
        <v>1098</v>
      </c>
      <c r="E398" s="3" t="s">
        <v>775</v>
      </c>
      <c r="F398" t="str">
        <f t="shared" si="6"/>
        <v>Unknown</v>
      </c>
      <c r="G398" s="3" t="s">
        <v>14</v>
      </c>
      <c r="H398" s="2" t="s">
        <v>85</v>
      </c>
      <c r="I398" s="2" t="s">
        <v>127</v>
      </c>
      <c r="J398" s="2" t="s">
        <v>17</v>
      </c>
      <c r="K398" s="11">
        <v>45304</v>
      </c>
      <c r="L398" s="11">
        <v>45308</v>
      </c>
      <c r="M398" s="3">
        <v>50000</v>
      </c>
      <c r="N398" s="3" t="s">
        <v>29</v>
      </c>
      <c r="O398" s="3" t="s">
        <v>87</v>
      </c>
    </row>
    <row r="399" spans="3:15">
      <c r="C399" s="3" t="s">
        <v>1102</v>
      </c>
      <c r="D399" s="2" t="s">
        <v>2038</v>
      </c>
      <c r="E399" s="2">
        <v>78</v>
      </c>
      <c r="F399" t="str">
        <f t="shared" si="6"/>
        <v>Senior</v>
      </c>
      <c r="G399" s="2" t="s">
        <v>14</v>
      </c>
      <c r="H399" s="2" t="s">
        <v>15</v>
      </c>
      <c r="I399" s="2" t="s">
        <v>127</v>
      </c>
      <c r="J399" s="2" t="s">
        <v>53</v>
      </c>
      <c r="K399" s="11">
        <v>45450</v>
      </c>
      <c r="L399" s="11">
        <v>45498</v>
      </c>
      <c r="M399" s="2">
        <v>35000</v>
      </c>
      <c r="N399" s="2" t="s">
        <v>67</v>
      </c>
      <c r="O399" s="2" t="s">
        <v>21</v>
      </c>
    </row>
    <row r="400" spans="3:15">
      <c r="C400" s="2" t="s">
        <v>1104</v>
      </c>
      <c r="D400" s="2" t="s">
        <v>1103</v>
      </c>
      <c r="E400" s="3">
        <v>9</v>
      </c>
      <c r="F400" t="str">
        <f t="shared" si="6"/>
        <v>Child</v>
      </c>
      <c r="G400" s="3" t="s">
        <v>32</v>
      </c>
      <c r="H400" s="2" t="s">
        <v>33</v>
      </c>
      <c r="I400" s="2" t="s">
        <v>42</v>
      </c>
      <c r="J400" s="2" t="s">
        <v>35</v>
      </c>
      <c r="K400" s="11">
        <v>45298</v>
      </c>
      <c r="L400" s="11">
        <v>45497</v>
      </c>
      <c r="M400" s="3">
        <v>20000</v>
      </c>
      <c r="N400" s="3" t="s">
        <v>29</v>
      </c>
      <c r="O400" s="3" t="s">
        <v>87</v>
      </c>
    </row>
    <row r="401" spans="3:15">
      <c r="C401" s="3" t="s">
        <v>1105</v>
      </c>
      <c r="D401" s="2" t="s">
        <v>1093</v>
      </c>
      <c r="E401" s="2">
        <v>33</v>
      </c>
      <c r="F401" t="str">
        <f t="shared" si="6"/>
        <v>Young Adult</v>
      </c>
      <c r="G401" s="2" t="s">
        <v>32</v>
      </c>
      <c r="H401" s="2" t="s">
        <v>70</v>
      </c>
      <c r="I401" s="2" t="s">
        <v>25</v>
      </c>
      <c r="J401" s="2" t="s">
        <v>99</v>
      </c>
      <c r="K401" s="11">
        <v>45348</v>
      </c>
      <c r="L401" s="11">
        <v>45362</v>
      </c>
      <c r="M401" s="2">
        <v>25000</v>
      </c>
      <c r="N401" s="2" t="s">
        <v>20</v>
      </c>
      <c r="O401" s="2" t="s">
        <v>87</v>
      </c>
    </row>
    <row r="402" spans="3:15">
      <c r="C402" s="2" t="s">
        <v>1107</v>
      </c>
      <c r="D402" s="2" t="s">
        <v>1106</v>
      </c>
      <c r="E402" s="3">
        <v>50</v>
      </c>
      <c r="F402" t="str">
        <f t="shared" si="6"/>
        <v>Middle Age</v>
      </c>
      <c r="G402" s="3" t="s">
        <v>14</v>
      </c>
      <c r="H402" s="2" t="s">
        <v>109</v>
      </c>
      <c r="I402" s="2" t="s">
        <v>34</v>
      </c>
      <c r="J402" s="2" t="s">
        <v>17</v>
      </c>
      <c r="K402" s="11">
        <v>45307</v>
      </c>
      <c r="L402" s="11">
        <v>45318</v>
      </c>
      <c r="M402" s="3">
        <v>100000</v>
      </c>
      <c r="N402" s="3" t="s">
        <v>67</v>
      </c>
      <c r="O402" s="3" t="s">
        <v>87</v>
      </c>
    </row>
    <row r="403" spans="3:15">
      <c r="C403" s="3" t="s">
        <v>1109</v>
      </c>
      <c r="D403" s="2" t="s">
        <v>1108</v>
      </c>
      <c r="E403" s="2">
        <v>1</v>
      </c>
      <c r="F403" t="str">
        <f t="shared" si="6"/>
        <v>Child</v>
      </c>
      <c r="G403" s="2" t="s">
        <v>32</v>
      </c>
      <c r="H403" s="2" t="s">
        <v>58</v>
      </c>
      <c r="I403" s="2" t="s">
        <v>76</v>
      </c>
      <c r="J403" s="2" t="s">
        <v>99</v>
      </c>
      <c r="K403" s="11">
        <v>45462</v>
      </c>
      <c r="L403" s="11">
        <v>45476</v>
      </c>
      <c r="M403" s="2">
        <v>75000</v>
      </c>
      <c r="N403" s="2" t="s">
        <v>37</v>
      </c>
      <c r="O403" s="2" t="s">
        <v>87</v>
      </c>
    </row>
    <row r="404" spans="3:15">
      <c r="C404" s="2" t="s">
        <v>1111</v>
      </c>
      <c r="D404" s="2" t="s">
        <v>1110</v>
      </c>
      <c r="E404" s="3">
        <v>14</v>
      </c>
      <c r="F404" t="str">
        <f t="shared" si="6"/>
        <v>Child</v>
      </c>
      <c r="G404" s="3" t="s">
        <v>32</v>
      </c>
      <c r="H404" s="2" t="s">
        <v>33</v>
      </c>
      <c r="I404" s="2" t="s">
        <v>34</v>
      </c>
      <c r="J404" s="2" t="s">
        <v>26</v>
      </c>
      <c r="K404" s="11">
        <v>45446</v>
      </c>
      <c r="L404" s="11">
        <v>45370</v>
      </c>
      <c r="M404" s="3">
        <v>100000</v>
      </c>
      <c r="N404" s="3" t="s">
        <v>67</v>
      </c>
      <c r="O404" s="3" t="s">
        <v>55</v>
      </c>
    </row>
    <row r="405" spans="3:15">
      <c r="C405" s="3" t="s">
        <v>1113</v>
      </c>
      <c r="D405" s="2" t="s">
        <v>1112</v>
      </c>
      <c r="E405" s="2">
        <v>20</v>
      </c>
      <c r="F405" t="str">
        <f t="shared" si="6"/>
        <v>Young Adult</v>
      </c>
      <c r="G405" s="2" t="s">
        <v>32</v>
      </c>
      <c r="H405" s="2" t="s">
        <v>70</v>
      </c>
      <c r="I405" s="2" t="s">
        <v>76</v>
      </c>
      <c r="J405" s="2" t="s">
        <v>53</v>
      </c>
      <c r="K405" s="11">
        <v>45397</v>
      </c>
      <c r="L405" s="11">
        <v>45422</v>
      </c>
      <c r="M405" s="2">
        <v>35000</v>
      </c>
      <c r="N405" s="2" t="s">
        <v>20</v>
      </c>
      <c r="O405" s="2" t="s">
        <v>21</v>
      </c>
    </row>
    <row r="406" spans="3:15">
      <c r="C406" s="2" t="s">
        <v>1114</v>
      </c>
      <c r="D406" s="2" t="s">
        <v>1106</v>
      </c>
      <c r="E406" s="3">
        <v>62</v>
      </c>
      <c r="F406" t="str">
        <f t="shared" si="6"/>
        <v>Senior</v>
      </c>
      <c r="G406" s="3" t="s">
        <v>14</v>
      </c>
      <c r="H406" s="2" t="s">
        <v>15</v>
      </c>
      <c r="I406" s="2" t="s">
        <v>42</v>
      </c>
      <c r="J406" s="2" t="s">
        <v>17</v>
      </c>
      <c r="K406" s="11">
        <v>45436</v>
      </c>
      <c r="L406" s="11">
        <v>45448</v>
      </c>
      <c r="M406" s="3">
        <v>75000</v>
      </c>
      <c r="N406" s="3" t="s">
        <v>37</v>
      </c>
      <c r="O406" s="3" t="s">
        <v>55</v>
      </c>
    </row>
    <row r="407" spans="3:15">
      <c r="C407" s="3" t="s">
        <v>1115</v>
      </c>
      <c r="D407" s="2" t="s">
        <v>529</v>
      </c>
      <c r="E407" s="2">
        <v>61</v>
      </c>
      <c r="F407" t="str">
        <f t="shared" si="6"/>
        <v>Senior</v>
      </c>
      <c r="G407" s="2" t="s">
        <v>14</v>
      </c>
      <c r="H407" s="2" t="s">
        <v>58</v>
      </c>
      <c r="I407" s="2" t="s">
        <v>42</v>
      </c>
      <c r="J407" s="2" t="s">
        <v>104</v>
      </c>
      <c r="K407" s="11">
        <v>45405</v>
      </c>
      <c r="L407" s="11">
        <v>45427</v>
      </c>
      <c r="M407" s="2">
        <v>25000</v>
      </c>
      <c r="N407" s="2" t="s">
        <v>20</v>
      </c>
      <c r="O407" s="2" t="s">
        <v>55</v>
      </c>
    </row>
    <row r="408" spans="3:15">
      <c r="C408" s="2" t="s">
        <v>1117</v>
      </c>
      <c r="D408" s="2" t="s">
        <v>1116</v>
      </c>
      <c r="E408" s="3">
        <v>15</v>
      </c>
      <c r="F408" t="str">
        <f t="shared" si="6"/>
        <v>Child</v>
      </c>
      <c r="G408" s="3" t="s">
        <v>32</v>
      </c>
      <c r="H408" s="2" t="s">
        <v>70</v>
      </c>
      <c r="I408" s="2" t="s">
        <v>127</v>
      </c>
      <c r="J408" s="2" t="s">
        <v>99</v>
      </c>
      <c r="K408" s="11">
        <v>45489</v>
      </c>
      <c r="L408" s="11">
        <v>45519</v>
      </c>
      <c r="M408" s="3">
        <v>25000</v>
      </c>
      <c r="N408" s="3" t="s">
        <v>67</v>
      </c>
      <c r="O408" s="3" t="s">
        <v>55</v>
      </c>
    </row>
    <row r="409" spans="3:15">
      <c r="C409" s="3" t="s">
        <v>1119</v>
      </c>
      <c r="D409" s="2" t="s">
        <v>1118</v>
      </c>
      <c r="E409" s="2">
        <v>17</v>
      </c>
      <c r="F409" t="str">
        <f t="shared" si="6"/>
        <v>Child</v>
      </c>
      <c r="G409" s="2" t="s">
        <v>32</v>
      </c>
      <c r="H409" s="2" t="s">
        <v>33</v>
      </c>
      <c r="I409" s="2" t="s">
        <v>25</v>
      </c>
      <c r="J409" s="2" t="s">
        <v>35</v>
      </c>
      <c r="K409" s="11">
        <v>45465</v>
      </c>
      <c r="L409" s="11">
        <v>45488</v>
      </c>
      <c r="M409" s="2">
        <v>12000</v>
      </c>
      <c r="N409" s="2" t="s">
        <v>20</v>
      </c>
      <c r="O409" s="2" t="s">
        <v>38</v>
      </c>
    </row>
    <row r="410" spans="3:15">
      <c r="C410" s="2" t="s">
        <v>1120</v>
      </c>
      <c r="D410" s="2" t="s">
        <v>469</v>
      </c>
      <c r="E410" s="3">
        <v>52</v>
      </c>
      <c r="F410" t="str">
        <f t="shared" si="6"/>
        <v>Middle Age</v>
      </c>
      <c r="G410" s="3" t="s">
        <v>32</v>
      </c>
      <c r="H410" s="2" t="s">
        <v>109</v>
      </c>
      <c r="I410" s="2" t="s">
        <v>16</v>
      </c>
      <c r="J410" s="2" t="s">
        <v>17</v>
      </c>
      <c r="K410" s="11">
        <v>45337</v>
      </c>
      <c r="L410" s="11">
        <v>45363</v>
      </c>
      <c r="M410" s="3">
        <v>12000</v>
      </c>
      <c r="N410" s="3" t="s">
        <v>20</v>
      </c>
      <c r="O410" s="3" t="s">
        <v>87</v>
      </c>
    </row>
    <row r="411" spans="3:15">
      <c r="C411" s="3" t="s">
        <v>1122</v>
      </c>
      <c r="D411" s="2" t="s">
        <v>993</v>
      </c>
      <c r="E411" s="2">
        <v>59</v>
      </c>
      <c r="F411" t="str">
        <f t="shared" si="6"/>
        <v>Middle Age</v>
      </c>
      <c r="G411" s="2" t="s">
        <v>32</v>
      </c>
      <c r="H411" s="2" t="s">
        <v>58</v>
      </c>
      <c r="I411" s="2" t="s">
        <v>16</v>
      </c>
      <c r="J411" s="2" t="s">
        <v>17</v>
      </c>
      <c r="K411" s="11">
        <v>45519</v>
      </c>
      <c r="L411" s="11">
        <v>45522</v>
      </c>
      <c r="M411" s="2">
        <v>100000</v>
      </c>
      <c r="N411" s="2" t="s">
        <v>29</v>
      </c>
      <c r="O411" s="2" t="s">
        <v>775</v>
      </c>
    </row>
    <row r="412" spans="3:15">
      <c r="C412" s="2" t="s">
        <v>1125</v>
      </c>
      <c r="D412" s="2" t="s">
        <v>1123</v>
      </c>
      <c r="E412" s="3">
        <v>75</v>
      </c>
      <c r="F412" t="str">
        <f t="shared" si="6"/>
        <v>Senior</v>
      </c>
      <c r="G412" s="3" t="s">
        <v>32</v>
      </c>
      <c r="H412" s="2" t="s">
        <v>52</v>
      </c>
      <c r="I412" s="2" t="s">
        <v>25</v>
      </c>
      <c r="J412" s="2" t="s">
        <v>104</v>
      </c>
      <c r="K412" s="11">
        <v>45510</v>
      </c>
      <c r="L412" s="11">
        <v>45458</v>
      </c>
      <c r="M412" s="3">
        <v>100000</v>
      </c>
      <c r="N412" s="3" t="s">
        <v>20</v>
      </c>
      <c r="O412" s="3" t="s">
        <v>55</v>
      </c>
    </row>
    <row r="413" spans="3:15">
      <c r="C413" s="3" t="s">
        <v>1128</v>
      </c>
      <c r="D413" s="2" t="s">
        <v>1126</v>
      </c>
      <c r="E413" s="2">
        <v>56</v>
      </c>
      <c r="F413" t="str">
        <f t="shared" si="6"/>
        <v>Middle Age</v>
      </c>
      <c r="G413" s="2" t="s">
        <v>14</v>
      </c>
      <c r="H413" s="2" t="s">
        <v>33</v>
      </c>
      <c r="I413" s="2" t="s">
        <v>132</v>
      </c>
      <c r="J413" s="2" t="s">
        <v>26</v>
      </c>
      <c r="K413" s="11">
        <v>45327</v>
      </c>
      <c r="L413" s="11">
        <v>45438</v>
      </c>
      <c r="M413" s="2">
        <v>100000</v>
      </c>
      <c r="N413" s="2" t="s">
        <v>349</v>
      </c>
      <c r="O413" s="2" t="s">
        <v>87</v>
      </c>
    </row>
    <row r="414" spans="3:15">
      <c r="C414" s="2" t="s">
        <v>1130</v>
      </c>
      <c r="D414" s="2" t="s">
        <v>657</v>
      </c>
      <c r="E414" s="3">
        <v>37</v>
      </c>
      <c r="F414" t="str">
        <f t="shared" si="6"/>
        <v>Young Adult</v>
      </c>
      <c r="G414" s="3" t="s">
        <v>287</v>
      </c>
      <c r="H414" s="2" t="s">
        <v>15</v>
      </c>
      <c r="I414" s="2" t="s">
        <v>76</v>
      </c>
      <c r="J414" s="2" t="s">
        <v>35</v>
      </c>
      <c r="K414" s="11">
        <v>45432</v>
      </c>
      <c r="L414" s="11">
        <v>45435</v>
      </c>
      <c r="M414" s="3">
        <v>5000</v>
      </c>
      <c r="N414" s="3" t="s">
        <v>37</v>
      </c>
      <c r="O414" s="3" t="s">
        <v>21</v>
      </c>
    </row>
    <row r="415" spans="3:15">
      <c r="C415" s="3" t="s">
        <v>1133</v>
      </c>
      <c r="D415" s="2" t="s">
        <v>1131</v>
      </c>
      <c r="E415" s="2">
        <v>29</v>
      </c>
      <c r="F415" t="str">
        <f t="shared" si="6"/>
        <v>Young Adult</v>
      </c>
      <c r="G415" s="2" t="s">
        <v>14</v>
      </c>
      <c r="H415" s="2" t="s">
        <v>52</v>
      </c>
      <c r="I415" s="2" t="s">
        <v>34</v>
      </c>
      <c r="J415" s="2" t="s">
        <v>48</v>
      </c>
      <c r="K415" s="11">
        <v>45558</v>
      </c>
      <c r="L415" s="11">
        <v>45562</v>
      </c>
      <c r="M415" s="2">
        <v>8000</v>
      </c>
      <c r="N415" s="2" t="s">
        <v>775</v>
      </c>
      <c r="O415" s="2" t="s">
        <v>87</v>
      </c>
    </row>
    <row r="416" spans="3:15">
      <c r="C416" s="2" t="s">
        <v>1135</v>
      </c>
      <c r="D416" s="2" t="s">
        <v>1134</v>
      </c>
      <c r="E416" s="3">
        <v>34</v>
      </c>
      <c r="F416" t="str">
        <f t="shared" si="6"/>
        <v>Young Adult</v>
      </c>
      <c r="G416" s="3" t="s">
        <v>14</v>
      </c>
      <c r="H416" s="2" t="s">
        <v>33</v>
      </c>
      <c r="I416" s="2" t="s">
        <v>76</v>
      </c>
      <c r="J416" s="2" t="s">
        <v>35</v>
      </c>
      <c r="K416" s="11">
        <v>45495</v>
      </c>
      <c r="L416" s="11">
        <v>45508</v>
      </c>
      <c r="M416" s="3">
        <v>5000</v>
      </c>
      <c r="N416" s="3" t="s">
        <v>29</v>
      </c>
      <c r="O416" s="3" t="s">
        <v>87</v>
      </c>
    </row>
    <row r="417" spans="3:15">
      <c r="C417" s="3" t="s">
        <v>1136</v>
      </c>
      <c r="D417" s="2" t="s">
        <v>477</v>
      </c>
      <c r="E417" s="2">
        <v>5</v>
      </c>
      <c r="F417" t="str">
        <f t="shared" si="6"/>
        <v>Child</v>
      </c>
      <c r="G417" s="2" t="s">
        <v>32</v>
      </c>
      <c r="H417" s="2" t="s">
        <v>58</v>
      </c>
      <c r="I417" s="2" t="s">
        <v>16</v>
      </c>
      <c r="J417" s="2" t="s">
        <v>17</v>
      </c>
      <c r="K417" s="11">
        <v>45476</v>
      </c>
      <c r="L417" s="11">
        <v>45387</v>
      </c>
      <c r="M417" s="2">
        <v>12000</v>
      </c>
      <c r="N417" s="2" t="s">
        <v>67</v>
      </c>
      <c r="O417" s="2" t="s">
        <v>38</v>
      </c>
    </row>
    <row r="418" spans="3:15">
      <c r="C418" s="2" t="s">
        <v>1138</v>
      </c>
      <c r="D418" s="2" t="s">
        <v>1137</v>
      </c>
      <c r="E418" s="3" t="s">
        <v>775</v>
      </c>
      <c r="F418" t="str">
        <f t="shared" si="6"/>
        <v>Unknown</v>
      </c>
      <c r="G418" s="3" t="s">
        <v>14</v>
      </c>
      <c r="H418" s="2" t="s">
        <v>109</v>
      </c>
      <c r="I418" s="2" t="s">
        <v>132</v>
      </c>
      <c r="J418" s="2" t="s">
        <v>35</v>
      </c>
      <c r="K418" s="11">
        <v>45336</v>
      </c>
      <c r="L418" s="11">
        <v>45366</v>
      </c>
      <c r="M418" s="3">
        <v>25000</v>
      </c>
      <c r="N418" s="3" t="s">
        <v>29</v>
      </c>
      <c r="O418" s="3" t="s">
        <v>87</v>
      </c>
    </row>
    <row r="419" spans="3:15">
      <c r="C419" s="3" t="s">
        <v>1140</v>
      </c>
      <c r="D419" s="2" t="s">
        <v>1139</v>
      </c>
      <c r="E419" s="2">
        <v>15</v>
      </c>
      <c r="F419" t="str">
        <f t="shared" si="6"/>
        <v>Child</v>
      </c>
      <c r="G419" s="2" t="s">
        <v>14</v>
      </c>
      <c r="H419" s="2" t="s">
        <v>15</v>
      </c>
      <c r="I419" s="2" t="s">
        <v>34</v>
      </c>
      <c r="J419" s="2" t="s">
        <v>53</v>
      </c>
      <c r="K419" s="11">
        <v>45355</v>
      </c>
      <c r="L419" s="11">
        <v>45401</v>
      </c>
      <c r="M419" s="2">
        <v>8000</v>
      </c>
      <c r="N419" s="2" t="s">
        <v>20</v>
      </c>
      <c r="O419" s="2" t="s">
        <v>21</v>
      </c>
    </row>
    <row r="420" spans="3:15">
      <c r="C420" s="3" t="s">
        <v>1143</v>
      </c>
      <c r="D420" s="2" t="s">
        <v>1141</v>
      </c>
      <c r="E420" s="3">
        <v>70</v>
      </c>
      <c r="F420" t="str">
        <f t="shared" si="6"/>
        <v>Senior</v>
      </c>
      <c r="G420" s="3" t="s">
        <v>32</v>
      </c>
      <c r="H420" s="2" t="s">
        <v>70</v>
      </c>
      <c r="I420" s="2" t="s">
        <v>76</v>
      </c>
      <c r="J420" s="2" t="s">
        <v>17</v>
      </c>
      <c r="K420" s="11">
        <v>45433</v>
      </c>
      <c r="L420" s="11">
        <v>45444</v>
      </c>
      <c r="M420" s="3">
        <v>15000</v>
      </c>
      <c r="N420" s="3" t="s">
        <v>37</v>
      </c>
      <c r="O420" s="3" t="s">
        <v>55</v>
      </c>
    </row>
    <row r="421" spans="3:15">
      <c r="C421" s="2" t="s">
        <v>1145</v>
      </c>
      <c r="D421" s="2" t="s">
        <v>1141</v>
      </c>
      <c r="E421" s="2">
        <v>70</v>
      </c>
      <c r="F421" t="str">
        <f t="shared" si="6"/>
        <v>Senior</v>
      </c>
      <c r="G421" s="2" t="s">
        <v>32</v>
      </c>
      <c r="H421" s="2" t="s">
        <v>70</v>
      </c>
      <c r="I421" s="2" t="s">
        <v>76</v>
      </c>
      <c r="J421" s="2" t="s">
        <v>17</v>
      </c>
      <c r="K421" s="11">
        <v>45433</v>
      </c>
      <c r="L421" s="11">
        <v>45444</v>
      </c>
      <c r="M421" s="2">
        <v>15000</v>
      </c>
      <c r="N421" s="2" t="s">
        <v>37</v>
      </c>
      <c r="O421" s="2" t="s">
        <v>55</v>
      </c>
    </row>
    <row r="422" spans="3:15">
      <c r="C422" s="3" t="s">
        <v>1147</v>
      </c>
      <c r="D422" s="2" t="s">
        <v>1144</v>
      </c>
      <c r="E422" s="3">
        <v>4</v>
      </c>
      <c r="F422" t="str">
        <f t="shared" si="6"/>
        <v>Child</v>
      </c>
      <c r="G422" s="3" t="s">
        <v>690</v>
      </c>
      <c r="H422" s="2" t="s">
        <v>70</v>
      </c>
      <c r="I422" s="2" t="s">
        <v>127</v>
      </c>
      <c r="J422" s="2" t="s">
        <v>104</v>
      </c>
      <c r="K422" s="11">
        <v>45540</v>
      </c>
      <c r="L422" s="11">
        <v>45451</v>
      </c>
      <c r="M422" s="3">
        <v>75000</v>
      </c>
      <c r="N422" s="3" t="s">
        <v>20</v>
      </c>
      <c r="O422" s="3" t="s">
        <v>38</v>
      </c>
    </row>
    <row r="423" spans="3:15">
      <c r="C423" s="2" t="s">
        <v>1149</v>
      </c>
      <c r="D423" s="2" t="s">
        <v>324</v>
      </c>
      <c r="E423" s="2">
        <v>82</v>
      </c>
      <c r="F423" t="str">
        <f t="shared" si="6"/>
        <v>Senior</v>
      </c>
      <c r="G423" s="2" t="s">
        <v>32</v>
      </c>
      <c r="H423" s="2" t="s">
        <v>15</v>
      </c>
      <c r="I423" s="2" t="s">
        <v>127</v>
      </c>
      <c r="J423" s="2" t="s">
        <v>35</v>
      </c>
      <c r="K423" s="11">
        <v>45347</v>
      </c>
      <c r="L423" s="11">
        <v>45372</v>
      </c>
      <c r="M423" s="2">
        <v>100000</v>
      </c>
      <c r="N423" s="2" t="s">
        <v>29</v>
      </c>
      <c r="O423" s="2" t="s">
        <v>87</v>
      </c>
    </row>
    <row r="424" spans="3:15">
      <c r="C424" s="3" t="s">
        <v>1150</v>
      </c>
      <c r="D424" s="2" t="s">
        <v>1148</v>
      </c>
      <c r="E424" s="3">
        <v>22</v>
      </c>
      <c r="F424" t="str">
        <f t="shared" si="6"/>
        <v>Young Adult</v>
      </c>
      <c r="G424" s="3" t="s">
        <v>338</v>
      </c>
      <c r="H424" s="2" t="s">
        <v>52</v>
      </c>
      <c r="I424" s="2" t="s">
        <v>127</v>
      </c>
      <c r="J424" s="2" t="s">
        <v>35</v>
      </c>
      <c r="K424" s="11">
        <v>45301</v>
      </c>
      <c r="L424" s="11">
        <v>45586</v>
      </c>
      <c r="M424" s="3">
        <v>5000</v>
      </c>
      <c r="N424" s="3" t="s">
        <v>67</v>
      </c>
      <c r="O424" s="3" t="s">
        <v>21</v>
      </c>
    </row>
    <row r="425" spans="3:15">
      <c r="C425" s="2" t="s">
        <v>1152</v>
      </c>
      <c r="D425" s="2" t="s">
        <v>40</v>
      </c>
      <c r="E425" s="2">
        <v>58</v>
      </c>
      <c r="F425" t="str">
        <f t="shared" si="6"/>
        <v>Middle Age</v>
      </c>
      <c r="G425" s="2" t="s">
        <v>32</v>
      </c>
      <c r="H425" s="2" t="s">
        <v>52</v>
      </c>
      <c r="I425" s="2" t="s">
        <v>16</v>
      </c>
      <c r="J425" s="2" t="s">
        <v>48</v>
      </c>
      <c r="K425" s="11">
        <v>45490</v>
      </c>
      <c r="L425" s="11">
        <v>45502</v>
      </c>
      <c r="M425" s="2">
        <v>8000</v>
      </c>
      <c r="N425" s="2" t="s">
        <v>37</v>
      </c>
      <c r="O425" s="2" t="s">
        <v>87</v>
      </c>
    </row>
    <row r="426" spans="3:15">
      <c r="C426" s="3" t="s">
        <v>1154</v>
      </c>
      <c r="D426" s="2" t="s">
        <v>1151</v>
      </c>
      <c r="E426" s="3">
        <v>70</v>
      </c>
      <c r="F426" t="str">
        <f t="shared" si="6"/>
        <v>Senior</v>
      </c>
      <c r="G426" s="3" t="s">
        <v>14</v>
      </c>
      <c r="H426" s="2" t="s">
        <v>70</v>
      </c>
      <c r="I426" s="2" t="s">
        <v>42</v>
      </c>
      <c r="J426" s="2" t="s">
        <v>48</v>
      </c>
      <c r="K426" s="11">
        <v>45558</v>
      </c>
      <c r="L426" s="11">
        <v>45583</v>
      </c>
      <c r="M426" s="3">
        <v>15000</v>
      </c>
      <c r="N426" s="3" t="s">
        <v>29</v>
      </c>
      <c r="O426" s="3" t="s">
        <v>55</v>
      </c>
    </row>
    <row r="427" spans="3:15">
      <c r="C427" s="2" t="s">
        <v>1157</v>
      </c>
      <c r="D427" s="2" t="s">
        <v>1153</v>
      </c>
      <c r="E427" s="2">
        <v>47</v>
      </c>
      <c r="F427" t="str">
        <f t="shared" si="6"/>
        <v>Middle Age</v>
      </c>
      <c r="G427" s="2" t="s">
        <v>14</v>
      </c>
      <c r="H427" s="2" t="s">
        <v>33</v>
      </c>
      <c r="I427" s="2" t="s">
        <v>25</v>
      </c>
      <c r="J427" s="2" t="s">
        <v>53</v>
      </c>
      <c r="K427" s="11">
        <v>45565</v>
      </c>
      <c r="L427" s="11">
        <v>45569</v>
      </c>
      <c r="M427" s="2">
        <v>15000</v>
      </c>
      <c r="N427" s="2" t="s">
        <v>29</v>
      </c>
      <c r="O427" s="2" t="s">
        <v>21</v>
      </c>
    </row>
    <row r="428" spans="3:15">
      <c r="C428" s="3" t="s">
        <v>1158</v>
      </c>
      <c r="D428" s="2" t="s">
        <v>1155</v>
      </c>
      <c r="E428" s="3">
        <v>22</v>
      </c>
      <c r="F428" t="str">
        <f t="shared" si="6"/>
        <v>Young Adult</v>
      </c>
      <c r="G428" s="3" t="s">
        <v>32</v>
      </c>
      <c r="H428" s="2" t="s">
        <v>70</v>
      </c>
      <c r="I428" s="2" t="s">
        <v>76</v>
      </c>
      <c r="J428" s="2" t="s">
        <v>53</v>
      </c>
      <c r="K428" s="11">
        <v>45581</v>
      </c>
      <c r="L428" s="11">
        <v>45588</v>
      </c>
      <c r="M428" s="3">
        <v>75000</v>
      </c>
      <c r="N428" s="3" t="s">
        <v>67</v>
      </c>
      <c r="O428" s="3" t="s">
        <v>87</v>
      </c>
    </row>
    <row r="429" spans="3:15">
      <c r="C429" s="3" t="s">
        <v>1160</v>
      </c>
      <c r="D429" s="2" t="s">
        <v>1078</v>
      </c>
      <c r="E429" s="2">
        <v>23</v>
      </c>
      <c r="F429" t="str">
        <f t="shared" si="6"/>
        <v>Young Adult</v>
      </c>
      <c r="G429" s="2" t="s">
        <v>690</v>
      </c>
      <c r="H429" s="2" t="s">
        <v>775</v>
      </c>
      <c r="I429" s="2" t="s">
        <v>34</v>
      </c>
      <c r="J429" s="2" t="s">
        <v>99</v>
      </c>
      <c r="K429" s="11">
        <v>45510</v>
      </c>
      <c r="L429" s="11">
        <v>45468</v>
      </c>
      <c r="M429" s="2">
        <v>12000</v>
      </c>
      <c r="N429" s="2" t="s">
        <v>29</v>
      </c>
      <c r="O429" s="2" t="s">
        <v>21</v>
      </c>
    </row>
    <row r="430" spans="3:15">
      <c r="C430" s="2" t="s">
        <v>1162</v>
      </c>
      <c r="D430" s="2" t="s">
        <v>1159</v>
      </c>
      <c r="E430" s="3">
        <v>22</v>
      </c>
      <c r="F430" t="str">
        <f t="shared" si="6"/>
        <v>Young Adult</v>
      </c>
      <c r="G430" s="3" t="s">
        <v>14</v>
      </c>
      <c r="H430" s="2" t="s">
        <v>33</v>
      </c>
      <c r="I430" s="2" t="s">
        <v>16</v>
      </c>
      <c r="J430" s="2" t="s">
        <v>53</v>
      </c>
      <c r="K430" s="11">
        <v>45327</v>
      </c>
      <c r="L430" s="11">
        <v>45425</v>
      </c>
      <c r="M430" s="3">
        <v>35000</v>
      </c>
      <c r="N430" s="3" t="s">
        <v>67</v>
      </c>
      <c r="O430" s="3" t="s">
        <v>21</v>
      </c>
    </row>
    <row r="431" spans="3:15">
      <c r="C431" s="3" t="s">
        <v>1164</v>
      </c>
      <c r="D431" s="2" t="s">
        <v>1161</v>
      </c>
      <c r="E431" s="3">
        <v>46</v>
      </c>
      <c r="F431" t="str">
        <f t="shared" si="6"/>
        <v>Middle Age</v>
      </c>
      <c r="G431" s="3" t="s">
        <v>14</v>
      </c>
      <c r="H431" s="2" t="s">
        <v>70</v>
      </c>
      <c r="I431" s="2" t="s">
        <v>132</v>
      </c>
      <c r="J431" s="2" t="s">
        <v>17</v>
      </c>
      <c r="K431" s="11">
        <v>45409</v>
      </c>
      <c r="L431" s="11">
        <v>45417</v>
      </c>
      <c r="M431" s="3">
        <v>35000</v>
      </c>
      <c r="N431" s="3" t="s">
        <v>20</v>
      </c>
      <c r="O431" s="3" t="s">
        <v>87</v>
      </c>
    </row>
    <row r="432" spans="3:15">
      <c r="C432" s="2" t="s">
        <v>1165</v>
      </c>
      <c r="D432" s="2" t="s">
        <v>1163</v>
      </c>
      <c r="E432" s="2">
        <v>24</v>
      </c>
      <c r="F432" t="str">
        <f t="shared" si="6"/>
        <v>Young Adult</v>
      </c>
      <c r="G432" s="2" t="s">
        <v>32</v>
      </c>
      <c r="H432" s="2" t="s">
        <v>15</v>
      </c>
      <c r="I432" s="2" t="s">
        <v>76</v>
      </c>
      <c r="J432" s="2" t="s">
        <v>17</v>
      </c>
      <c r="K432" s="11">
        <v>45450</v>
      </c>
      <c r="L432" s="11">
        <v>45487</v>
      </c>
      <c r="M432" s="2">
        <v>8000</v>
      </c>
      <c r="N432" s="2" t="s">
        <v>67</v>
      </c>
      <c r="O432" s="2" t="s">
        <v>87</v>
      </c>
    </row>
    <row r="433" spans="3:15">
      <c r="C433" s="3" t="s">
        <v>1166</v>
      </c>
      <c r="D433" s="2" t="s">
        <v>131</v>
      </c>
      <c r="E433" s="3">
        <v>85</v>
      </c>
      <c r="F433" t="str">
        <f t="shared" si="6"/>
        <v>Senior</v>
      </c>
      <c r="G433" s="3" t="s">
        <v>14</v>
      </c>
      <c r="H433" s="2" t="s">
        <v>58</v>
      </c>
      <c r="I433" s="2" t="s">
        <v>132</v>
      </c>
      <c r="J433" s="2" t="s">
        <v>48</v>
      </c>
      <c r="K433" s="11">
        <v>45389</v>
      </c>
      <c r="L433" s="11">
        <v>45495</v>
      </c>
      <c r="M433" s="3">
        <v>75000</v>
      </c>
      <c r="N433" s="3" t="s">
        <v>37</v>
      </c>
      <c r="O433" s="3" t="s">
        <v>55</v>
      </c>
    </row>
    <row r="434" spans="3:15">
      <c r="C434" s="2" t="s">
        <v>1168</v>
      </c>
      <c r="D434" s="2" t="s">
        <v>880</v>
      </c>
      <c r="E434" s="2">
        <v>29</v>
      </c>
      <c r="F434" t="str">
        <f t="shared" si="6"/>
        <v>Young Adult</v>
      </c>
      <c r="G434" s="2" t="s">
        <v>32</v>
      </c>
      <c r="H434" s="2" t="s">
        <v>109</v>
      </c>
      <c r="I434" s="2" t="s">
        <v>132</v>
      </c>
      <c r="J434" s="2" t="s">
        <v>48</v>
      </c>
      <c r="K434" s="11">
        <v>45562</v>
      </c>
      <c r="L434" s="11">
        <v>45569</v>
      </c>
      <c r="M434" s="2">
        <v>100000</v>
      </c>
      <c r="N434" s="2" t="s">
        <v>37</v>
      </c>
      <c r="O434" s="2" t="s">
        <v>87</v>
      </c>
    </row>
    <row r="435" spans="3:15">
      <c r="C435" s="3" t="s">
        <v>1171</v>
      </c>
      <c r="D435" s="2" t="s">
        <v>1167</v>
      </c>
      <c r="E435" s="3">
        <v>59</v>
      </c>
      <c r="F435" t="str">
        <f t="shared" si="6"/>
        <v>Middle Age</v>
      </c>
      <c r="G435" s="3" t="s">
        <v>32</v>
      </c>
      <c r="H435" s="2" t="s">
        <v>70</v>
      </c>
      <c r="I435" s="2" t="s">
        <v>16</v>
      </c>
      <c r="J435" s="2" t="s">
        <v>48</v>
      </c>
      <c r="K435" s="11">
        <v>45495</v>
      </c>
      <c r="L435" s="11">
        <v>45496</v>
      </c>
      <c r="M435" s="3">
        <v>15000</v>
      </c>
      <c r="N435" s="3" t="s">
        <v>37</v>
      </c>
      <c r="O435" s="3" t="s">
        <v>38</v>
      </c>
    </row>
    <row r="436" spans="3:15">
      <c r="C436" s="2" t="s">
        <v>1173</v>
      </c>
      <c r="D436" s="2" t="s">
        <v>1169</v>
      </c>
      <c r="E436" s="2" t="s">
        <v>775</v>
      </c>
      <c r="F436" t="str">
        <f t="shared" si="6"/>
        <v>Unknown</v>
      </c>
      <c r="G436" s="2" t="s">
        <v>32</v>
      </c>
      <c r="H436" s="2" t="s">
        <v>15</v>
      </c>
      <c r="I436" s="2" t="s">
        <v>127</v>
      </c>
      <c r="J436" s="2" t="s">
        <v>53</v>
      </c>
      <c r="K436" s="11">
        <v>45417</v>
      </c>
      <c r="L436" s="11">
        <v>45429</v>
      </c>
      <c r="M436" s="2">
        <v>35000</v>
      </c>
      <c r="N436" s="2" t="s">
        <v>20</v>
      </c>
      <c r="O436" s="2" t="s">
        <v>87</v>
      </c>
    </row>
    <row r="437" spans="3:15">
      <c r="C437" s="3" t="s">
        <v>1174</v>
      </c>
      <c r="D437" s="2" t="s">
        <v>1172</v>
      </c>
      <c r="E437" s="3">
        <v>71</v>
      </c>
      <c r="F437" t="str">
        <f t="shared" si="6"/>
        <v>Senior</v>
      </c>
      <c r="G437" s="3" t="s">
        <v>14</v>
      </c>
      <c r="H437" s="2" t="s">
        <v>58</v>
      </c>
      <c r="I437" s="2" t="s">
        <v>132</v>
      </c>
      <c r="J437" s="2" t="s">
        <v>99</v>
      </c>
      <c r="K437" s="11">
        <v>45451</v>
      </c>
      <c r="L437" s="11">
        <v>45517</v>
      </c>
      <c r="M437" s="3">
        <v>35000</v>
      </c>
      <c r="N437" s="3" t="s">
        <v>67</v>
      </c>
      <c r="O437" s="3" t="s">
        <v>87</v>
      </c>
    </row>
    <row r="438" spans="3:15">
      <c r="C438" s="2" t="s">
        <v>1176</v>
      </c>
      <c r="D438" s="2" t="s">
        <v>889</v>
      </c>
      <c r="E438" s="2">
        <v>42</v>
      </c>
      <c r="F438" t="str">
        <f t="shared" si="6"/>
        <v>Middle Age</v>
      </c>
      <c r="G438" s="2" t="s">
        <v>338</v>
      </c>
      <c r="H438" s="2" t="s">
        <v>58</v>
      </c>
      <c r="I438" s="2" t="s">
        <v>42</v>
      </c>
      <c r="J438" s="2" t="s">
        <v>17</v>
      </c>
      <c r="K438" s="11">
        <v>45374</v>
      </c>
      <c r="L438" s="11">
        <v>45403</v>
      </c>
      <c r="M438" s="2">
        <v>50000</v>
      </c>
      <c r="N438" s="2" t="s">
        <v>67</v>
      </c>
      <c r="O438" s="2" t="s">
        <v>21</v>
      </c>
    </row>
    <row r="439" spans="3:15">
      <c r="C439" s="3" t="s">
        <v>1179</v>
      </c>
      <c r="D439" s="2" t="s">
        <v>1175</v>
      </c>
      <c r="E439" s="3">
        <v>3</v>
      </c>
      <c r="F439" t="str">
        <f t="shared" si="6"/>
        <v>Child</v>
      </c>
      <c r="G439" s="3" t="s">
        <v>14</v>
      </c>
      <c r="H439" s="2" t="s">
        <v>70</v>
      </c>
      <c r="I439" s="2" t="s">
        <v>25</v>
      </c>
      <c r="J439" s="2" t="s">
        <v>99</v>
      </c>
      <c r="K439" s="11">
        <v>45356</v>
      </c>
      <c r="L439" s="11">
        <v>45436</v>
      </c>
      <c r="M439" s="3">
        <v>25000</v>
      </c>
      <c r="N439" s="3" t="s">
        <v>67</v>
      </c>
      <c r="O439" s="3" t="s">
        <v>55</v>
      </c>
    </row>
    <row r="440" spans="3:15">
      <c r="C440" s="2" t="s">
        <v>1181</v>
      </c>
      <c r="D440" s="2" t="s">
        <v>2039</v>
      </c>
      <c r="E440" s="2">
        <v>68</v>
      </c>
      <c r="F440" t="str">
        <f t="shared" si="6"/>
        <v>Senior</v>
      </c>
      <c r="G440" s="2" t="s">
        <v>14</v>
      </c>
      <c r="H440" s="2" t="s">
        <v>52</v>
      </c>
      <c r="I440" s="2" t="s">
        <v>76</v>
      </c>
      <c r="J440" s="2" t="s">
        <v>26</v>
      </c>
      <c r="K440" s="11">
        <v>45527</v>
      </c>
      <c r="L440" s="11">
        <v>45552</v>
      </c>
      <c r="M440" s="2">
        <v>8000</v>
      </c>
      <c r="N440" s="2" t="s">
        <v>20</v>
      </c>
      <c r="O440" s="2" t="s">
        <v>87</v>
      </c>
    </row>
    <row r="441" spans="3:15">
      <c r="C441" s="3" t="s">
        <v>1182</v>
      </c>
      <c r="D441" s="2" t="s">
        <v>1180</v>
      </c>
      <c r="E441" s="3">
        <v>66</v>
      </c>
      <c r="F441" t="str">
        <f t="shared" si="6"/>
        <v>Senior</v>
      </c>
      <c r="G441" s="3" t="s">
        <v>14</v>
      </c>
      <c r="H441" s="2" t="s">
        <v>85</v>
      </c>
      <c r="I441" s="2" t="s">
        <v>42</v>
      </c>
      <c r="J441" s="2" t="s">
        <v>104</v>
      </c>
      <c r="K441" s="11">
        <v>45572</v>
      </c>
      <c r="L441" s="11">
        <v>45492</v>
      </c>
      <c r="M441" s="3">
        <v>12000</v>
      </c>
      <c r="N441" s="3" t="s">
        <v>67</v>
      </c>
      <c r="O441" s="3" t="s">
        <v>21</v>
      </c>
    </row>
    <row r="442" spans="3:15">
      <c r="C442" s="2" t="s">
        <v>1184</v>
      </c>
      <c r="D442" s="2" t="s">
        <v>544</v>
      </c>
      <c r="E442" s="2">
        <v>43</v>
      </c>
      <c r="F442" t="str">
        <f t="shared" si="6"/>
        <v>Middle Age</v>
      </c>
      <c r="G442" s="2" t="s">
        <v>14</v>
      </c>
      <c r="H442" s="2" t="s">
        <v>109</v>
      </c>
      <c r="I442" s="2" t="s">
        <v>132</v>
      </c>
      <c r="J442" s="2" t="s">
        <v>48</v>
      </c>
      <c r="K442" s="11">
        <v>45578</v>
      </c>
      <c r="L442" s="11">
        <v>45579</v>
      </c>
      <c r="M442" s="2">
        <v>12000</v>
      </c>
      <c r="N442" s="2" t="s">
        <v>67</v>
      </c>
      <c r="O442" s="2" t="s">
        <v>87</v>
      </c>
    </row>
    <row r="443" spans="3:15">
      <c r="C443" s="3" t="s">
        <v>1185</v>
      </c>
      <c r="D443" s="2" t="s">
        <v>2036</v>
      </c>
      <c r="E443" s="3">
        <v>11</v>
      </c>
      <c r="F443" t="str">
        <f t="shared" si="6"/>
        <v>Child</v>
      </c>
      <c r="G443" s="3" t="s">
        <v>32</v>
      </c>
      <c r="H443" s="2" t="s">
        <v>52</v>
      </c>
      <c r="I443" s="2" t="s">
        <v>76</v>
      </c>
      <c r="J443" s="2" t="s">
        <v>17</v>
      </c>
      <c r="K443" s="11">
        <v>45365</v>
      </c>
      <c r="L443" s="11">
        <v>45385</v>
      </c>
      <c r="M443" s="3">
        <v>100000</v>
      </c>
      <c r="N443" s="3" t="s">
        <v>168</v>
      </c>
      <c r="O443" s="3" t="s">
        <v>21</v>
      </c>
    </row>
    <row r="444" spans="3:15">
      <c r="C444" s="2" t="s">
        <v>1188</v>
      </c>
      <c r="D444" s="2" t="s">
        <v>735</v>
      </c>
      <c r="E444" s="2">
        <v>66</v>
      </c>
      <c r="F444" t="str">
        <f t="shared" si="6"/>
        <v>Senior</v>
      </c>
      <c r="G444" s="2" t="s">
        <v>32</v>
      </c>
      <c r="H444" s="2" t="s">
        <v>33</v>
      </c>
      <c r="I444" s="2" t="s">
        <v>16</v>
      </c>
      <c r="J444" s="2" t="s">
        <v>26</v>
      </c>
      <c r="K444" s="11">
        <v>45570</v>
      </c>
      <c r="L444" s="11">
        <v>45423</v>
      </c>
      <c r="M444" s="2">
        <v>25000</v>
      </c>
      <c r="N444" s="2" t="s">
        <v>67</v>
      </c>
      <c r="O444" s="2" t="s">
        <v>87</v>
      </c>
    </row>
    <row r="445" spans="3:15">
      <c r="C445" s="3" t="s">
        <v>1190</v>
      </c>
      <c r="D445" s="2" t="s">
        <v>1186</v>
      </c>
      <c r="E445" s="3" t="s">
        <v>775</v>
      </c>
      <c r="F445" t="str">
        <f t="shared" si="6"/>
        <v>Unknown</v>
      </c>
      <c r="G445" s="3" t="s">
        <v>32</v>
      </c>
      <c r="H445" s="2" t="s">
        <v>15</v>
      </c>
      <c r="I445" s="2" t="s">
        <v>127</v>
      </c>
      <c r="J445" s="2" t="s">
        <v>17</v>
      </c>
      <c r="K445" s="11">
        <v>45466</v>
      </c>
      <c r="L445" s="11">
        <v>45468</v>
      </c>
      <c r="M445" s="3">
        <v>25000</v>
      </c>
      <c r="N445" s="3" t="s">
        <v>20</v>
      </c>
      <c r="O445" s="3" t="s">
        <v>38</v>
      </c>
    </row>
    <row r="446" spans="3:15">
      <c r="C446" s="2" t="s">
        <v>1192</v>
      </c>
      <c r="D446" s="2" t="s">
        <v>1189</v>
      </c>
      <c r="E446" s="2">
        <v>86</v>
      </c>
      <c r="F446" t="str">
        <f t="shared" si="6"/>
        <v>Senior</v>
      </c>
      <c r="G446" s="2" t="s">
        <v>32</v>
      </c>
      <c r="H446" s="2" t="s">
        <v>15</v>
      </c>
      <c r="I446" s="2" t="s">
        <v>25</v>
      </c>
      <c r="J446" s="2" t="s">
        <v>35</v>
      </c>
      <c r="K446" s="11">
        <v>45358</v>
      </c>
      <c r="L446" s="11">
        <v>45491</v>
      </c>
      <c r="M446" s="2">
        <v>50000</v>
      </c>
      <c r="N446" s="2" t="s">
        <v>37</v>
      </c>
      <c r="O446" s="2" t="s">
        <v>87</v>
      </c>
    </row>
    <row r="447" spans="3:15">
      <c r="C447" s="3" t="s">
        <v>1193</v>
      </c>
      <c r="D447" s="2" t="s">
        <v>1191</v>
      </c>
      <c r="E447" s="3" t="s">
        <v>775</v>
      </c>
      <c r="F447" t="str">
        <f t="shared" si="6"/>
        <v>Unknown</v>
      </c>
      <c r="G447" s="3" t="s">
        <v>32</v>
      </c>
      <c r="H447" s="2" t="s">
        <v>58</v>
      </c>
      <c r="I447" s="2" t="s">
        <v>127</v>
      </c>
      <c r="J447" s="2" t="s">
        <v>48</v>
      </c>
      <c r="K447" s="11">
        <v>45578</v>
      </c>
      <c r="L447" s="11">
        <v>45592</v>
      </c>
      <c r="M447" s="3">
        <v>8000</v>
      </c>
      <c r="N447" s="3" t="s">
        <v>37</v>
      </c>
      <c r="O447" s="3" t="s">
        <v>87</v>
      </c>
    </row>
    <row r="448" spans="3:15">
      <c r="C448" s="2" t="s">
        <v>1195</v>
      </c>
      <c r="D448" s="2" t="s">
        <v>98</v>
      </c>
      <c r="E448" s="2">
        <v>6</v>
      </c>
      <c r="F448" t="str">
        <f t="shared" si="6"/>
        <v>Child</v>
      </c>
      <c r="G448" s="2" t="s">
        <v>14</v>
      </c>
      <c r="H448" s="2" t="s">
        <v>109</v>
      </c>
      <c r="I448" s="2" t="s">
        <v>76</v>
      </c>
      <c r="J448" s="2" t="s">
        <v>48</v>
      </c>
      <c r="K448" s="11">
        <v>45320</v>
      </c>
      <c r="L448" s="11">
        <v>45326</v>
      </c>
      <c r="M448" s="2">
        <v>20000</v>
      </c>
      <c r="N448" s="2" t="s">
        <v>67</v>
      </c>
      <c r="O448" s="2" t="s">
        <v>38</v>
      </c>
    </row>
    <row r="449" spans="3:15">
      <c r="C449" s="3" t="s">
        <v>1196</v>
      </c>
      <c r="D449" s="2" t="s">
        <v>1194</v>
      </c>
      <c r="E449" s="3">
        <v>12</v>
      </c>
      <c r="F449" t="str">
        <f t="shared" si="6"/>
        <v>Child</v>
      </c>
      <c r="G449" s="3" t="s">
        <v>14</v>
      </c>
      <c r="H449" s="2" t="s">
        <v>85</v>
      </c>
      <c r="I449" s="2" t="s">
        <v>76</v>
      </c>
      <c r="J449" s="2" t="s">
        <v>26</v>
      </c>
      <c r="K449" s="11">
        <v>45471</v>
      </c>
      <c r="L449" s="11">
        <v>45481</v>
      </c>
      <c r="M449" s="3">
        <v>35000</v>
      </c>
      <c r="N449" s="3" t="s">
        <v>67</v>
      </c>
      <c r="O449" s="3" t="s">
        <v>87</v>
      </c>
    </row>
    <row r="450" spans="3:15">
      <c r="C450" s="2" t="s">
        <v>1197</v>
      </c>
      <c r="D450" s="2" t="s">
        <v>404</v>
      </c>
      <c r="E450" s="2">
        <v>9</v>
      </c>
      <c r="F450" t="str">
        <f t="shared" si="6"/>
        <v>Child</v>
      </c>
      <c r="G450" s="2" t="s">
        <v>32</v>
      </c>
      <c r="H450" s="2" t="s">
        <v>58</v>
      </c>
      <c r="I450" s="2" t="s">
        <v>34</v>
      </c>
      <c r="J450" s="2" t="s">
        <v>17</v>
      </c>
      <c r="K450" s="11">
        <v>45603</v>
      </c>
      <c r="L450" s="11">
        <v>45512</v>
      </c>
      <c r="M450" s="2">
        <v>75000</v>
      </c>
      <c r="N450" s="2" t="s">
        <v>20</v>
      </c>
      <c r="O450" s="2" t="s">
        <v>55</v>
      </c>
    </row>
    <row r="451" spans="3:15">
      <c r="C451" s="3" t="s">
        <v>1198</v>
      </c>
      <c r="D451" s="2" t="s">
        <v>234</v>
      </c>
      <c r="E451" s="3">
        <v>34</v>
      </c>
      <c r="F451" t="str">
        <f t="shared" si="6"/>
        <v>Young Adult</v>
      </c>
      <c r="G451" s="3" t="s">
        <v>32</v>
      </c>
      <c r="H451" s="2" t="s">
        <v>52</v>
      </c>
      <c r="I451" s="2" t="s">
        <v>132</v>
      </c>
      <c r="J451" s="2" t="s">
        <v>35</v>
      </c>
      <c r="K451" s="11">
        <v>45506</v>
      </c>
      <c r="L451" s="11">
        <v>45356</v>
      </c>
      <c r="M451" s="3">
        <v>20000</v>
      </c>
      <c r="N451" s="3" t="s">
        <v>20</v>
      </c>
      <c r="O451" s="3" t="s">
        <v>38</v>
      </c>
    </row>
    <row r="452" spans="3:15">
      <c r="C452" s="2" t="s">
        <v>1199</v>
      </c>
      <c r="D452" s="2" t="s">
        <v>1096</v>
      </c>
      <c r="E452" s="2">
        <v>88</v>
      </c>
      <c r="F452" t="str">
        <f t="shared" si="6"/>
        <v>Senior</v>
      </c>
      <c r="G452" s="2" t="s">
        <v>32</v>
      </c>
      <c r="H452" s="2" t="s">
        <v>85</v>
      </c>
      <c r="I452" s="2" t="s">
        <v>76</v>
      </c>
      <c r="J452" s="2" t="s">
        <v>48</v>
      </c>
      <c r="K452" s="11">
        <v>45570</v>
      </c>
      <c r="L452" s="11">
        <v>45449</v>
      </c>
      <c r="M452" s="2">
        <v>20000</v>
      </c>
      <c r="N452" s="2" t="s">
        <v>29</v>
      </c>
      <c r="O452" s="2" t="s">
        <v>87</v>
      </c>
    </row>
    <row r="453" spans="3:15">
      <c r="C453" s="3" t="s">
        <v>1200</v>
      </c>
      <c r="D453" s="2" t="s">
        <v>857</v>
      </c>
      <c r="E453" s="3">
        <v>2</v>
      </c>
      <c r="F453" t="str">
        <f t="shared" si="6"/>
        <v>Child</v>
      </c>
      <c r="G453" s="3" t="s">
        <v>32</v>
      </c>
      <c r="H453" s="2" t="s">
        <v>52</v>
      </c>
      <c r="I453" s="2" t="s">
        <v>76</v>
      </c>
      <c r="J453" s="2" t="s">
        <v>17</v>
      </c>
      <c r="K453" s="11">
        <v>45543</v>
      </c>
      <c r="L453" s="11">
        <v>45532</v>
      </c>
      <c r="M453" s="3">
        <v>35000</v>
      </c>
      <c r="N453" s="3" t="s">
        <v>37</v>
      </c>
      <c r="O453" s="3" t="s">
        <v>55</v>
      </c>
    </row>
    <row r="454" spans="3:15">
      <c r="C454" s="2" t="s">
        <v>1201</v>
      </c>
      <c r="D454" s="2" t="s">
        <v>1069</v>
      </c>
      <c r="E454" s="2">
        <v>41</v>
      </c>
      <c r="F454" t="str">
        <f t="shared" si="6"/>
        <v>Middle Age</v>
      </c>
      <c r="G454" s="2" t="s">
        <v>14</v>
      </c>
      <c r="H454" s="2" t="s">
        <v>58</v>
      </c>
      <c r="I454" s="2" t="s">
        <v>25</v>
      </c>
      <c r="J454" s="2" t="s">
        <v>99</v>
      </c>
      <c r="K454" s="11">
        <v>45354</v>
      </c>
      <c r="L454" s="11">
        <v>45371</v>
      </c>
      <c r="M454" s="2">
        <v>25000</v>
      </c>
      <c r="N454" s="2" t="s">
        <v>29</v>
      </c>
      <c r="O454" s="2" t="s">
        <v>87</v>
      </c>
    </row>
    <row r="455" spans="3:15">
      <c r="C455" s="3" t="s">
        <v>1202</v>
      </c>
      <c r="D455" s="2" t="s">
        <v>661</v>
      </c>
      <c r="E455" s="3">
        <v>5</v>
      </c>
      <c r="F455" t="str">
        <f t="shared" si="6"/>
        <v>Child</v>
      </c>
      <c r="G455" s="3" t="s">
        <v>32</v>
      </c>
      <c r="H455" s="2" t="s">
        <v>58</v>
      </c>
      <c r="I455" s="2" t="s">
        <v>132</v>
      </c>
      <c r="J455" s="2" t="s">
        <v>99</v>
      </c>
      <c r="K455" s="11">
        <v>45431</v>
      </c>
      <c r="L455" s="11">
        <v>45457</v>
      </c>
      <c r="M455" s="3">
        <v>20000</v>
      </c>
      <c r="N455" s="3" t="s">
        <v>37</v>
      </c>
      <c r="O455" s="3" t="s">
        <v>38</v>
      </c>
    </row>
    <row r="456" spans="3:15">
      <c r="C456" s="2" t="s">
        <v>1204</v>
      </c>
      <c r="D456" s="2" t="s">
        <v>392</v>
      </c>
      <c r="E456" s="2">
        <v>46</v>
      </c>
      <c r="F456" t="str">
        <f t="shared" si="6"/>
        <v>Middle Age</v>
      </c>
      <c r="G456" s="2" t="s">
        <v>14</v>
      </c>
      <c r="H456" s="2" t="s">
        <v>58</v>
      </c>
      <c r="I456" s="2" t="s">
        <v>76</v>
      </c>
      <c r="J456" s="2" t="s">
        <v>48</v>
      </c>
      <c r="K456" s="11">
        <v>45459</v>
      </c>
      <c r="L456" s="11">
        <v>45474</v>
      </c>
      <c r="M456" s="2">
        <v>100000</v>
      </c>
      <c r="N456" s="2" t="s">
        <v>20</v>
      </c>
      <c r="O456" s="2" t="s">
        <v>55</v>
      </c>
    </row>
    <row r="457" spans="3:15">
      <c r="C457" s="3" t="s">
        <v>1205</v>
      </c>
      <c r="D457" s="2" t="s">
        <v>1203</v>
      </c>
      <c r="E457" s="3">
        <v>39</v>
      </c>
      <c r="F457" t="str">
        <f t="shared" si="6"/>
        <v>Young Adult</v>
      </c>
      <c r="G457" s="3" t="s">
        <v>32</v>
      </c>
      <c r="H457" s="2" t="s">
        <v>70</v>
      </c>
      <c r="I457" s="2" t="s">
        <v>127</v>
      </c>
      <c r="J457" s="2" t="s">
        <v>26</v>
      </c>
      <c r="K457" s="11">
        <v>45323</v>
      </c>
      <c r="L457" s="11">
        <v>45310</v>
      </c>
      <c r="M457" s="3">
        <v>100000</v>
      </c>
      <c r="N457" s="3" t="s">
        <v>37</v>
      </c>
      <c r="O457" s="3" t="s">
        <v>38</v>
      </c>
    </row>
    <row r="458" spans="3:15">
      <c r="C458" s="2" t="s">
        <v>1207</v>
      </c>
      <c r="D458" s="2" t="s">
        <v>473</v>
      </c>
      <c r="E458" s="2" t="s">
        <v>775</v>
      </c>
      <c r="F458" t="str">
        <f t="shared" ref="F458:F521" si="7">IF(E458="Unknown","Unknown",IF(E458&lt;18,"Child",IF(E458&lt;40,"Young Adult",IF(E458&lt;60,"Middle Age","Senior"))))</f>
        <v>Unknown</v>
      </c>
      <c r="G458" s="2" t="s">
        <v>14</v>
      </c>
      <c r="H458" s="2" t="s">
        <v>33</v>
      </c>
      <c r="I458" s="2" t="s">
        <v>16</v>
      </c>
      <c r="J458" s="2" t="s">
        <v>48</v>
      </c>
      <c r="K458" s="11">
        <v>45365</v>
      </c>
      <c r="L458" s="11">
        <v>45386</v>
      </c>
      <c r="M458" s="2">
        <v>0</v>
      </c>
      <c r="N458" s="2" t="s">
        <v>29</v>
      </c>
      <c r="O458" s="2" t="s">
        <v>21</v>
      </c>
    </row>
    <row r="459" spans="3:15">
      <c r="C459" s="3" t="s">
        <v>1208</v>
      </c>
      <c r="D459" s="2" t="s">
        <v>549</v>
      </c>
      <c r="E459" s="3">
        <v>78</v>
      </c>
      <c r="F459" t="str">
        <f t="shared" si="7"/>
        <v>Senior</v>
      </c>
      <c r="G459" s="3" t="s">
        <v>14</v>
      </c>
      <c r="H459" s="2" t="s">
        <v>52</v>
      </c>
      <c r="I459" s="2" t="s">
        <v>42</v>
      </c>
      <c r="J459" s="2" t="s">
        <v>53</v>
      </c>
      <c r="K459" s="11">
        <v>45533</v>
      </c>
      <c r="L459" s="11">
        <v>45538</v>
      </c>
      <c r="M459" s="3">
        <v>12000</v>
      </c>
      <c r="N459" s="3" t="s">
        <v>37</v>
      </c>
      <c r="O459" s="3" t="s">
        <v>21</v>
      </c>
    </row>
    <row r="460" spans="3:15">
      <c r="C460" s="2" t="s">
        <v>1210</v>
      </c>
      <c r="D460" s="2" t="s">
        <v>178</v>
      </c>
      <c r="E460" s="2">
        <v>35</v>
      </c>
      <c r="F460" t="str">
        <f t="shared" si="7"/>
        <v>Young Adult</v>
      </c>
      <c r="G460" s="2" t="s">
        <v>14</v>
      </c>
      <c r="H460" s="2" t="s">
        <v>15</v>
      </c>
      <c r="I460" s="2" t="s">
        <v>42</v>
      </c>
      <c r="J460" s="2" t="s">
        <v>99</v>
      </c>
      <c r="K460" s="11">
        <v>45450</v>
      </c>
      <c r="L460" s="11">
        <v>45495</v>
      </c>
      <c r="M460" s="2">
        <v>35000</v>
      </c>
      <c r="N460" s="2" t="s">
        <v>20</v>
      </c>
      <c r="O460" s="2" t="s">
        <v>38</v>
      </c>
    </row>
    <row r="461" spans="3:15">
      <c r="C461" s="3" t="s">
        <v>1211</v>
      </c>
      <c r="D461" s="2" t="s">
        <v>358</v>
      </c>
      <c r="E461" s="3">
        <v>25</v>
      </c>
      <c r="F461" t="str">
        <f t="shared" si="7"/>
        <v>Young Adult</v>
      </c>
      <c r="G461" s="3" t="s">
        <v>14</v>
      </c>
      <c r="H461" s="2" t="s">
        <v>58</v>
      </c>
      <c r="I461" s="2" t="s">
        <v>34</v>
      </c>
      <c r="J461" s="2" t="s">
        <v>53</v>
      </c>
      <c r="K461" s="11">
        <v>45410</v>
      </c>
      <c r="L461" s="11">
        <v>45439</v>
      </c>
      <c r="M461" s="3">
        <v>8000</v>
      </c>
      <c r="N461" s="3" t="s">
        <v>67</v>
      </c>
      <c r="O461" s="3" t="s">
        <v>55</v>
      </c>
    </row>
    <row r="462" spans="3:15">
      <c r="C462" s="2" t="s">
        <v>1213</v>
      </c>
      <c r="D462" s="2" t="s">
        <v>774</v>
      </c>
      <c r="E462" s="2">
        <v>4</v>
      </c>
      <c r="F462" t="str">
        <f t="shared" si="7"/>
        <v>Child</v>
      </c>
      <c r="G462" s="2" t="s">
        <v>32</v>
      </c>
      <c r="H462" s="2" t="s">
        <v>85</v>
      </c>
      <c r="I462" s="2" t="s">
        <v>42</v>
      </c>
      <c r="J462" s="2" t="s">
        <v>104</v>
      </c>
      <c r="K462" s="11">
        <v>45320</v>
      </c>
      <c r="L462" s="11">
        <v>45331</v>
      </c>
      <c r="M462" s="2">
        <v>8000</v>
      </c>
      <c r="N462" s="2" t="s">
        <v>29</v>
      </c>
      <c r="O462" s="2" t="s">
        <v>55</v>
      </c>
    </row>
    <row r="463" spans="3:15">
      <c r="C463" s="3" t="s">
        <v>1215</v>
      </c>
      <c r="D463" s="2" t="s">
        <v>2040</v>
      </c>
      <c r="E463" s="3">
        <v>53</v>
      </c>
      <c r="F463" t="str">
        <f t="shared" si="7"/>
        <v>Middle Age</v>
      </c>
      <c r="G463" s="3" t="s">
        <v>14</v>
      </c>
      <c r="H463" s="2" t="s">
        <v>52</v>
      </c>
      <c r="I463" s="2" t="s">
        <v>132</v>
      </c>
      <c r="J463" s="2" t="s">
        <v>17</v>
      </c>
      <c r="K463" s="11">
        <v>45320</v>
      </c>
      <c r="L463" s="11">
        <v>45325</v>
      </c>
      <c r="M463" s="3">
        <v>100000</v>
      </c>
      <c r="N463" s="3" t="s">
        <v>67</v>
      </c>
      <c r="O463" s="3" t="s">
        <v>21</v>
      </c>
    </row>
    <row r="464" spans="3:15">
      <c r="C464" s="2" t="s">
        <v>1217</v>
      </c>
      <c r="D464" s="2" t="s">
        <v>820</v>
      </c>
      <c r="E464" s="2">
        <v>58</v>
      </c>
      <c r="F464" t="str">
        <f t="shared" si="7"/>
        <v>Middle Age</v>
      </c>
      <c r="G464" s="2" t="s">
        <v>32</v>
      </c>
      <c r="H464" s="2" t="s">
        <v>58</v>
      </c>
      <c r="I464" s="2" t="s">
        <v>127</v>
      </c>
      <c r="J464" s="2" t="s">
        <v>53</v>
      </c>
      <c r="K464" s="11">
        <v>45531</v>
      </c>
      <c r="L464" s="11">
        <v>45556</v>
      </c>
      <c r="M464" s="2">
        <v>20000</v>
      </c>
      <c r="N464" s="2" t="s">
        <v>29</v>
      </c>
      <c r="O464" s="2" t="s">
        <v>21</v>
      </c>
    </row>
    <row r="465" spans="3:15">
      <c r="C465" s="3" t="s">
        <v>1219</v>
      </c>
      <c r="D465" s="2" t="s">
        <v>1216</v>
      </c>
      <c r="E465" s="3">
        <v>38</v>
      </c>
      <c r="F465" t="str">
        <f t="shared" si="7"/>
        <v>Young Adult</v>
      </c>
      <c r="G465" s="3" t="s">
        <v>32</v>
      </c>
      <c r="H465" s="2" t="s">
        <v>52</v>
      </c>
      <c r="I465" s="2" t="s">
        <v>16</v>
      </c>
      <c r="J465" s="2" t="s">
        <v>26</v>
      </c>
      <c r="K465" s="11">
        <v>45513</v>
      </c>
      <c r="L465" s="11">
        <v>45547</v>
      </c>
      <c r="M465" s="3">
        <v>0</v>
      </c>
      <c r="N465" s="3" t="s">
        <v>67</v>
      </c>
      <c r="O465" s="3" t="s">
        <v>87</v>
      </c>
    </row>
    <row r="466" spans="3:15">
      <c r="C466" s="2" t="s">
        <v>1222</v>
      </c>
      <c r="D466" s="2" t="s">
        <v>1218</v>
      </c>
      <c r="E466" s="2">
        <v>42</v>
      </c>
      <c r="F466" t="str">
        <f t="shared" si="7"/>
        <v>Middle Age</v>
      </c>
      <c r="G466" s="2" t="s">
        <v>14</v>
      </c>
      <c r="H466" s="2" t="s">
        <v>33</v>
      </c>
      <c r="I466" s="2" t="s">
        <v>16</v>
      </c>
      <c r="J466" s="2" t="s">
        <v>17</v>
      </c>
      <c r="K466" s="11">
        <v>45368</v>
      </c>
      <c r="L466" s="11">
        <v>45372</v>
      </c>
      <c r="M466" s="2">
        <v>20000</v>
      </c>
      <c r="N466" s="2" t="s">
        <v>29</v>
      </c>
      <c r="O466" s="2" t="s">
        <v>55</v>
      </c>
    </row>
    <row r="467" spans="3:15">
      <c r="C467" s="3" t="s">
        <v>1223</v>
      </c>
      <c r="D467" s="2" t="s">
        <v>1220</v>
      </c>
      <c r="E467" s="3">
        <v>62</v>
      </c>
      <c r="F467" t="str">
        <f t="shared" si="7"/>
        <v>Senior</v>
      </c>
      <c r="G467" s="3" t="s">
        <v>32</v>
      </c>
      <c r="H467" s="2" t="s">
        <v>52</v>
      </c>
      <c r="I467" s="2" t="s">
        <v>16</v>
      </c>
      <c r="J467" s="2" t="s">
        <v>48</v>
      </c>
      <c r="K467" s="11">
        <v>45373</v>
      </c>
      <c r="L467" s="11">
        <v>45386</v>
      </c>
      <c r="M467" s="3">
        <v>5000</v>
      </c>
      <c r="N467" s="3" t="s">
        <v>37</v>
      </c>
      <c r="O467" s="3" t="s">
        <v>87</v>
      </c>
    </row>
    <row r="468" spans="3:15">
      <c r="C468" s="2" t="s">
        <v>1224</v>
      </c>
      <c r="D468" s="2" t="s">
        <v>278</v>
      </c>
      <c r="E468" s="2">
        <v>49</v>
      </c>
      <c r="F468" t="str">
        <f t="shared" si="7"/>
        <v>Middle Age</v>
      </c>
      <c r="G468" s="2" t="s">
        <v>32</v>
      </c>
      <c r="H468" s="2" t="s">
        <v>33</v>
      </c>
      <c r="I468" s="2" t="s">
        <v>42</v>
      </c>
      <c r="J468" s="2" t="s">
        <v>26</v>
      </c>
      <c r="K468" s="11">
        <v>45337</v>
      </c>
      <c r="L468" s="11">
        <v>45351</v>
      </c>
      <c r="M468" s="2">
        <v>5000</v>
      </c>
      <c r="N468" s="2" t="s">
        <v>20</v>
      </c>
      <c r="O468" s="2" t="s">
        <v>87</v>
      </c>
    </row>
    <row r="469" spans="3:15">
      <c r="C469" s="3" t="s">
        <v>1225</v>
      </c>
      <c r="D469" s="2" t="s">
        <v>721</v>
      </c>
      <c r="E469" s="3">
        <v>55</v>
      </c>
      <c r="F469" t="str">
        <f t="shared" si="7"/>
        <v>Middle Age</v>
      </c>
      <c r="G469" s="3" t="s">
        <v>32</v>
      </c>
      <c r="H469" s="2" t="s">
        <v>15</v>
      </c>
      <c r="I469" s="2" t="s">
        <v>42</v>
      </c>
      <c r="J469" s="2" t="s">
        <v>53</v>
      </c>
      <c r="K469" s="11">
        <v>45410</v>
      </c>
      <c r="L469" s="11">
        <v>45424</v>
      </c>
      <c r="M469" s="3">
        <v>15000</v>
      </c>
      <c r="N469" s="3" t="s">
        <v>37</v>
      </c>
      <c r="O469" s="3" t="s">
        <v>55</v>
      </c>
    </row>
    <row r="470" spans="3:15">
      <c r="C470" s="2" t="s">
        <v>1228</v>
      </c>
      <c r="D470" s="2" t="s">
        <v>526</v>
      </c>
      <c r="E470" s="2">
        <v>72</v>
      </c>
      <c r="F470" t="str">
        <f t="shared" si="7"/>
        <v>Senior</v>
      </c>
      <c r="G470" s="2" t="s">
        <v>14</v>
      </c>
      <c r="H470" s="2" t="s">
        <v>33</v>
      </c>
      <c r="I470" s="2" t="s">
        <v>132</v>
      </c>
      <c r="J470" s="2" t="s">
        <v>104</v>
      </c>
      <c r="K470" s="11">
        <v>45536</v>
      </c>
      <c r="L470" s="11">
        <v>45316</v>
      </c>
      <c r="M470" s="2">
        <v>75000</v>
      </c>
      <c r="N470" s="2" t="s">
        <v>67</v>
      </c>
      <c r="O470" s="2" t="s">
        <v>38</v>
      </c>
    </row>
    <row r="471" spans="3:15">
      <c r="C471" s="3" t="s">
        <v>1230</v>
      </c>
      <c r="D471" s="2" t="s">
        <v>1226</v>
      </c>
      <c r="E471" s="3">
        <v>80</v>
      </c>
      <c r="F471" t="str">
        <f t="shared" si="7"/>
        <v>Senior</v>
      </c>
      <c r="G471" s="3" t="s">
        <v>32</v>
      </c>
      <c r="H471" s="2" t="s">
        <v>52</v>
      </c>
      <c r="I471" s="2" t="s">
        <v>25</v>
      </c>
      <c r="J471" s="2" t="s">
        <v>48</v>
      </c>
      <c r="K471" s="11">
        <v>45529</v>
      </c>
      <c r="L471" s="11">
        <v>45540</v>
      </c>
      <c r="M471" s="3">
        <v>15000</v>
      </c>
      <c r="N471" s="3" t="s">
        <v>29</v>
      </c>
      <c r="O471" s="3" t="s">
        <v>38</v>
      </c>
    </row>
    <row r="472" spans="3:15">
      <c r="C472" s="2" t="s">
        <v>1232</v>
      </c>
      <c r="D472" s="2" t="s">
        <v>1229</v>
      </c>
      <c r="E472" s="2">
        <v>44</v>
      </c>
      <c r="F472" t="str">
        <f t="shared" si="7"/>
        <v>Middle Age</v>
      </c>
      <c r="G472" s="2" t="s">
        <v>14</v>
      </c>
      <c r="H472" s="2" t="s">
        <v>52</v>
      </c>
      <c r="I472" s="2" t="s">
        <v>76</v>
      </c>
      <c r="J472" s="2" t="s">
        <v>99</v>
      </c>
      <c r="K472" s="11">
        <v>45425</v>
      </c>
      <c r="L472" s="11">
        <v>45431</v>
      </c>
      <c r="M472" s="2">
        <v>50000</v>
      </c>
      <c r="N472" s="2" t="s">
        <v>29</v>
      </c>
      <c r="O472" s="2" t="s">
        <v>38</v>
      </c>
    </row>
    <row r="473" spans="3:15">
      <c r="C473" s="3" t="s">
        <v>1233</v>
      </c>
      <c r="D473" s="2" t="s">
        <v>1231</v>
      </c>
      <c r="E473" s="3">
        <v>43</v>
      </c>
      <c r="F473" t="str">
        <f t="shared" si="7"/>
        <v>Middle Age</v>
      </c>
      <c r="G473" s="3" t="s">
        <v>32</v>
      </c>
      <c r="H473" s="2" t="s">
        <v>85</v>
      </c>
      <c r="I473" s="2" t="s">
        <v>34</v>
      </c>
      <c r="J473" s="2" t="s">
        <v>104</v>
      </c>
      <c r="K473" s="11">
        <v>45373</v>
      </c>
      <c r="L473" s="11">
        <v>45394</v>
      </c>
      <c r="M473" s="3">
        <v>35000</v>
      </c>
      <c r="N473" s="3" t="s">
        <v>29</v>
      </c>
      <c r="O473" s="3" t="s">
        <v>87</v>
      </c>
    </row>
    <row r="474" spans="3:15">
      <c r="C474" s="2" t="s">
        <v>1234</v>
      </c>
      <c r="D474" s="2" t="s">
        <v>866</v>
      </c>
      <c r="E474" s="2">
        <v>57</v>
      </c>
      <c r="F474" t="str">
        <f t="shared" si="7"/>
        <v>Middle Age</v>
      </c>
      <c r="G474" s="2" t="s">
        <v>32</v>
      </c>
      <c r="H474" s="2" t="s">
        <v>109</v>
      </c>
      <c r="I474" s="2" t="s">
        <v>25</v>
      </c>
      <c r="J474" s="2" t="s">
        <v>17</v>
      </c>
      <c r="K474" s="11">
        <v>45498</v>
      </c>
      <c r="L474" s="11">
        <v>45524</v>
      </c>
      <c r="M474" s="2">
        <v>12000</v>
      </c>
      <c r="N474" s="2" t="s">
        <v>67</v>
      </c>
      <c r="O474" s="2" t="s">
        <v>21</v>
      </c>
    </row>
    <row r="475" spans="3:15">
      <c r="C475" s="3" t="s">
        <v>1235</v>
      </c>
      <c r="D475" s="2" t="s">
        <v>814</v>
      </c>
      <c r="E475" s="3">
        <v>65</v>
      </c>
      <c r="F475" t="str">
        <f t="shared" si="7"/>
        <v>Senior</v>
      </c>
      <c r="G475" s="3" t="s">
        <v>14</v>
      </c>
      <c r="H475" s="2" t="s">
        <v>15</v>
      </c>
      <c r="I475" s="2" t="s">
        <v>25</v>
      </c>
      <c r="J475" s="2" t="s">
        <v>35</v>
      </c>
      <c r="K475" s="11">
        <v>45518</v>
      </c>
      <c r="L475" s="11">
        <v>45526</v>
      </c>
      <c r="M475" s="3">
        <v>35000</v>
      </c>
      <c r="N475" s="3" t="s">
        <v>29</v>
      </c>
      <c r="O475" s="3" t="s">
        <v>21</v>
      </c>
    </row>
    <row r="476" spans="3:15">
      <c r="C476" s="2" t="s">
        <v>1237</v>
      </c>
      <c r="D476" s="2" t="s">
        <v>529</v>
      </c>
      <c r="E476" s="2">
        <v>70</v>
      </c>
      <c r="F476" t="str">
        <f t="shared" si="7"/>
        <v>Senior</v>
      </c>
      <c r="G476" s="2" t="s">
        <v>338</v>
      </c>
      <c r="H476" s="2" t="s">
        <v>52</v>
      </c>
      <c r="I476" s="2" t="s">
        <v>34</v>
      </c>
      <c r="J476" s="2" t="s">
        <v>53</v>
      </c>
      <c r="K476" s="11">
        <v>45411</v>
      </c>
      <c r="L476" s="11">
        <v>45415</v>
      </c>
      <c r="M476" s="2">
        <v>25000</v>
      </c>
      <c r="N476" s="2" t="s">
        <v>37</v>
      </c>
      <c r="O476" s="2" t="s">
        <v>55</v>
      </c>
    </row>
    <row r="477" spans="3:15">
      <c r="C477" s="3" t="s">
        <v>1239</v>
      </c>
      <c r="D477" s="2" t="s">
        <v>1236</v>
      </c>
      <c r="E477" s="3">
        <v>34</v>
      </c>
      <c r="F477" t="str">
        <f t="shared" si="7"/>
        <v>Young Adult</v>
      </c>
      <c r="G477" s="3" t="s">
        <v>14</v>
      </c>
      <c r="H477" s="2" t="s">
        <v>70</v>
      </c>
      <c r="I477" s="2" t="s">
        <v>34</v>
      </c>
      <c r="J477" s="2" t="s">
        <v>48</v>
      </c>
      <c r="K477" s="11">
        <v>45631</v>
      </c>
      <c r="L477" s="11">
        <v>45429</v>
      </c>
      <c r="M477" s="3">
        <v>12000</v>
      </c>
      <c r="N477" s="3" t="s">
        <v>37</v>
      </c>
      <c r="O477" s="3" t="s">
        <v>55</v>
      </c>
    </row>
    <row r="478" spans="3:15">
      <c r="C478" s="3" t="s">
        <v>1241</v>
      </c>
      <c r="D478" s="2" t="s">
        <v>1384</v>
      </c>
      <c r="E478" s="2">
        <v>29</v>
      </c>
      <c r="F478" t="str">
        <f t="shared" si="7"/>
        <v>Young Adult</v>
      </c>
      <c r="G478" s="2" t="s">
        <v>32</v>
      </c>
      <c r="H478" s="2" t="s">
        <v>15</v>
      </c>
      <c r="I478" s="2" t="s">
        <v>34</v>
      </c>
      <c r="J478" s="2" t="s">
        <v>35</v>
      </c>
      <c r="K478" s="11">
        <v>45444</v>
      </c>
      <c r="L478" s="11">
        <v>45307</v>
      </c>
      <c r="M478" s="2">
        <v>8000</v>
      </c>
      <c r="N478" s="2" t="s">
        <v>20</v>
      </c>
      <c r="O478" s="2" t="s">
        <v>21</v>
      </c>
    </row>
    <row r="479" spans="3:15">
      <c r="C479" s="2" t="s">
        <v>1243</v>
      </c>
      <c r="D479" s="2" t="s">
        <v>2041</v>
      </c>
      <c r="E479" s="3">
        <v>37</v>
      </c>
      <c r="F479" t="str">
        <f t="shared" si="7"/>
        <v>Young Adult</v>
      </c>
      <c r="G479" s="3" t="s">
        <v>14</v>
      </c>
      <c r="H479" s="2" t="s">
        <v>85</v>
      </c>
      <c r="I479" s="2" t="s">
        <v>34</v>
      </c>
      <c r="J479" s="2" t="s">
        <v>17</v>
      </c>
      <c r="K479" s="11">
        <v>45304</v>
      </c>
      <c r="L479" s="11">
        <v>45314</v>
      </c>
      <c r="M479" s="3">
        <v>75000</v>
      </c>
      <c r="N479" s="3" t="s">
        <v>20</v>
      </c>
      <c r="O479" s="3" t="s">
        <v>87</v>
      </c>
    </row>
    <row r="480" spans="3:15">
      <c r="C480" s="2" t="s">
        <v>1246</v>
      </c>
      <c r="D480" s="2" t="s">
        <v>1240</v>
      </c>
      <c r="E480" s="2">
        <v>37</v>
      </c>
      <c r="F480" t="str">
        <f t="shared" si="7"/>
        <v>Young Adult</v>
      </c>
      <c r="G480" s="2" t="s">
        <v>14</v>
      </c>
      <c r="H480" s="2" t="s">
        <v>85</v>
      </c>
      <c r="I480" s="2" t="s">
        <v>34</v>
      </c>
      <c r="J480" s="2" t="s">
        <v>17</v>
      </c>
      <c r="K480" s="11">
        <v>45304</v>
      </c>
      <c r="L480" s="11">
        <v>45314</v>
      </c>
      <c r="M480" s="2">
        <v>75000</v>
      </c>
      <c r="N480" s="2" t="s">
        <v>20</v>
      </c>
      <c r="O480" s="2" t="s">
        <v>87</v>
      </c>
    </row>
    <row r="481" spans="3:15">
      <c r="C481" s="3" t="s">
        <v>1247</v>
      </c>
      <c r="D481" s="2" t="s">
        <v>1242</v>
      </c>
      <c r="E481" s="3">
        <v>69</v>
      </c>
      <c r="F481" t="str">
        <f t="shared" si="7"/>
        <v>Senior</v>
      </c>
      <c r="G481" s="3" t="s">
        <v>14</v>
      </c>
      <c r="H481" s="2" t="s">
        <v>109</v>
      </c>
      <c r="I481" s="2" t="s">
        <v>34</v>
      </c>
      <c r="J481" s="2" t="s">
        <v>99</v>
      </c>
      <c r="K481" s="11">
        <v>45293</v>
      </c>
      <c r="L481" s="11">
        <v>45330</v>
      </c>
      <c r="M481" s="3">
        <v>5000</v>
      </c>
      <c r="N481" s="3" t="s">
        <v>37</v>
      </c>
      <c r="O481" s="3" t="s">
        <v>55</v>
      </c>
    </row>
    <row r="482" spans="3:15">
      <c r="C482" s="2" t="s">
        <v>1250</v>
      </c>
      <c r="D482" s="2" t="s">
        <v>1244</v>
      </c>
      <c r="E482" s="2">
        <v>89</v>
      </c>
      <c r="F482" t="str">
        <f t="shared" si="7"/>
        <v>Senior</v>
      </c>
      <c r="G482" s="2" t="s">
        <v>32</v>
      </c>
      <c r="H482" s="2" t="s">
        <v>33</v>
      </c>
      <c r="I482" s="2" t="s">
        <v>42</v>
      </c>
      <c r="J482" s="2" t="s">
        <v>17</v>
      </c>
      <c r="K482" s="11">
        <v>45507</v>
      </c>
      <c r="L482" s="11">
        <v>45381</v>
      </c>
      <c r="M482" s="2">
        <v>8000</v>
      </c>
      <c r="N482" s="2" t="s">
        <v>20</v>
      </c>
      <c r="O482" s="2" t="s">
        <v>87</v>
      </c>
    </row>
    <row r="483" spans="3:15">
      <c r="C483" s="3" t="s">
        <v>1252</v>
      </c>
      <c r="D483" s="2" t="s">
        <v>1244</v>
      </c>
      <c r="E483" s="3">
        <v>89</v>
      </c>
      <c r="F483" t="str">
        <f t="shared" si="7"/>
        <v>Senior</v>
      </c>
      <c r="G483" s="3" t="s">
        <v>32</v>
      </c>
      <c r="H483" s="2" t="s">
        <v>33</v>
      </c>
      <c r="I483" s="2" t="s">
        <v>42</v>
      </c>
      <c r="J483" s="2" t="s">
        <v>17</v>
      </c>
      <c r="K483" s="11">
        <v>45359</v>
      </c>
      <c r="L483" s="11">
        <v>45381</v>
      </c>
      <c r="M483" s="3">
        <v>8000</v>
      </c>
      <c r="N483" s="3" t="s">
        <v>20</v>
      </c>
      <c r="O483" s="3" t="s">
        <v>87</v>
      </c>
    </row>
    <row r="484" spans="3:15">
      <c r="C484" s="2" t="s">
        <v>1255</v>
      </c>
      <c r="D484" s="2" t="s">
        <v>866</v>
      </c>
      <c r="E484" s="2">
        <v>69</v>
      </c>
      <c r="F484" t="str">
        <f t="shared" si="7"/>
        <v>Senior</v>
      </c>
      <c r="G484" s="2" t="s">
        <v>775</v>
      </c>
      <c r="H484" s="2" t="s">
        <v>52</v>
      </c>
      <c r="I484" s="2" t="s">
        <v>34</v>
      </c>
      <c r="J484" s="2" t="s">
        <v>26</v>
      </c>
      <c r="K484" s="11">
        <v>45322</v>
      </c>
      <c r="L484" s="11">
        <v>45338</v>
      </c>
      <c r="M484" s="2">
        <v>25000</v>
      </c>
      <c r="N484" s="2" t="s">
        <v>20</v>
      </c>
      <c r="O484" s="2" t="s">
        <v>38</v>
      </c>
    </row>
    <row r="485" spans="3:15">
      <c r="C485" s="3" t="s">
        <v>1256</v>
      </c>
      <c r="D485" s="2" t="s">
        <v>1248</v>
      </c>
      <c r="E485" s="3">
        <v>69</v>
      </c>
      <c r="F485" t="str">
        <f t="shared" si="7"/>
        <v>Senior</v>
      </c>
      <c r="G485" s="3" t="s">
        <v>14</v>
      </c>
      <c r="H485" s="2" t="s">
        <v>58</v>
      </c>
      <c r="I485" s="2" t="s">
        <v>42</v>
      </c>
      <c r="J485" s="2" t="s">
        <v>48</v>
      </c>
      <c r="K485" s="11">
        <v>45566</v>
      </c>
      <c r="L485" s="11">
        <v>45590</v>
      </c>
      <c r="M485" s="3">
        <v>100000</v>
      </c>
      <c r="N485" s="3" t="s">
        <v>37</v>
      </c>
      <c r="O485" s="3" t="s">
        <v>55</v>
      </c>
    </row>
    <row r="486" spans="3:15">
      <c r="C486" s="2" t="s">
        <v>1259</v>
      </c>
      <c r="D486" s="2" t="s">
        <v>1251</v>
      </c>
      <c r="E486" s="2">
        <v>6</v>
      </c>
      <c r="F486" t="str">
        <f t="shared" si="7"/>
        <v>Child</v>
      </c>
      <c r="G486" s="2" t="s">
        <v>14</v>
      </c>
      <c r="H486" s="2" t="s">
        <v>15</v>
      </c>
      <c r="I486" s="2" t="s">
        <v>132</v>
      </c>
      <c r="J486" s="2" t="s">
        <v>99</v>
      </c>
      <c r="K486" s="11">
        <v>45398</v>
      </c>
      <c r="L486" s="11">
        <v>45408</v>
      </c>
      <c r="M486" s="2">
        <v>100000</v>
      </c>
      <c r="N486" s="2" t="s">
        <v>67</v>
      </c>
      <c r="O486" s="2" t="s">
        <v>87</v>
      </c>
    </row>
    <row r="487" spans="3:15">
      <c r="C487" s="3" t="s">
        <v>1261</v>
      </c>
      <c r="D487" s="2" t="s">
        <v>781</v>
      </c>
      <c r="E487" s="3">
        <v>27</v>
      </c>
      <c r="F487" t="str">
        <f t="shared" si="7"/>
        <v>Young Adult</v>
      </c>
      <c r="G487" s="3" t="s">
        <v>14</v>
      </c>
      <c r="H487" s="2" t="s">
        <v>33</v>
      </c>
      <c r="I487" s="2" t="s">
        <v>25</v>
      </c>
      <c r="J487" s="2" t="s">
        <v>35</v>
      </c>
      <c r="K487" s="11">
        <v>45483</v>
      </c>
      <c r="L487" s="11">
        <v>45594</v>
      </c>
      <c r="M487" s="3">
        <v>100000</v>
      </c>
      <c r="N487" s="3" t="s">
        <v>37</v>
      </c>
      <c r="O487" s="3" t="s">
        <v>87</v>
      </c>
    </row>
    <row r="488" spans="3:15">
      <c r="C488" s="2" t="s">
        <v>1263</v>
      </c>
      <c r="D488" s="2" t="s">
        <v>657</v>
      </c>
      <c r="E488" s="2">
        <v>48</v>
      </c>
      <c r="F488" t="str">
        <f t="shared" si="7"/>
        <v>Middle Age</v>
      </c>
      <c r="G488" s="2" t="s">
        <v>32</v>
      </c>
      <c r="H488" s="2" t="s">
        <v>70</v>
      </c>
      <c r="I488" s="2" t="s">
        <v>25</v>
      </c>
      <c r="J488" s="2" t="s">
        <v>53</v>
      </c>
      <c r="K488" s="11">
        <v>45599</v>
      </c>
      <c r="L488" s="11">
        <v>45392</v>
      </c>
      <c r="M488" s="2">
        <v>100000</v>
      </c>
      <c r="N488" s="2" t="s">
        <v>37</v>
      </c>
      <c r="O488" s="2" t="s">
        <v>55</v>
      </c>
    </row>
    <row r="489" spans="3:15">
      <c r="C489" s="3" t="s">
        <v>1264</v>
      </c>
      <c r="D489" s="2" t="s">
        <v>1257</v>
      </c>
      <c r="E489" s="3">
        <v>47</v>
      </c>
      <c r="F489" t="str">
        <f t="shared" si="7"/>
        <v>Middle Age</v>
      </c>
      <c r="G489" s="3" t="s">
        <v>14</v>
      </c>
      <c r="H489" s="2" t="s">
        <v>33</v>
      </c>
      <c r="I489" s="2" t="s">
        <v>76</v>
      </c>
      <c r="J489" s="2" t="s">
        <v>104</v>
      </c>
      <c r="K489" s="11">
        <v>45364</v>
      </c>
      <c r="L489" s="11">
        <v>45369</v>
      </c>
      <c r="M489" s="3">
        <v>35000</v>
      </c>
      <c r="N489" s="3" t="s">
        <v>67</v>
      </c>
      <c r="O489" s="3" t="s">
        <v>21</v>
      </c>
    </row>
    <row r="490" spans="3:15">
      <c r="C490" s="2" t="s">
        <v>1266</v>
      </c>
      <c r="D490" s="2" t="s">
        <v>212</v>
      </c>
      <c r="E490" s="2">
        <v>79</v>
      </c>
      <c r="F490" t="str">
        <f t="shared" si="7"/>
        <v>Senior</v>
      </c>
      <c r="G490" s="2" t="s">
        <v>32</v>
      </c>
      <c r="H490" s="2" t="s">
        <v>70</v>
      </c>
      <c r="I490" s="2" t="s">
        <v>16</v>
      </c>
      <c r="J490" s="2" t="s">
        <v>17</v>
      </c>
      <c r="K490" s="11">
        <v>45538</v>
      </c>
      <c r="L490" s="11">
        <v>45387</v>
      </c>
      <c r="M490" s="2">
        <v>8000</v>
      </c>
      <c r="N490" s="2" t="s">
        <v>37</v>
      </c>
      <c r="O490" s="2" t="s">
        <v>38</v>
      </c>
    </row>
    <row r="491" spans="3:15">
      <c r="C491" s="3" t="s">
        <v>1268</v>
      </c>
      <c r="D491" s="2" t="s">
        <v>1262</v>
      </c>
      <c r="E491" s="3">
        <v>65</v>
      </c>
      <c r="F491" t="str">
        <f t="shared" si="7"/>
        <v>Senior</v>
      </c>
      <c r="G491" s="3" t="s">
        <v>32</v>
      </c>
      <c r="H491" s="2" t="s">
        <v>58</v>
      </c>
      <c r="I491" s="2" t="s">
        <v>132</v>
      </c>
      <c r="J491" s="2" t="s">
        <v>17</v>
      </c>
      <c r="K491" s="11">
        <v>45387</v>
      </c>
      <c r="L491" s="11">
        <v>45430</v>
      </c>
      <c r="M491" s="3">
        <v>15000</v>
      </c>
      <c r="N491" s="3" t="s">
        <v>67</v>
      </c>
      <c r="O491" s="3" t="s">
        <v>55</v>
      </c>
    </row>
    <row r="492" spans="3:15">
      <c r="C492" s="2" t="s">
        <v>1270</v>
      </c>
      <c r="D492" s="2" t="s">
        <v>1203</v>
      </c>
      <c r="E492" s="2">
        <v>47</v>
      </c>
      <c r="F492" t="str">
        <f t="shared" si="7"/>
        <v>Middle Age</v>
      </c>
      <c r="G492" s="2" t="s">
        <v>32</v>
      </c>
      <c r="H492" s="2" t="s">
        <v>15</v>
      </c>
      <c r="I492" s="2" t="s">
        <v>132</v>
      </c>
      <c r="J492" s="2" t="s">
        <v>104</v>
      </c>
      <c r="K492" s="11">
        <v>45542</v>
      </c>
      <c r="L492" s="11">
        <v>45495</v>
      </c>
      <c r="M492" s="2">
        <v>5000</v>
      </c>
      <c r="N492" s="2" t="s">
        <v>67</v>
      </c>
      <c r="O492" s="2" t="s">
        <v>87</v>
      </c>
    </row>
    <row r="493" spans="3:15">
      <c r="C493" s="3" t="s">
        <v>1272</v>
      </c>
      <c r="D493" s="2" t="s">
        <v>1265</v>
      </c>
      <c r="E493" s="3">
        <v>23</v>
      </c>
      <c r="F493" t="str">
        <f t="shared" si="7"/>
        <v>Young Adult</v>
      </c>
      <c r="G493" s="3" t="s">
        <v>32</v>
      </c>
      <c r="H493" s="2" t="s">
        <v>33</v>
      </c>
      <c r="I493" s="2" t="s">
        <v>132</v>
      </c>
      <c r="J493" s="2" t="s">
        <v>53</v>
      </c>
      <c r="K493" s="11">
        <v>45574</v>
      </c>
      <c r="L493" s="11">
        <v>45569</v>
      </c>
      <c r="M493" s="3">
        <v>20000</v>
      </c>
      <c r="N493" s="3" t="s">
        <v>67</v>
      </c>
      <c r="O493" s="3" t="s">
        <v>38</v>
      </c>
    </row>
    <row r="494" spans="3:15">
      <c r="C494" s="2" t="s">
        <v>1273</v>
      </c>
      <c r="D494" s="2" t="s">
        <v>1267</v>
      </c>
      <c r="E494" s="2">
        <v>85</v>
      </c>
      <c r="F494" t="str">
        <f t="shared" si="7"/>
        <v>Senior</v>
      </c>
      <c r="G494" s="2" t="s">
        <v>14</v>
      </c>
      <c r="H494" s="2" t="s">
        <v>109</v>
      </c>
      <c r="I494" s="2" t="s">
        <v>42</v>
      </c>
      <c r="J494" s="2" t="s">
        <v>17</v>
      </c>
      <c r="K494" s="11">
        <v>45629</v>
      </c>
      <c r="L494" s="11">
        <v>45388</v>
      </c>
      <c r="M494" s="2">
        <v>12000</v>
      </c>
      <c r="N494" s="2" t="s">
        <v>20</v>
      </c>
      <c r="O494" s="2" t="s">
        <v>87</v>
      </c>
    </row>
    <row r="495" spans="3:15">
      <c r="C495" s="3" t="s">
        <v>1274</v>
      </c>
      <c r="D495" s="2" t="s">
        <v>674</v>
      </c>
      <c r="E495" s="3">
        <v>13</v>
      </c>
      <c r="F495" t="str">
        <f t="shared" si="7"/>
        <v>Child</v>
      </c>
      <c r="G495" s="3" t="s">
        <v>14</v>
      </c>
      <c r="H495" s="2" t="s">
        <v>15</v>
      </c>
      <c r="I495" s="2" t="s">
        <v>42</v>
      </c>
      <c r="J495" s="2" t="s">
        <v>99</v>
      </c>
      <c r="K495" s="11">
        <v>45552</v>
      </c>
      <c r="L495" s="11">
        <v>45562</v>
      </c>
      <c r="M495" s="3">
        <v>100000</v>
      </c>
      <c r="N495" s="3" t="s">
        <v>29</v>
      </c>
      <c r="O495" s="3" t="s">
        <v>55</v>
      </c>
    </row>
    <row r="496" spans="3:15">
      <c r="C496" s="2" t="s">
        <v>1276</v>
      </c>
      <c r="D496" s="2" t="s">
        <v>1271</v>
      </c>
      <c r="E496" s="2">
        <v>47</v>
      </c>
      <c r="F496" t="str">
        <f t="shared" si="7"/>
        <v>Middle Age</v>
      </c>
      <c r="G496" s="2" t="s">
        <v>32</v>
      </c>
      <c r="H496" s="2" t="s">
        <v>58</v>
      </c>
      <c r="I496" s="2" t="s">
        <v>34</v>
      </c>
      <c r="J496" s="2" t="s">
        <v>17</v>
      </c>
      <c r="K496" s="11">
        <v>45499</v>
      </c>
      <c r="L496" s="11">
        <v>45528</v>
      </c>
      <c r="M496" s="2">
        <v>100000</v>
      </c>
      <c r="N496" s="2" t="s">
        <v>20</v>
      </c>
      <c r="O496" s="2" t="s">
        <v>55</v>
      </c>
    </row>
    <row r="497" spans="3:15">
      <c r="C497" s="3" t="s">
        <v>1278</v>
      </c>
      <c r="D497" s="2" t="s">
        <v>1191</v>
      </c>
      <c r="E497" s="3">
        <v>71</v>
      </c>
      <c r="F497" t="str">
        <f t="shared" si="7"/>
        <v>Senior</v>
      </c>
      <c r="G497" s="3" t="s">
        <v>32</v>
      </c>
      <c r="H497" s="2" t="s">
        <v>15</v>
      </c>
      <c r="I497" s="2" t="s">
        <v>25</v>
      </c>
      <c r="J497" s="2" t="s">
        <v>104</v>
      </c>
      <c r="K497" s="11">
        <v>45371</v>
      </c>
      <c r="L497" s="11">
        <v>45401</v>
      </c>
      <c r="M497" s="3">
        <v>75000</v>
      </c>
      <c r="N497" s="3" t="s">
        <v>37</v>
      </c>
      <c r="O497" s="3" t="s">
        <v>55</v>
      </c>
    </row>
    <row r="498" spans="3:15">
      <c r="C498" s="2" t="s">
        <v>1280</v>
      </c>
      <c r="D498" s="2" t="s">
        <v>845</v>
      </c>
      <c r="E498" s="2">
        <v>43</v>
      </c>
      <c r="F498" t="str">
        <f t="shared" si="7"/>
        <v>Middle Age</v>
      </c>
      <c r="G498" s="2" t="s">
        <v>32</v>
      </c>
      <c r="H498" s="2" t="s">
        <v>85</v>
      </c>
      <c r="I498" s="2" t="s">
        <v>42</v>
      </c>
      <c r="J498" s="2" t="s">
        <v>99</v>
      </c>
      <c r="K498" s="11">
        <v>45467</v>
      </c>
      <c r="L498" s="11">
        <v>45488</v>
      </c>
      <c r="M498" s="2">
        <v>35000</v>
      </c>
      <c r="N498" s="2" t="s">
        <v>20</v>
      </c>
      <c r="O498" s="2" t="s">
        <v>87</v>
      </c>
    </row>
    <row r="499" spans="3:15">
      <c r="C499" s="3" t="s">
        <v>1282</v>
      </c>
      <c r="D499" s="2" t="s">
        <v>1275</v>
      </c>
      <c r="E499" s="3">
        <v>42</v>
      </c>
      <c r="F499" t="str">
        <f t="shared" si="7"/>
        <v>Middle Age</v>
      </c>
      <c r="G499" s="3" t="s">
        <v>32</v>
      </c>
      <c r="H499" s="2" t="s">
        <v>52</v>
      </c>
      <c r="I499" s="2" t="s">
        <v>16</v>
      </c>
      <c r="J499" s="2" t="s">
        <v>48</v>
      </c>
      <c r="K499" s="11">
        <v>45555</v>
      </c>
      <c r="L499" s="11">
        <v>45583</v>
      </c>
      <c r="M499" s="3">
        <v>100000</v>
      </c>
      <c r="N499" s="3" t="s">
        <v>37</v>
      </c>
      <c r="O499" s="3" t="s">
        <v>55</v>
      </c>
    </row>
    <row r="500" spans="3:15">
      <c r="C500" s="2" t="s">
        <v>1285</v>
      </c>
      <c r="D500" s="2" t="s">
        <v>1194</v>
      </c>
      <c r="E500" s="2">
        <v>32</v>
      </c>
      <c r="F500" t="str">
        <f t="shared" si="7"/>
        <v>Young Adult</v>
      </c>
      <c r="G500" s="2" t="s">
        <v>32</v>
      </c>
      <c r="H500" s="2" t="s">
        <v>70</v>
      </c>
      <c r="I500" s="2" t="s">
        <v>132</v>
      </c>
      <c r="J500" s="2" t="s">
        <v>104</v>
      </c>
      <c r="K500" s="11">
        <v>45433</v>
      </c>
      <c r="L500" s="11">
        <v>45446</v>
      </c>
      <c r="M500" s="2">
        <v>75000</v>
      </c>
      <c r="N500" s="2" t="s">
        <v>29</v>
      </c>
      <c r="O500" s="2" t="s">
        <v>87</v>
      </c>
    </row>
    <row r="501" spans="3:15">
      <c r="C501" s="3" t="s">
        <v>1287</v>
      </c>
      <c r="D501" s="2" t="s">
        <v>1279</v>
      </c>
      <c r="E501" s="3">
        <v>45</v>
      </c>
      <c r="F501" t="str">
        <f t="shared" si="7"/>
        <v>Middle Age</v>
      </c>
      <c r="G501" s="3" t="s">
        <v>14</v>
      </c>
      <c r="H501" s="2" t="s">
        <v>33</v>
      </c>
      <c r="I501" s="2" t="s">
        <v>76</v>
      </c>
      <c r="J501" s="2" t="s">
        <v>17</v>
      </c>
      <c r="K501" s="11">
        <v>45370</v>
      </c>
      <c r="L501" s="11">
        <v>45380</v>
      </c>
      <c r="M501" s="3">
        <v>50000</v>
      </c>
      <c r="N501" s="3" t="s">
        <v>37</v>
      </c>
      <c r="O501" s="3" t="s">
        <v>55</v>
      </c>
    </row>
    <row r="502" spans="3:15">
      <c r="C502" s="2" t="s">
        <v>1288</v>
      </c>
      <c r="D502" s="2" t="s">
        <v>1281</v>
      </c>
      <c r="E502" s="2">
        <v>90</v>
      </c>
      <c r="F502" t="str">
        <f t="shared" si="7"/>
        <v>Senior</v>
      </c>
      <c r="G502" s="2" t="s">
        <v>14</v>
      </c>
      <c r="H502" s="2" t="s">
        <v>109</v>
      </c>
      <c r="I502" s="2" t="s">
        <v>42</v>
      </c>
      <c r="J502" s="2" t="s">
        <v>99</v>
      </c>
      <c r="K502" s="11">
        <v>45568</v>
      </c>
      <c r="L502" s="11">
        <v>45385</v>
      </c>
      <c r="M502" s="2">
        <v>35000</v>
      </c>
      <c r="N502" s="2" t="s">
        <v>37</v>
      </c>
      <c r="O502" s="2" t="s">
        <v>21</v>
      </c>
    </row>
    <row r="503" spans="3:15">
      <c r="C503" s="3" t="s">
        <v>1290</v>
      </c>
      <c r="D503" s="2" t="s">
        <v>1283</v>
      </c>
      <c r="E503" s="3" t="s">
        <v>775</v>
      </c>
      <c r="F503" t="str">
        <f t="shared" si="7"/>
        <v>Unknown</v>
      </c>
      <c r="G503" s="3" t="s">
        <v>14</v>
      </c>
      <c r="H503" s="2" t="s">
        <v>33</v>
      </c>
      <c r="I503" s="2" t="s">
        <v>127</v>
      </c>
      <c r="J503" s="2" t="s">
        <v>53</v>
      </c>
      <c r="K503" s="11">
        <v>45339</v>
      </c>
      <c r="L503" s="11">
        <v>45361</v>
      </c>
      <c r="M503" s="3">
        <v>35000</v>
      </c>
      <c r="N503" s="3" t="s">
        <v>29</v>
      </c>
      <c r="O503" s="3" t="s">
        <v>55</v>
      </c>
    </row>
    <row r="504" spans="3:15">
      <c r="C504" s="2" t="s">
        <v>1293</v>
      </c>
      <c r="D504" s="2" t="s">
        <v>1286</v>
      </c>
      <c r="E504" s="2">
        <v>62</v>
      </c>
      <c r="F504" t="str">
        <f t="shared" si="7"/>
        <v>Senior</v>
      </c>
      <c r="G504" s="2" t="s">
        <v>32</v>
      </c>
      <c r="H504" s="2" t="s">
        <v>33</v>
      </c>
      <c r="I504" s="2" t="s">
        <v>132</v>
      </c>
      <c r="J504" s="2" t="s">
        <v>99</v>
      </c>
      <c r="K504" s="11">
        <v>45444</v>
      </c>
      <c r="L504" s="11">
        <v>45308</v>
      </c>
      <c r="M504" s="2">
        <v>8000</v>
      </c>
      <c r="N504" s="2" t="s">
        <v>20</v>
      </c>
      <c r="O504" s="2" t="s">
        <v>21</v>
      </c>
    </row>
    <row r="505" spans="3:15">
      <c r="C505" s="3" t="s">
        <v>1294</v>
      </c>
      <c r="D505" s="2" t="s">
        <v>916</v>
      </c>
      <c r="E505" s="3">
        <v>63</v>
      </c>
      <c r="F505" t="str">
        <f t="shared" si="7"/>
        <v>Senior</v>
      </c>
      <c r="G505" s="3" t="s">
        <v>14</v>
      </c>
      <c r="H505" s="2" t="s">
        <v>85</v>
      </c>
      <c r="I505" s="2" t="s">
        <v>42</v>
      </c>
      <c r="J505" s="2" t="s">
        <v>35</v>
      </c>
      <c r="K505" s="11">
        <v>45561</v>
      </c>
      <c r="L505" s="11">
        <v>45564</v>
      </c>
      <c r="M505" s="3">
        <v>25000</v>
      </c>
      <c r="N505" s="3" t="s">
        <v>37</v>
      </c>
      <c r="O505" s="3" t="s">
        <v>55</v>
      </c>
    </row>
    <row r="506" spans="3:15">
      <c r="C506" s="2" t="s">
        <v>1296</v>
      </c>
      <c r="D506" s="2" t="s">
        <v>744</v>
      </c>
      <c r="E506" s="2">
        <v>38</v>
      </c>
      <c r="F506" t="str">
        <f t="shared" si="7"/>
        <v>Young Adult</v>
      </c>
      <c r="G506" s="2" t="s">
        <v>14</v>
      </c>
      <c r="H506" s="2" t="s">
        <v>15</v>
      </c>
      <c r="I506" s="2" t="s">
        <v>76</v>
      </c>
      <c r="J506" s="2" t="s">
        <v>104</v>
      </c>
      <c r="K506" s="11">
        <v>45439</v>
      </c>
      <c r="L506" s="11">
        <v>45457</v>
      </c>
      <c r="M506" s="2">
        <v>35000</v>
      </c>
      <c r="N506" s="2" t="s">
        <v>67</v>
      </c>
      <c r="O506" s="2" t="s">
        <v>38</v>
      </c>
    </row>
    <row r="507" spans="3:15">
      <c r="C507" s="3" t="s">
        <v>1298</v>
      </c>
      <c r="D507" s="2" t="s">
        <v>278</v>
      </c>
      <c r="E507" s="3">
        <v>6</v>
      </c>
      <c r="F507" t="str">
        <f t="shared" si="7"/>
        <v>Child</v>
      </c>
      <c r="G507" s="3" t="s">
        <v>32</v>
      </c>
      <c r="H507" s="2" t="s">
        <v>52</v>
      </c>
      <c r="I507" s="2" t="s">
        <v>16</v>
      </c>
      <c r="J507" s="2" t="s">
        <v>17</v>
      </c>
      <c r="K507" s="11">
        <v>45597</v>
      </c>
      <c r="L507" s="11">
        <v>45303</v>
      </c>
      <c r="M507" s="3">
        <v>12000</v>
      </c>
      <c r="N507" s="3" t="s">
        <v>37</v>
      </c>
      <c r="O507" s="3" t="s">
        <v>55</v>
      </c>
    </row>
    <row r="508" spans="3:15">
      <c r="C508" s="2" t="s">
        <v>1299</v>
      </c>
      <c r="D508" s="2" t="s">
        <v>630</v>
      </c>
      <c r="E508" s="2">
        <v>56</v>
      </c>
      <c r="F508" t="str">
        <f t="shared" si="7"/>
        <v>Middle Age</v>
      </c>
      <c r="G508" s="2" t="s">
        <v>32</v>
      </c>
      <c r="H508" s="2" t="s">
        <v>85</v>
      </c>
      <c r="I508" s="2" t="s">
        <v>42</v>
      </c>
      <c r="J508" s="2" t="s">
        <v>26</v>
      </c>
      <c r="K508" s="11">
        <v>45347</v>
      </c>
      <c r="L508" s="11">
        <v>45363</v>
      </c>
      <c r="M508" s="2">
        <v>100000</v>
      </c>
      <c r="N508" s="2" t="s">
        <v>37</v>
      </c>
      <c r="O508" s="2" t="s">
        <v>21</v>
      </c>
    </row>
    <row r="509" spans="3:15">
      <c r="C509" s="3" t="s">
        <v>1300</v>
      </c>
      <c r="D509" s="2" t="s">
        <v>1295</v>
      </c>
      <c r="E509" s="3">
        <v>66</v>
      </c>
      <c r="F509" t="str">
        <f t="shared" si="7"/>
        <v>Senior</v>
      </c>
      <c r="G509" s="3" t="s">
        <v>41</v>
      </c>
      <c r="H509" s="2" t="s">
        <v>85</v>
      </c>
      <c r="I509" s="2" t="s">
        <v>25</v>
      </c>
      <c r="J509" s="2" t="s">
        <v>17</v>
      </c>
      <c r="K509" s="11">
        <v>45313</v>
      </c>
      <c r="L509" s="11">
        <v>45326</v>
      </c>
      <c r="M509" s="3">
        <v>75000</v>
      </c>
      <c r="N509" s="3" t="s">
        <v>20</v>
      </c>
      <c r="O509" s="3" t="s">
        <v>87</v>
      </c>
    </row>
    <row r="510" spans="3:15">
      <c r="C510" s="2" t="s">
        <v>1301</v>
      </c>
      <c r="D510" s="2" t="s">
        <v>1297</v>
      </c>
      <c r="E510" s="2">
        <v>29</v>
      </c>
      <c r="F510" t="str">
        <f t="shared" si="7"/>
        <v>Young Adult</v>
      </c>
      <c r="G510" s="2" t="s">
        <v>32</v>
      </c>
      <c r="H510" s="2" t="s">
        <v>33</v>
      </c>
      <c r="I510" s="2" t="s">
        <v>132</v>
      </c>
      <c r="J510" s="2" t="s">
        <v>35</v>
      </c>
      <c r="K510" s="11">
        <v>45346</v>
      </c>
      <c r="L510" s="11">
        <v>45351</v>
      </c>
      <c r="M510" s="2">
        <v>35000</v>
      </c>
      <c r="N510" s="2" t="s">
        <v>20</v>
      </c>
      <c r="O510" s="2" t="s">
        <v>55</v>
      </c>
    </row>
    <row r="511" spans="3:15">
      <c r="C511" s="3" t="s">
        <v>1302</v>
      </c>
      <c r="D511" s="2" t="s">
        <v>1148</v>
      </c>
      <c r="E511" s="3">
        <v>14</v>
      </c>
      <c r="F511" t="str">
        <f t="shared" si="7"/>
        <v>Child</v>
      </c>
      <c r="G511" s="3" t="s">
        <v>41</v>
      </c>
      <c r="H511" s="2" t="s">
        <v>109</v>
      </c>
      <c r="I511" s="2" t="s">
        <v>132</v>
      </c>
      <c r="J511" s="2" t="s">
        <v>26</v>
      </c>
      <c r="K511" s="11">
        <v>45370</v>
      </c>
      <c r="L511" s="11">
        <v>45395</v>
      </c>
      <c r="M511" s="3">
        <v>12000</v>
      </c>
      <c r="N511" s="3" t="s">
        <v>37</v>
      </c>
      <c r="O511" s="3" t="s">
        <v>87</v>
      </c>
    </row>
    <row r="512" spans="3:15">
      <c r="C512" s="2" t="s">
        <v>1304</v>
      </c>
      <c r="D512" s="2" t="s">
        <v>534</v>
      </c>
      <c r="E512" s="2">
        <v>75</v>
      </c>
      <c r="F512" t="str">
        <f t="shared" si="7"/>
        <v>Senior</v>
      </c>
      <c r="G512" s="2" t="s">
        <v>32</v>
      </c>
      <c r="H512" s="2" t="s">
        <v>85</v>
      </c>
      <c r="I512" s="2" t="s">
        <v>42</v>
      </c>
      <c r="J512" s="2" t="s">
        <v>48</v>
      </c>
      <c r="K512" s="11">
        <v>45526</v>
      </c>
      <c r="L512" s="11">
        <v>45548</v>
      </c>
      <c r="M512" s="2">
        <v>8000</v>
      </c>
      <c r="N512" s="2" t="s">
        <v>67</v>
      </c>
      <c r="O512" s="2" t="s">
        <v>38</v>
      </c>
    </row>
    <row r="513" spans="3:15">
      <c r="C513" s="3" t="s">
        <v>1306</v>
      </c>
      <c r="D513" s="2" t="s">
        <v>162</v>
      </c>
      <c r="E513" s="3">
        <v>54</v>
      </c>
      <c r="F513" t="str">
        <f t="shared" si="7"/>
        <v>Middle Age</v>
      </c>
      <c r="G513" s="3" t="s">
        <v>14</v>
      </c>
      <c r="H513" s="2" t="s">
        <v>85</v>
      </c>
      <c r="I513" s="2" t="s">
        <v>42</v>
      </c>
      <c r="J513" s="2" t="s">
        <v>104</v>
      </c>
      <c r="K513" s="11">
        <v>45628</v>
      </c>
      <c r="L513" s="11">
        <v>45343</v>
      </c>
      <c r="M513" s="3">
        <v>20000</v>
      </c>
      <c r="N513" s="3" t="s">
        <v>37</v>
      </c>
      <c r="O513" s="3" t="s">
        <v>87</v>
      </c>
    </row>
    <row r="514" spans="3:15">
      <c r="C514" s="2" t="s">
        <v>1308</v>
      </c>
      <c r="D514" s="2" t="s">
        <v>1286</v>
      </c>
      <c r="E514" s="2">
        <v>58</v>
      </c>
      <c r="F514" t="str">
        <f t="shared" si="7"/>
        <v>Middle Age</v>
      </c>
      <c r="G514" s="2" t="s">
        <v>32</v>
      </c>
      <c r="H514" s="2" t="s">
        <v>85</v>
      </c>
      <c r="I514" s="2" t="s">
        <v>16</v>
      </c>
      <c r="J514" s="2" t="s">
        <v>35</v>
      </c>
      <c r="K514" s="11">
        <v>45314</v>
      </c>
      <c r="L514" s="11">
        <v>45330</v>
      </c>
      <c r="M514" s="2">
        <v>25000</v>
      </c>
      <c r="N514" s="2" t="s">
        <v>20</v>
      </c>
      <c r="O514" s="2" t="s">
        <v>38</v>
      </c>
    </row>
    <row r="515" spans="3:15">
      <c r="C515" s="3" t="s">
        <v>1310</v>
      </c>
      <c r="D515" s="2" t="s">
        <v>1303</v>
      </c>
      <c r="E515" s="3">
        <v>17</v>
      </c>
      <c r="F515" t="str">
        <f t="shared" si="7"/>
        <v>Child</v>
      </c>
      <c r="G515" s="3" t="s">
        <v>14</v>
      </c>
      <c r="H515" s="2" t="s">
        <v>70</v>
      </c>
      <c r="I515" s="2" t="s">
        <v>34</v>
      </c>
      <c r="J515" s="2" t="s">
        <v>104</v>
      </c>
      <c r="K515" s="11">
        <v>45410</v>
      </c>
      <c r="L515" s="11">
        <v>45433</v>
      </c>
      <c r="M515" s="3">
        <v>25000</v>
      </c>
      <c r="N515" s="3" t="s">
        <v>29</v>
      </c>
      <c r="O515" s="3" t="s">
        <v>21</v>
      </c>
    </row>
    <row r="516" spans="3:15">
      <c r="C516" s="2" t="s">
        <v>1313</v>
      </c>
      <c r="D516" s="2" t="s">
        <v>582</v>
      </c>
      <c r="E516" s="2">
        <v>59</v>
      </c>
      <c r="F516" t="str">
        <f t="shared" si="7"/>
        <v>Middle Age</v>
      </c>
      <c r="G516" s="2" t="s">
        <v>32</v>
      </c>
      <c r="H516" s="2" t="s">
        <v>109</v>
      </c>
      <c r="I516" s="2" t="s">
        <v>76</v>
      </c>
      <c r="J516" s="2" t="s">
        <v>17</v>
      </c>
      <c r="K516" s="11">
        <v>45545</v>
      </c>
      <c r="L516" s="11">
        <v>45580</v>
      </c>
      <c r="M516" s="2">
        <v>50000</v>
      </c>
      <c r="N516" s="2" t="s">
        <v>29</v>
      </c>
      <c r="O516" s="2" t="s">
        <v>87</v>
      </c>
    </row>
    <row r="517" spans="3:15">
      <c r="C517" s="3" t="s">
        <v>1315</v>
      </c>
      <c r="D517" s="2" t="s">
        <v>1307</v>
      </c>
      <c r="E517" s="3">
        <v>35</v>
      </c>
      <c r="F517" t="str">
        <f t="shared" si="7"/>
        <v>Young Adult</v>
      </c>
      <c r="G517" s="3" t="s">
        <v>14</v>
      </c>
      <c r="H517" s="2" t="s">
        <v>109</v>
      </c>
      <c r="I517" s="2" t="s">
        <v>34</v>
      </c>
      <c r="J517" s="2" t="s">
        <v>35</v>
      </c>
      <c r="K517" s="11">
        <v>45434</v>
      </c>
      <c r="L517" s="11">
        <v>45454</v>
      </c>
      <c r="M517" s="3">
        <v>8000</v>
      </c>
      <c r="N517" s="3" t="s">
        <v>37</v>
      </c>
      <c r="O517" s="3" t="s">
        <v>55</v>
      </c>
    </row>
    <row r="518" spans="3:15">
      <c r="C518" s="2" t="s">
        <v>1317</v>
      </c>
      <c r="D518" s="2" t="s">
        <v>1281</v>
      </c>
      <c r="E518" s="2">
        <v>6</v>
      </c>
      <c r="F518" t="str">
        <f t="shared" si="7"/>
        <v>Child</v>
      </c>
      <c r="G518" s="2" t="s">
        <v>338</v>
      </c>
      <c r="H518" s="2" t="s">
        <v>15</v>
      </c>
      <c r="I518" s="2" t="s">
        <v>16</v>
      </c>
      <c r="J518" s="2" t="s">
        <v>35</v>
      </c>
      <c r="K518" s="11">
        <v>45512</v>
      </c>
      <c r="L518" s="11">
        <v>45534</v>
      </c>
      <c r="M518" s="2">
        <v>0</v>
      </c>
      <c r="N518" s="2" t="s">
        <v>29</v>
      </c>
      <c r="O518" s="2" t="s">
        <v>21</v>
      </c>
    </row>
    <row r="519" spans="3:15">
      <c r="C519" s="3" t="s">
        <v>1318</v>
      </c>
      <c r="D519" s="2" t="s">
        <v>1311</v>
      </c>
      <c r="E519" s="3">
        <v>77</v>
      </c>
      <c r="F519" t="str">
        <f t="shared" si="7"/>
        <v>Senior</v>
      </c>
      <c r="G519" s="3" t="s">
        <v>32</v>
      </c>
      <c r="H519" s="2" t="s">
        <v>70</v>
      </c>
      <c r="I519" s="2" t="s">
        <v>34</v>
      </c>
      <c r="J519" s="2" t="s">
        <v>35</v>
      </c>
      <c r="K519" s="11">
        <v>45433</v>
      </c>
      <c r="L519" s="11">
        <v>45463</v>
      </c>
      <c r="M519" s="3">
        <v>0</v>
      </c>
      <c r="N519" s="3" t="s">
        <v>67</v>
      </c>
      <c r="O519" s="3" t="s">
        <v>55</v>
      </c>
    </row>
    <row r="520" spans="3:15">
      <c r="C520" s="2" t="s">
        <v>1321</v>
      </c>
      <c r="D520" s="2" t="s">
        <v>1314</v>
      </c>
      <c r="E520" s="2">
        <v>80</v>
      </c>
      <c r="F520" t="str">
        <f t="shared" si="7"/>
        <v>Senior</v>
      </c>
      <c r="G520" s="2" t="s">
        <v>32</v>
      </c>
      <c r="H520" s="2" t="s">
        <v>85</v>
      </c>
      <c r="I520" s="2" t="s">
        <v>127</v>
      </c>
      <c r="J520" s="2" t="s">
        <v>26</v>
      </c>
      <c r="K520" s="11">
        <v>45601</v>
      </c>
      <c r="L520" s="11">
        <v>45426</v>
      </c>
      <c r="M520" s="2">
        <v>20000</v>
      </c>
      <c r="N520" s="2" t="s">
        <v>20</v>
      </c>
      <c r="O520" s="2" t="s">
        <v>55</v>
      </c>
    </row>
    <row r="521" spans="3:15">
      <c r="C521" s="3" t="s">
        <v>1322</v>
      </c>
      <c r="D521" s="2" t="s">
        <v>1316</v>
      </c>
      <c r="E521" s="3">
        <v>33</v>
      </c>
      <c r="F521" t="str">
        <f t="shared" si="7"/>
        <v>Young Adult</v>
      </c>
      <c r="G521" s="3" t="s">
        <v>32</v>
      </c>
      <c r="H521" s="2" t="s">
        <v>109</v>
      </c>
      <c r="I521" s="2" t="s">
        <v>76</v>
      </c>
      <c r="J521" s="2" t="s">
        <v>48</v>
      </c>
      <c r="K521" s="11">
        <v>45553</v>
      </c>
      <c r="L521" s="11">
        <v>45565</v>
      </c>
      <c r="M521" s="3">
        <v>20000</v>
      </c>
      <c r="N521" s="3" t="s">
        <v>67</v>
      </c>
      <c r="O521" s="3" t="s">
        <v>87</v>
      </c>
    </row>
    <row r="522" spans="3:15">
      <c r="C522" s="2" t="s">
        <v>1324</v>
      </c>
      <c r="D522" s="2" t="s">
        <v>1203</v>
      </c>
      <c r="E522" s="2">
        <v>2</v>
      </c>
      <c r="F522" t="str">
        <f t="shared" ref="F522:F585" si="8">IF(E522="Unknown","Unknown",IF(E522&lt;18,"Child",IF(E522&lt;40,"Young Adult",IF(E522&lt;60,"Middle Age","Senior"))))</f>
        <v>Child</v>
      </c>
      <c r="G522" s="2" t="s">
        <v>41</v>
      </c>
      <c r="H522" s="2" t="s">
        <v>15</v>
      </c>
      <c r="I522" s="2" t="s">
        <v>76</v>
      </c>
      <c r="J522" s="2" t="s">
        <v>48</v>
      </c>
      <c r="K522" s="11">
        <v>45557</v>
      </c>
      <c r="L522" s="11">
        <v>45584</v>
      </c>
      <c r="M522" s="2">
        <v>50000</v>
      </c>
      <c r="N522" s="2" t="s">
        <v>29</v>
      </c>
      <c r="O522" s="2" t="s">
        <v>21</v>
      </c>
    </row>
    <row r="523" spans="3:15">
      <c r="C523" s="3" t="s">
        <v>1326</v>
      </c>
      <c r="D523" s="2" t="s">
        <v>240</v>
      </c>
      <c r="E523" s="3">
        <v>25</v>
      </c>
      <c r="F523" t="str">
        <f t="shared" si="8"/>
        <v>Young Adult</v>
      </c>
      <c r="G523" s="3" t="s">
        <v>14</v>
      </c>
      <c r="H523" s="2" t="s">
        <v>52</v>
      </c>
      <c r="I523" s="2" t="s">
        <v>16</v>
      </c>
      <c r="J523" s="2" t="s">
        <v>26</v>
      </c>
      <c r="K523" s="11">
        <v>45326</v>
      </c>
      <c r="L523" s="11">
        <v>45391</v>
      </c>
      <c r="M523" s="3">
        <v>100000</v>
      </c>
      <c r="N523" s="3" t="s">
        <v>168</v>
      </c>
      <c r="O523" s="3" t="s">
        <v>55</v>
      </c>
    </row>
    <row r="524" spans="3:15">
      <c r="C524" s="2" t="s">
        <v>1327</v>
      </c>
      <c r="D524" s="2" t="s">
        <v>700</v>
      </c>
      <c r="E524" s="2">
        <v>30</v>
      </c>
      <c r="F524" t="str">
        <f t="shared" si="8"/>
        <v>Young Adult</v>
      </c>
      <c r="G524" s="2" t="s">
        <v>775</v>
      </c>
      <c r="H524" s="2" t="s">
        <v>70</v>
      </c>
      <c r="I524" s="2" t="s">
        <v>76</v>
      </c>
      <c r="J524" s="2" t="s">
        <v>48</v>
      </c>
      <c r="K524" s="11">
        <v>45539</v>
      </c>
      <c r="L524" s="11">
        <v>45395</v>
      </c>
      <c r="M524" s="2">
        <v>100000</v>
      </c>
      <c r="N524" s="2" t="s">
        <v>37</v>
      </c>
      <c r="O524" s="2" t="s">
        <v>38</v>
      </c>
    </row>
    <row r="525" spans="3:15">
      <c r="C525" s="3" t="s">
        <v>1329</v>
      </c>
      <c r="D525" s="2" t="s">
        <v>1323</v>
      </c>
      <c r="E525" s="3">
        <v>66</v>
      </c>
      <c r="F525" t="str">
        <f t="shared" si="8"/>
        <v>Senior</v>
      </c>
      <c r="G525" s="3" t="s">
        <v>32</v>
      </c>
      <c r="H525" s="2" t="s">
        <v>15</v>
      </c>
      <c r="I525" s="2" t="s">
        <v>34</v>
      </c>
      <c r="J525" s="2" t="s">
        <v>104</v>
      </c>
      <c r="K525" s="11">
        <v>45349</v>
      </c>
      <c r="L525" s="11">
        <v>45365</v>
      </c>
      <c r="M525" s="3">
        <v>20000</v>
      </c>
      <c r="N525" s="3" t="s">
        <v>37</v>
      </c>
      <c r="O525" s="3" t="s">
        <v>55</v>
      </c>
    </row>
    <row r="526" spans="3:15">
      <c r="C526" s="2" t="s">
        <v>1331</v>
      </c>
      <c r="D526" s="2" t="s">
        <v>1325</v>
      </c>
      <c r="E526" s="2">
        <v>28</v>
      </c>
      <c r="F526" t="str">
        <f t="shared" si="8"/>
        <v>Young Adult</v>
      </c>
      <c r="G526" s="2" t="s">
        <v>14</v>
      </c>
      <c r="H526" s="2" t="s">
        <v>70</v>
      </c>
      <c r="I526" s="2" t="s">
        <v>76</v>
      </c>
      <c r="J526" s="2" t="s">
        <v>99</v>
      </c>
      <c r="K526" s="11">
        <v>45440</v>
      </c>
      <c r="L526" s="11">
        <v>45469</v>
      </c>
      <c r="M526" s="2">
        <v>100000</v>
      </c>
      <c r="N526" s="2" t="s">
        <v>29</v>
      </c>
      <c r="O526" s="2" t="s">
        <v>38</v>
      </c>
    </row>
    <row r="527" spans="3:15">
      <c r="C527" s="3" t="s">
        <v>1333</v>
      </c>
      <c r="D527" s="2" t="s">
        <v>912</v>
      </c>
      <c r="E527" s="3">
        <v>90</v>
      </c>
      <c r="F527" t="str">
        <f t="shared" si="8"/>
        <v>Senior</v>
      </c>
      <c r="G527" s="3" t="s">
        <v>32</v>
      </c>
      <c r="H527" s="2" t="s">
        <v>52</v>
      </c>
      <c r="I527" s="2" t="s">
        <v>25</v>
      </c>
      <c r="J527" s="2" t="s">
        <v>26</v>
      </c>
      <c r="K527" s="11">
        <v>45554</v>
      </c>
      <c r="L527" s="11">
        <v>45573</v>
      </c>
      <c r="M527" s="3">
        <v>15000</v>
      </c>
      <c r="N527" s="3" t="s">
        <v>20</v>
      </c>
      <c r="O527" s="3" t="s">
        <v>21</v>
      </c>
    </row>
    <row r="528" spans="3:15">
      <c r="C528" s="2" t="s">
        <v>1336</v>
      </c>
      <c r="D528" s="2" t="s">
        <v>661</v>
      </c>
      <c r="E528" s="2">
        <v>44</v>
      </c>
      <c r="F528" t="str">
        <f t="shared" si="8"/>
        <v>Middle Age</v>
      </c>
      <c r="G528" s="2" t="s">
        <v>32</v>
      </c>
      <c r="H528" s="2" t="s">
        <v>70</v>
      </c>
      <c r="I528" s="2" t="s">
        <v>42</v>
      </c>
      <c r="J528" s="2" t="s">
        <v>104</v>
      </c>
      <c r="K528" s="11">
        <v>45366</v>
      </c>
      <c r="L528" s="11">
        <v>45396</v>
      </c>
      <c r="M528" s="2">
        <v>12000</v>
      </c>
      <c r="N528" s="2" t="s">
        <v>20</v>
      </c>
      <c r="O528" s="2" t="s">
        <v>775</v>
      </c>
    </row>
    <row r="529" spans="3:15">
      <c r="C529" s="3" t="s">
        <v>1338</v>
      </c>
      <c r="D529" s="2" t="s">
        <v>272</v>
      </c>
      <c r="E529" s="3">
        <v>58</v>
      </c>
      <c r="F529" t="str">
        <f t="shared" si="8"/>
        <v>Middle Age</v>
      </c>
      <c r="G529" s="3" t="s">
        <v>14</v>
      </c>
      <c r="H529" s="2" t="s">
        <v>70</v>
      </c>
      <c r="I529" s="2" t="s">
        <v>127</v>
      </c>
      <c r="J529" s="2" t="s">
        <v>48</v>
      </c>
      <c r="K529" s="11">
        <v>45323</v>
      </c>
      <c r="L529" s="11">
        <v>45296</v>
      </c>
      <c r="M529" s="3">
        <v>75000</v>
      </c>
      <c r="N529" s="3" t="s">
        <v>67</v>
      </c>
      <c r="O529" s="3" t="s">
        <v>87</v>
      </c>
    </row>
    <row r="530" spans="3:15">
      <c r="C530" s="2" t="s">
        <v>1340</v>
      </c>
      <c r="D530" s="2" t="s">
        <v>1332</v>
      </c>
      <c r="E530" s="2">
        <v>62</v>
      </c>
      <c r="F530" t="str">
        <f t="shared" si="8"/>
        <v>Senior</v>
      </c>
      <c r="G530" s="2" t="s">
        <v>775</v>
      </c>
      <c r="H530" s="2" t="s">
        <v>58</v>
      </c>
      <c r="I530" s="2" t="s">
        <v>34</v>
      </c>
      <c r="J530" s="2" t="s">
        <v>104</v>
      </c>
      <c r="K530" s="11">
        <v>45465</v>
      </c>
      <c r="L530" s="11">
        <v>45473</v>
      </c>
      <c r="M530" s="2">
        <v>100000</v>
      </c>
      <c r="N530" s="2" t="s">
        <v>20</v>
      </c>
      <c r="O530" s="2" t="s">
        <v>38</v>
      </c>
    </row>
    <row r="531" spans="3:15">
      <c r="C531" s="3" t="s">
        <v>1342</v>
      </c>
      <c r="D531" s="2" t="s">
        <v>1334</v>
      </c>
      <c r="E531" s="3">
        <v>30</v>
      </c>
      <c r="F531" t="str">
        <f t="shared" si="8"/>
        <v>Young Adult</v>
      </c>
      <c r="G531" s="3" t="s">
        <v>14</v>
      </c>
      <c r="H531" s="2" t="s">
        <v>15</v>
      </c>
      <c r="I531" s="2" t="s">
        <v>16</v>
      </c>
      <c r="J531" s="2" t="s">
        <v>104</v>
      </c>
      <c r="K531" s="11">
        <v>45366</v>
      </c>
      <c r="L531" s="11">
        <v>45377</v>
      </c>
      <c r="M531" s="3">
        <v>20000</v>
      </c>
      <c r="N531" s="3" t="s">
        <v>37</v>
      </c>
      <c r="O531" s="3" t="s">
        <v>87</v>
      </c>
    </row>
    <row r="532" spans="3:15">
      <c r="C532" s="2" t="s">
        <v>1344</v>
      </c>
      <c r="D532" s="2" t="s">
        <v>1337</v>
      </c>
      <c r="E532" s="2">
        <v>44</v>
      </c>
      <c r="F532" t="str">
        <f t="shared" si="8"/>
        <v>Middle Age</v>
      </c>
      <c r="G532" s="2" t="s">
        <v>14</v>
      </c>
      <c r="H532" s="2" t="s">
        <v>15</v>
      </c>
      <c r="I532" s="2" t="s">
        <v>132</v>
      </c>
      <c r="J532" s="2" t="s">
        <v>35</v>
      </c>
      <c r="K532" s="11">
        <v>45321</v>
      </c>
      <c r="L532" s="11">
        <v>45340</v>
      </c>
      <c r="M532" s="2">
        <v>8000</v>
      </c>
      <c r="N532" s="2" t="s">
        <v>37</v>
      </c>
      <c r="O532" s="2" t="s">
        <v>55</v>
      </c>
    </row>
    <row r="533" spans="3:15">
      <c r="C533" s="3" t="s">
        <v>1345</v>
      </c>
      <c r="D533" s="2" t="s">
        <v>1339</v>
      </c>
      <c r="E533" s="3">
        <v>78</v>
      </c>
      <c r="F533" t="str">
        <f t="shared" si="8"/>
        <v>Senior</v>
      </c>
      <c r="G533" s="3" t="s">
        <v>32</v>
      </c>
      <c r="H533" s="2" t="s">
        <v>109</v>
      </c>
      <c r="I533" s="2" t="s">
        <v>34</v>
      </c>
      <c r="J533" s="2" t="s">
        <v>53</v>
      </c>
      <c r="K533" s="11">
        <v>45471</v>
      </c>
      <c r="L533" s="11">
        <v>45487</v>
      </c>
      <c r="M533" s="3">
        <v>50000</v>
      </c>
      <c r="N533" s="3" t="s">
        <v>37</v>
      </c>
      <c r="O533" s="3" t="s">
        <v>21</v>
      </c>
    </row>
    <row r="534" spans="3:15">
      <c r="C534" s="2" t="s">
        <v>1347</v>
      </c>
      <c r="D534" s="2" t="s">
        <v>1052</v>
      </c>
      <c r="E534" s="2">
        <v>52</v>
      </c>
      <c r="F534" t="str">
        <f t="shared" si="8"/>
        <v>Middle Age</v>
      </c>
      <c r="G534" s="2" t="s">
        <v>14</v>
      </c>
      <c r="H534" s="2" t="s">
        <v>85</v>
      </c>
      <c r="I534" s="2" t="s">
        <v>25</v>
      </c>
      <c r="J534" s="2" t="s">
        <v>26</v>
      </c>
      <c r="K534" s="11">
        <v>45430</v>
      </c>
      <c r="L534" s="11">
        <v>45447</v>
      </c>
      <c r="M534" s="2">
        <v>75000</v>
      </c>
      <c r="N534" s="2" t="s">
        <v>37</v>
      </c>
      <c r="O534" s="2" t="s">
        <v>21</v>
      </c>
    </row>
    <row r="535" spans="3:15">
      <c r="C535" s="3" t="s">
        <v>1348</v>
      </c>
      <c r="D535" s="2" t="s">
        <v>875</v>
      </c>
      <c r="E535" s="3">
        <v>28</v>
      </c>
      <c r="F535" t="str">
        <f t="shared" si="8"/>
        <v>Young Adult</v>
      </c>
      <c r="G535" s="3" t="s">
        <v>14</v>
      </c>
      <c r="H535" s="2" t="s">
        <v>52</v>
      </c>
      <c r="I535" s="2" t="s">
        <v>132</v>
      </c>
      <c r="J535" s="2" t="s">
        <v>35</v>
      </c>
      <c r="K535" s="11">
        <v>45513</v>
      </c>
      <c r="L535" s="11">
        <v>45526</v>
      </c>
      <c r="M535" s="3">
        <v>100000</v>
      </c>
      <c r="N535" s="3" t="s">
        <v>20</v>
      </c>
      <c r="O535" s="3" t="s">
        <v>55</v>
      </c>
    </row>
    <row r="536" spans="3:15">
      <c r="C536" s="2" t="s">
        <v>1350</v>
      </c>
      <c r="D536" s="2" t="s">
        <v>294</v>
      </c>
      <c r="E536" s="2">
        <v>70</v>
      </c>
      <c r="F536" t="str">
        <f t="shared" si="8"/>
        <v>Senior</v>
      </c>
      <c r="G536" s="2" t="s">
        <v>14</v>
      </c>
      <c r="H536" s="2" t="s">
        <v>85</v>
      </c>
      <c r="I536" s="2" t="s">
        <v>76</v>
      </c>
      <c r="J536" s="2" t="s">
        <v>53</v>
      </c>
      <c r="K536" s="11">
        <v>45439</v>
      </c>
      <c r="L536" s="11">
        <v>45464</v>
      </c>
      <c r="M536" s="2">
        <v>100000</v>
      </c>
      <c r="N536" s="2" t="s">
        <v>67</v>
      </c>
      <c r="O536" s="2" t="s">
        <v>87</v>
      </c>
    </row>
    <row r="537" spans="3:15">
      <c r="C537" s="3" t="s">
        <v>1352</v>
      </c>
      <c r="D537" s="2" t="s">
        <v>1346</v>
      </c>
      <c r="E537" s="3">
        <v>71</v>
      </c>
      <c r="F537" t="str">
        <f t="shared" si="8"/>
        <v>Senior</v>
      </c>
      <c r="G537" s="3" t="s">
        <v>32</v>
      </c>
      <c r="H537" s="2" t="s">
        <v>70</v>
      </c>
      <c r="I537" s="2" t="s">
        <v>16</v>
      </c>
      <c r="J537" s="2" t="s">
        <v>99</v>
      </c>
      <c r="K537" s="11">
        <v>45537</v>
      </c>
      <c r="L537" s="11">
        <v>45349</v>
      </c>
      <c r="M537" s="3">
        <v>12000</v>
      </c>
      <c r="N537" s="3" t="s">
        <v>20</v>
      </c>
      <c r="O537" s="3" t="s">
        <v>21</v>
      </c>
    </row>
    <row r="538" spans="3:15">
      <c r="C538" s="2" t="s">
        <v>1353</v>
      </c>
      <c r="D538" s="2" t="s">
        <v>1151</v>
      </c>
      <c r="E538" s="2">
        <v>70</v>
      </c>
      <c r="F538" t="str">
        <f t="shared" si="8"/>
        <v>Senior</v>
      </c>
      <c r="G538" s="2" t="s">
        <v>338</v>
      </c>
      <c r="H538" s="2" t="s">
        <v>85</v>
      </c>
      <c r="I538" s="2" t="s">
        <v>16</v>
      </c>
      <c r="J538" s="2" t="s">
        <v>48</v>
      </c>
      <c r="K538" s="11">
        <v>45512</v>
      </c>
      <c r="L538" s="11">
        <v>45515</v>
      </c>
      <c r="M538" s="2">
        <v>15000</v>
      </c>
      <c r="N538" s="2" t="s">
        <v>37</v>
      </c>
      <c r="O538" s="2" t="s">
        <v>21</v>
      </c>
    </row>
    <row r="539" spans="3:15">
      <c r="C539" s="3" t="s">
        <v>1354</v>
      </c>
      <c r="D539" s="2" t="s">
        <v>1037</v>
      </c>
      <c r="E539" s="3">
        <v>51</v>
      </c>
      <c r="F539" t="str">
        <f t="shared" si="8"/>
        <v>Middle Age</v>
      </c>
      <c r="G539" s="3" t="s">
        <v>32</v>
      </c>
      <c r="H539" s="2" t="s">
        <v>15</v>
      </c>
      <c r="I539" s="2" t="s">
        <v>76</v>
      </c>
      <c r="J539" s="2" t="s">
        <v>48</v>
      </c>
      <c r="K539" s="11">
        <v>45383</v>
      </c>
      <c r="L539" s="11">
        <v>45297</v>
      </c>
      <c r="M539" s="3">
        <v>75000</v>
      </c>
      <c r="N539" s="3" t="s">
        <v>20</v>
      </c>
      <c r="O539" s="3" t="s">
        <v>21</v>
      </c>
    </row>
    <row r="540" spans="3:15">
      <c r="C540" s="2" t="s">
        <v>1355</v>
      </c>
      <c r="D540" s="2" t="s">
        <v>887</v>
      </c>
      <c r="E540" s="2">
        <v>36</v>
      </c>
      <c r="F540" t="str">
        <f t="shared" si="8"/>
        <v>Young Adult</v>
      </c>
      <c r="G540" s="2" t="s">
        <v>14</v>
      </c>
      <c r="H540" s="2" t="s">
        <v>58</v>
      </c>
      <c r="I540" s="2" t="s">
        <v>16</v>
      </c>
      <c r="J540" s="2" t="s">
        <v>26</v>
      </c>
      <c r="K540" s="11">
        <v>45505</v>
      </c>
      <c r="L540" s="11">
        <v>45528</v>
      </c>
      <c r="M540" s="2">
        <v>5000</v>
      </c>
      <c r="N540" s="2" t="s">
        <v>37</v>
      </c>
      <c r="O540" s="2" t="s">
        <v>38</v>
      </c>
    </row>
    <row r="541" spans="3:15">
      <c r="C541" s="3" t="s">
        <v>1356</v>
      </c>
      <c r="D541" s="2" t="s">
        <v>652</v>
      </c>
      <c r="E541" s="3">
        <v>38</v>
      </c>
      <c r="F541" t="str">
        <f t="shared" si="8"/>
        <v>Young Adult</v>
      </c>
      <c r="G541" s="3" t="s">
        <v>14</v>
      </c>
      <c r="H541" s="2" t="s">
        <v>109</v>
      </c>
      <c r="I541" s="2" t="s">
        <v>132</v>
      </c>
      <c r="J541" s="2" t="s">
        <v>26</v>
      </c>
      <c r="K541" s="11">
        <v>45421</v>
      </c>
      <c r="L541" s="11">
        <v>45543</v>
      </c>
      <c r="M541" s="3">
        <v>100000</v>
      </c>
      <c r="N541" s="3" t="s">
        <v>67</v>
      </c>
      <c r="O541" s="3" t="s">
        <v>87</v>
      </c>
    </row>
    <row r="542" spans="3:15">
      <c r="C542" s="2" t="s">
        <v>1357</v>
      </c>
      <c r="D542" s="2" t="s">
        <v>475</v>
      </c>
      <c r="E542" s="2" t="s">
        <v>775</v>
      </c>
      <c r="F542" t="str">
        <f t="shared" si="8"/>
        <v>Unknown</v>
      </c>
      <c r="G542" s="2" t="s">
        <v>32</v>
      </c>
      <c r="H542" s="2" t="s">
        <v>109</v>
      </c>
      <c r="I542" s="2" t="s">
        <v>76</v>
      </c>
      <c r="J542" s="2" t="s">
        <v>99</v>
      </c>
      <c r="K542" s="11">
        <v>45501</v>
      </c>
      <c r="L542" s="11">
        <v>45521</v>
      </c>
      <c r="M542" s="2">
        <v>35000</v>
      </c>
      <c r="N542" s="2" t="s">
        <v>20</v>
      </c>
      <c r="O542" s="2" t="s">
        <v>21</v>
      </c>
    </row>
    <row r="543" spans="3:15">
      <c r="C543" s="3" t="s">
        <v>1358</v>
      </c>
      <c r="D543" s="2" t="s">
        <v>889</v>
      </c>
      <c r="E543" s="3">
        <v>79</v>
      </c>
      <c r="F543" t="str">
        <f t="shared" si="8"/>
        <v>Senior</v>
      </c>
      <c r="G543" s="3" t="s">
        <v>14</v>
      </c>
      <c r="H543" s="2" t="s">
        <v>15</v>
      </c>
      <c r="I543" s="2" t="s">
        <v>25</v>
      </c>
      <c r="J543" s="2" t="s">
        <v>17</v>
      </c>
      <c r="K543" s="11">
        <v>45408</v>
      </c>
      <c r="L543" s="11">
        <v>45435</v>
      </c>
      <c r="M543" s="3">
        <v>50000</v>
      </c>
      <c r="N543" s="3" t="s">
        <v>67</v>
      </c>
      <c r="O543" s="3" t="s">
        <v>21</v>
      </c>
    </row>
    <row r="544" spans="3:15">
      <c r="C544" s="2" t="s">
        <v>1359</v>
      </c>
      <c r="D544" s="2" t="s">
        <v>23</v>
      </c>
      <c r="E544" s="2">
        <v>2</v>
      </c>
      <c r="F544" t="str">
        <f t="shared" si="8"/>
        <v>Child</v>
      </c>
      <c r="G544" s="2" t="s">
        <v>32</v>
      </c>
      <c r="H544" s="2" t="s">
        <v>85</v>
      </c>
      <c r="I544" s="2" t="s">
        <v>25</v>
      </c>
      <c r="J544" s="2" t="s">
        <v>104</v>
      </c>
      <c r="K544" s="11">
        <v>45388</v>
      </c>
      <c r="L544" s="11">
        <v>45476</v>
      </c>
      <c r="M544" s="2">
        <v>8000</v>
      </c>
      <c r="N544" s="2" t="s">
        <v>37</v>
      </c>
      <c r="O544" s="2" t="s">
        <v>21</v>
      </c>
    </row>
    <row r="545" spans="3:15">
      <c r="C545" s="3" t="s">
        <v>1361</v>
      </c>
      <c r="D545" s="2" t="s">
        <v>1177</v>
      </c>
      <c r="E545" s="3">
        <v>47</v>
      </c>
      <c r="F545" t="str">
        <f t="shared" si="8"/>
        <v>Middle Age</v>
      </c>
      <c r="G545" s="3" t="s">
        <v>14</v>
      </c>
      <c r="H545" s="2" t="s">
        <v>15</v>
      </c>
      <c r="I545" s="2" t="s">
        <v>76</v>
      </c>
      <c r="J545" s="2" t="s">
        <v>48</v>
      </c>
      <c r="K545" s="11">
        <v>45499</v>
      </c>
      <c r="L545" s="11">
        <v>45522</v>
      </c>
      <c r="M545" s="3">
        <v>0</v>
      </c>
      <c r="N545" s="3" t="s">
        <v>67</v>
      </c>
      <c r="O545" s="3" t="s">
        <v>55</v>
      </c>
    </row>
    <row r="546" spans="3:15">
      <c r="C546" s="2" t="s">
        <v>1363</v>
      </c>
      <c r="D546" s="2" t="s">
        <v>868</v>
      </c>
      <c r="E546" s="2">
        <v>43</v>
      </c>
      <c r="F546" t="str">
        <f t="shared" si="8"/>
        <v>Middle Age</v>
      </c>
      <c r="G546" s="2" t="s">
        <v>32</v>
      </c>
      <c r="H546" s="2" t="s">
        <v>70</v>
      </c>
      <c r="I546" s="2" t="s">
        <v>132</v>
      </c>
      <c r="J546" s="2" t="s">
        <v>99</v>
      </c>
      <c r="K546" s="11">
        <v>45571</v>
      </c>
      <c r="L546" s="11">
        <v>45462</v>
      </c>
      <c r="M546" s="2">
        <v>25000</v>
      </c>
      <c r="N546" s="2" t="s">
        <v>67</v>
      </c>
      <c r="O546" s="2" t="s">
        <v>21</v>
      </c>
    </row>
    <row r="547" spans="3:15">
      <c r="C547" s="3" t="s">
        <v>1364</v>
      </c>
      <c r="D547" s="2" t="s">
        <v>1279</v>
      </c>
      <c r="E547" s="3">
        <v>21</v>
      </c>
      <c r="F547" t="str">
        <f t="shared" si="8"/>
        <v>Young Adult</v>
      </c>
      <c r="G547" s="3" t="s">
        <v>32</v>
      </c>
      <c r="H547" s="2" t="s">
        <v>70</v>
      </c>
      <c r="I547" s="2" t="s">
        <v>132</v>
      </c>
      <c r="J547" s="2" t="s">
        <v>48</v>
      </c>
      <c r="K547" s="11">
        <v>45528</v>
      </c>
      <c r="L547" s="11">
        <v>45557</v>
      </c>
      <c r="M547" s="3">
        <v>25000</v>
      </c>
      <c r="N547" s="3" t="s">
        <v>20</v>
      </c>
      <c r="O547" s="3" t="s">
        <v>87</v>
      </c>
    </row>
    <row r="548" spans="3:15">
      <c r="C548" s="2" t="s">
        <v>1365</v>
      </c>
      <c r="D548" s="2" t="s">
        <v>1360</v>
      </c>
      <c r="E548" s="2">
        <v>21</v>
      </c>
      <c r="F548" t="str">
        <f t="shared" si="8"/>
        <v>Young Adult</v>
      </c>
      <c r="G548" s="2" t="s">
        <v>32</v>
      </c>
      <c r="H548" s="2" t="s">
        <v>15</v>
      </c>
      <c r="I548" s="2" t="s">
        <v>76</v>
      </c>
      <c r="J548" s="2" t="s">
        <v>104</v>
      </c>
      <c r="K548" s="11">
        <v>45444</v>
      </c>
      <c r="L548" s="11">
        <v>45315</v>
      </c>
      <c r="M548" s="2">
        <v>35000</v>
      </c>
      <c r="N548" s="2" t="s">
        <v>67</v>
      </c>
      <c r="O548" s="2" t="s">
        <v>87</v>
      </c>
    </row>
    <row r="549" spans="3:15">
      <c r="C549" s="3" t="s">
        <v>1367</v>
      </c>
      <c r="D549" s="2" t="s">
        <v>93</v>
      </c>
      <c r="E549" s="3">
        <v>33</v>
      </c>
      <c r="F549" t="str">
        <f t="shared" si="8"/>
        <v>Young Adult</v>
      </c>
      <c r="G549" s="3" t="s">
        <v>14</v>
      </c>
      <c r="H549" s="2" t="s">
        <v>85</v>
      </c>
      <c r="I549" s="2" t="s">
        <v>42</v>
      </c>
      <c r="J549" s="2" t="s">
        <v>17</v>
      </c>
      <c r="K549" s="11">
        <v>45309</v>
      </c>
      <c r="L549" s="11">
        <v>45334</v>
      </c>
      <c r="M549" s="3">
        <v>25000</v>
      </c>
      <c r="N549" s="3" t="s">
        <v>67</v>
      </c>
      <c r="O549" s="3" t="s">
        <v>21</v>
      </c>
    </row>
    <row r="550" spans="3:15">
      <c r="C550" s="2" t="s">
        <v>1368</v>
      </c>
      <c r="D550" s="2" t="s">
        <v>783</v>
      </c>
      <c r="E550" s="2">
        <v>46</v>
      </c>
      <c r="F550" t="str">
        <f t="shared" si="8"/>
        <v>Middle Age</v>
      </c>
      <c r="G550" s="2" t="s">
        <v>14</v>
      </c>
      <c r="H550" s="2" t="s">
        <v>15</v>
      </c>
      <c r="I550" s="2" t="s">
        <v>34</v>
      </c>
      <c r="J550" s="2" t="s">
        <v>99</v>
      </c>
      <c r="K550" s="11">
        <v>45349</v>
      </c>
      <c r="L550" s="11">
        <v>45362</v>
      </c>
      <c r="M550" s="2">
        <v>15000</v>
      </c>
      <c r="N550" s="2" t="s">
        <v>29</v>
      </c>
      <c r="O550" s="2" t="s">
        <v>87</v>
      </c>
    </row>
    <row r="551" spans="3:15">
      <c r="C551" s="3" t="s">
        <v>1370</v>
      </c>
      <c r="D551" s="2" t="s">
        <v>887</v>
      </c>
      <c r="E551" s="3">
        <v>73</v>
      </c>
      <c r="F551" t="str">
        <f t="shared" si="8"/>
        <v>Senior</v>
      </c>
      <c r="G551" s="3" t="s">
        <v>14</v>
      </c>
      <c r="H551" s="2" t="s">
        <v>70</v>
      </c>
      <c r="I551" s="2" t="s">
        <v>127</v>
      </c>
      <c r="J551" s="2" t="s">
        <v>104</v>
      </c>
      <c r="K551" s="11">
        <v>45486</v>
      </c>
      <c r="L551" s="11">
        <v>45491</v>
      </c>
      <c r="M551" s="3">
        <v>75000</v>
      </c>
      <c r="N551" s="3" t="s">
        <v>37</v>
      </c>
      <c r="O551" s="3" t="s">
        <v>38</v>
      </c>
    </row>
    <row r="552" spans="3:15">
      <c r="C552" s="2" t="s">
        <v>1373</v>
      </c>
      <c r="D552" s="2" t="s">
        <v>1366</v>
      </c>
      <c r="E552" s="2">
        <v>18</v>
      </c>
      <c r="F552" t="str">
        <f t="shared" si="8"/>
        <v>Young Adult</v>
      </c>
      <c r="G552" s="2" t="s">
        <v>32</v>
      </c>
      <c r="H552" s="2" t="s">
        <v>109</v>
      </c>
      <c r="I552" s="2" t="s">
        <v>42</v>
      </c>
      <c r="J552" s="2" t="s">
        <v>35</v>
      </c>
      <c r="K552" s="11">
        <v>45478</v>
      </c>
      <c r="L552" s="11">
        <v>45434</v>
      </c>
      <c r="M552" s="2">
        <v>20000</v>
      </c>
      <c r="N552" s="2" t="s">
        <v>29</v>
      </c>
      <c r="O552" s="2" t="s">
        <v>38</v>
      </c>
    </row>
    <row r="553" spans="3:15">
      <c r="C553" s="3" t="s">
        <v>1374</v>
      </c>
      <c r="D553" s="2" t="s">
        <v>324</v>
      </c>
      <c r="E553" s="3">
        <v>80</v>
      </c>
      <c r="F553" t="str">
        <f t="shared" si="8"/>
        <v>Senior</v>
      </c>
      <c r="G553" s="3" t="s">
        <v>14</v>
      </c>
      <c r="H553" s="2" t="s">
        <v>52</v>
      </c>
      <c r="I553" s="2" t="s">
        <v>34</v>
      </c>
      <c r="J553" s="2" t="s">
        <v>48</v>
      </c>
      <c r="K553" s="11">
        <v>45298</v>
      </c>
      <c r="L553" s="11">
        <v>45494</v>
      </c>
      <c r="M553" s="3">
        <v>25000</v>
      </c>
      <c r="N553" s="3" t="s">
        <v>67</v>
      </c>
      <c r="O553" s="3" t="s">
        <v>87</v>
      </c>
    </row>
    <row r="554" spans="3:15">
      <c r="C554" s="2" t="s">
        <v>1375</v>
      </c>
      <c r="D554" s="2" t="s">
        <v>1369</v>
      </c>
      <c r="E554" s="2">
        <v>37</v>
      </c>
      <c r="F554" t="str">
        <f t="shared" si="8"/>
        <v>Young Adult</v>
      </c>
      <c r="G554" s="2" t="s">
        <v>14</v>
      </c>
      <c r="H554" s="2" t="s">
        <v>58</v>
      </c>
      <c r="I554" s="2" t="s">
        <v>132</v>
      </c>
      <c r="J554" s="2" t="s">
        <v>99</v>
      </c>
      <c r="K554" s="11">
        <v>45398</v>
      </c>
      <c r="L554" s="11">
        <v>45421</v>
      </c>
      <c r="M554" s="2">
        <v>8000</v>
      </c>
      <c r="N554" s="2" t="s">
        <v>67</v>
      </c>
      <c r="O554" s="2" t="s">
        <v>55</v>
      </c>
    </row>
    <row r="555" spans="3:15">
      <c r="C555" s="3" t="s">
        <v>1377</v>
      </c>
      <c r="D555" s="2" t="s">
        <v>1371</v>
      </c>
      <c r="E555" s="3">
        <v>86</v>
      </c>
      <c r="F555" t="str">
        <f t="shared" si="8"/>
        <v>Senior</v>
      </c>
      <c r="G555" s="3" t="s">
        <v>14</v>
      </c>
      <c r="H555" s="2" t="s">
        <v>109</v>
      </c>
      <c r="I555" s="2" t="s">
        <v>76</v>
      </c>
      <c r="J555" s="2" t="s">
        <v>26</v>
      </c>
      <c r="K555" s="11">
        <v>45327</v>
      </c>
      <c r="L555" s="11">
        <v>45339</v>
      </c>
      <c r="M555" s="3">
        <v>25000</v>
      </c>
      <c r="N555" s="3" t="s">
        <v>37</v>
      </c>
      <c r="O555" s="3" t="s">
        <v>21</v>
      </c>
    </row>
    <row r="556" spans="3:15">
      <c r="C556" s="2" t="s">
        <v>1378</v>
      </c>
      <c r="D556" s="2" t="s">
        <v>1078</v>
      </c>
      <c r="E556" s="2">
        <v>72</v>
      </c>
      <c r="F556" t="str">
        <f t="shared" si="8"/>
        <v>Senior</v>
      </c>
      <c r="G556" s="2" t="s">
        <v>14</v>
      </c>
      <c r="H556" s="2" t="s">
        <v>85</v>
      </c>
      <c r="I556" s="2" t="s">
        <v>76</v>
      </c>
      <c r="J556" s="2" t="s">
        <v>48</v>
      </c>
      <c r="K556" s="11">
        <v>45444</v>
      </c>
      <c r="L556" s="11">
        <v>45312</v>
      </c>
      <c r="M556" s="2">
        <v>5000</v>
      </c>
      <c r="N556" s="2" t="s">
        <v>67</v>
      </c>
      <c r="O556" s="2" t="s">
        <v>87</v>
      </c>
    </row>
    <row r="557" spans="3:15">
      <c r="C557" s="3" t="s">
        <v>1379</v>
      </c>
      <c r="D557" s="2" t="s">
        <v>131</v>
      </c>
      <c r="E557" s="3">
        <v>9</v>
      </c>
      <c r="F557" t="str">
        <f t="shared" si="8"/>
        <v>Child</v>
      </c>
      <c r="G557" s="3" t="s">
        <v>32</v>
      </c>
      <c r="H557" s="2" t="s">
        <v>109</v>
      </c>
      <c r="I557" s="2" t="s">
        <v>16</v>
      </c>
      <c r="J557" s="2" t="s">
        <v>99</v>
      </c>
      <c r="K557" s="11">
        <v>45510</v>
      </c>
      <c r="L557" s="11">
        <v>45455</v>
      </c>
      <c r="M557" s="3">
        <v>75000</v>
      </c>
      <c r="N557" s="3" t="s">
        <v>29</v>
      </c>
      <c r="O557" s="3" t="s">
        <v>21</v>
      </c>
    </row>
    <row r="558" spans="3:15">
      <c r="C558" s="2" t="s">
        <v>1380</v>
      </c>
      <c r="D558" s="2" t="s">
        <v>1376</v>
      </c>
      <c r="E558" s="2">
        <v>27</v>
      </c>
      <c r="F558" t="str">
        <f t="shared" si="8"/>
        <v>Young Adult</v>
      </c>
      <c r="G558" s="2" t="s">
        <v>32</v>
      </c>
      <c r="H558" s="2" t="s">
        <v>85</v>
      </c>
      <c r="I558" s="2" t="s">
        <v>25</v>
      </c>
      <c r="J558" s="2" t="s">
        <v>48</v>
      </c>
      <c r="K558" s="11">
        <v>45310</v>
      </c>
      <c r="L558" s="11">
        <v>45316</v>
      </c>
      <c r="M558" s="2">
        <v>20000</v>
      </c>
      <c r="N558" s="2" t="s">
        <v>67</v>
      </c>
      <c r="O558" s="2" t="s">
        <v>38</v>
      </c>
    </row>
    <row r="559" spans="3:15">
      <c r="C559" s="3" t="s">
        <v>1381</v>
      </c>
      <c r="D559" s="2" t="s">
        <v>601</v>
      </c>
      <c r="E559" s="3">
        <v>65</v>
      </c>
      <c r="F559" t="str">
        <f t="shared" si="8"/>
        <v>Senior</v>
      </c>
      <c r="G559" s="3" t="s">
        <v>14</v>
      </c>
      <c r="H559" s="2" t="s">
        <v>33</v>
      </c>
      <c r="I559" s="2" t="s">
        <v>76</v>
      </c>
      <c r="J559" s="2" t="s">
        <v>53</v>
      </c>
      <c r="K559" s="11">
        <v>45356</v>
      </c>
      <c r="L559" s="11">
        <v>45427</v>
      </c>
      <c r="M559" s="3">
        <v>25000</v>
      </c>
      <c r="N559" s="3" t="s">
        <v>67</v>
      </c>
      <c r="O559" s="3" t="s">
        <v>55</v>
      </c>
    </row>
    <row r="560" spans="3:15">
      <c r="C560" s="2" t="s">
        <v>1383</v>
      </c>
      <c r="D560" s="2" t="s">
        <v>1123</v>
      </c>
      <c r="E560" s="2">
        <v>90</v>
      </c>
      <c r="F560" t="str">
        <f t="shared" si="8"/>
        <v>Senior</v>
      </c>
      <c r="G560" s="2" t="s">
        <v>14</v>
      </c>
      <c r="H560" s="2" t="s">
        <v>85</v>
      </c>
      <c r="I560" s="2" t="s">
        <v>16</v>
      </c>
      <c r="J560" s="2" t="s">
        <v>99</v>
      </c>
      <c r="K560" s="11">
        <v>45498</v>
      </c>
      <c r="L560" s="11">
        <v>45521</v>
      </c>
      <c r="M560" s="2">
        <v>100000</v>
      </c>
      <c r="N560" s="2" t="s">
        <v>67</v>
      </c>
      <c r="O560" s="2" t="s">
        <v>38</v>
      </c>
    </row>
    <row r="561" spans="3:15">
      <c r="C561" s="3" t="s">
        <v>1386</v>
      </c>
      <c r="D561" s="2" t="s">
        <v>966</v>
      </c>
      <c r="E561" s="3">
        <v>69</v>
      </c>
      <c r="F561" t="str">
        <f t="shared" si="8"/>
        <v>Senior</v>
      </c>
      <c r="G561" s="3" t="s">
        <v>32</v>
      </c>
      <c r="H561" s="2" t="s">
        <v>15</v>
      </c>
      <c r="I561" s="2" t="s">
        <v>127</v>
      </c>
      <c r="J561" s="2" t="s">
        <v>17</v>
      </c>
      <c r="K561" s="11">
        <v>45338</v>
      </c>
      <c r="L561" s="11">
        <v>45340</v>
      </c>
      <c r="M561" s="3">
        <v>100000</v>
      </c>
      <c r="N561" s="3" t="s">
        <v>20</v>
      </c>
      <c r="O561" s="3" t="s">
        <v>38</v>
      </c>
    </row>
    <row r="562" spans="3:15">
      <c r="C562" s="2" t="s">
        <v>1388</v>
      </c>
      <c r="D562" s="2" t="s">
        <v>2042</v>
      </c>
      <c r="E562" s="2" t="s">
        <v>775</v>
      </c>
      <c r="F562" t="str">
        <f t="shared" si="8"/>
        <v>Unknown</v>
      </c>
      <c r="G562" s="2" t="s">
        <v>14</v>
      </c>
      <c r="H562" s="2" t="s">
        <v>15</v>
      </c>
      <c r="I562" s="2" t="s">
        <v>25</v>
      </c>
      <c r="J562" s="2" t="s">
        <v>99</v>
      </c>
      <c r="K562" s="11">
        <v>45335</v>
      </c>
      <c r="L562" s="11">
        <v>45364</v>
      </c>
      <c r="M562" s="2">
        <v>100000</v>
      </c>
      <c r="N562" s="2" t="s">
        <v>67</v>
      </c>
      <c r="O562" s="2" t="s">
        <v>55</v>
      </c>
    </row>
    <row r="563" spans="3:15">
      <c r="C563" s="3" t="s">
        <v>1390</v>
      </c>
      <c r="D563" s="2" t="s">
        <v>1382</v>
      </c>
      <c r="E563" s="3">
        <v>55</v>
      </c>
      <c r="F563" t="str">
        <f t="shared" si="8"/>
        <v>Middle Age</v>
      </c>
      <c r="G563" s="3" t="s">
        <v>14</v>
      </c>
      <c r="H563" s="2" t="s">
        <v>109</v>
      </c>
      <c r="I563" s="2" t="s">
        <v>34</v>
      </c>
      <c r="J563" s="2" t="s">
        <v>17</v>
      </c>
      <c r="K563" s="11">
        <v>45421</v>
      </c>
      <c r="L563" s="11">
        <v>45547</v>
      </c>
      <c r="M563" s="3">
        <v>20000</v>
      </c>
      <c r="N563" s="3" t="s">
        <v>37</v>
      </c>
      <c r="O563" s="3" t="s">
        <v>55</v>
      </c>
    </row>
    <row r="564" spans="3:15">
      <c r="C564" s="2" t="s">
        <v>1392</v>
      </c>
      <c r="D564" s="2" t="s">
        <v>1384</v>
      </c>
      <c r="E564" s="2">
        <v>20</v>
      </c>
      <c r="F564" t="str">
        <f t="shared" si="8"/>
        <v>Young Adult</v>
      </c>
      <c r="G564" s="2" t="s">
        <v>14</v>
      </c>
      <c r="H564" s="2" t="s">
        <v>58</v>
      </c>
      <c r="I564" s="2" t="s">
        <v>76</v>
      </c>
      <c r="J564" s="2" t="s">
        <v>48</v>
      </c>
      <c r="K564" s="11">
        <v>45579</v>
      </c>
      <c r="L564" s="11">
        <v>45607</v>
      </c>
      <c r="M564" s="2">
        <v>50000</v>
      </c>
      <c r="N564" s="2" t="s">
        <v>37</v>
      </c>
      <c r="O564" s="2" t="s">
        <v>38</v>
      </c>
    </row>
    <row r="565" spans="3:15">
      <c r="C565" s="3" t="s">
        <v>1393</v>
      </c>
      <c r="D565" s="2" t="s">
        <v>1387</v>
      </c>
      <c r="E565" s="3">
        <v>8</v>
      </c>
      <c r="F565" t="str">
        <f t="shared" si="8"/>
        <v>Child</v>
      </c>
      <c r="G565" s="3" t="s">
        <v>338</v>
      </c>
      <c r="H565" s="2" t="s">
        <v>52</v>
      </c>
      <c r="I565" s="2" t="s">
        <v>25</v>
      </c>
      <c r="J565" s="2" t="s">
        <v>35</v>
      </c>
      <c r="K565" s="11">
        <v>45568</v>
      </c>
      <c r="L565" s="11">
        <v>45389</v>
      </c>
      <c r="M565" s="3">
        <v>20000</v>
      </c>
      <c r="N565" s="3" t="s">
        <v>67</v>
      </c>
      <c r="O565" s="3" t="s">
        <v>21</v>
      </c>
    </row>
    <row r="566" spans="3:15">
      <c r="C566" s="2" t="s">
        <v>1394</v>
      </c>
      <c r="D566" s="2" t="s">
        <v>372</v>
      </c>
      <c r="E566" s="2">
        <v>65</v>
      </c>
      <c r="F566" t="str">
        <f t="shared" si="8"/>
        <v>Senior</v>
      </c>
      <c r="G566" s="2" t="s">
        <v>14</v>
      </c>
      <c r="H566" s="2" t="s">
        <v>70</v>
      </c>
      <c r="I566" s="2" t="s">
        <v>132</v>
      </c>
      <c r="J566" s="2" t="s">
        <v>35</v>
      </c>
      <c r="K566" s="11">
        <v>45411</v>
      </c>
      <c r="L566" s="11">
        <v>45434</v>
      </c>
      <c r="M566" s="2">
        <v>5000</v>
      </c>
      <c r="N566" s="2" t="s">
        <v>37</v>
      </c>
      <c r="O566" s="2" t="s">
        <v>21</v>
      </c>
    </row>
    <row r="567" spans="3:15">
      <c r="C567" s="3" t="s">
        <v>1395</v>
      </c>
      <c r="D567" s="2" t="s">
        <v>1391</v>
      </c>
      <c r="E567" s="3">
        <v>88</v>
      </c>
      <c r="F567" t="str">
        <f t="shared" si="8"/>
        <v>Senior</v>
      </c>
      <c r="G567" s="3" t="s">
        <v>32</v>
      </c>
      <c r="H567" s="2" t="s">
        <v>775</v>
      </c>
      <c r="I567" s="2" t="s">
        <v>34</v>
      </c>
      <c r="J567" s="2" t="s">
        <v>99</v>
      </c>
      <c r="K567" s="11">
        <v>45356</v>
      </c>
      <c r="L567" s="11">
        <v>45422</v>
      </c>
      <c r="M567" s="3">
        <v>12000</v>
      </c>
      <c r="N567" s="3" t="s">
        <v>67</v>
      </c>
      <c r="O567" s="3" t="s">
        <v>87</v>
      </c>
    </row>
    <row r="568" spans="3:15">
      <c r="C568" s="2" t="s">
        <v>1397</v>
      </c>
      <c r="D568" s="2" t="s">
        <v>623</v>
      </c>
      <c r="E568" s="2">
        <v>6</v>
      </c>
      <c r="F568" t="str">
        <f t="shared" si="8"/>
        <v>Child</v>
      </c>
      <c r="G568" s="2" t="s">
        <v>32</v>
      </c>
      <c r="H568" s="2" t="s">
        <v>15</v>
      </c>
      <c r="I568" s="2" t="s">
        <v>42</v>
      </c>
      <c r="J568" s="2" t="s">
        <v>53</v>
      </c>
      <c r="K568" s="11">
        <v>45475</v>
      </c>
      <c r="L568" s="11">
        <v>45343</v>
      </c>
      <c r="M568" s="2">
        <v>8000</v>
      </c>
      <c r="N568" s="2" t="s">
        <v>67</v>
      </c>
      <c r="O568" s="2" t="s">
        <v>21</v>
      </c>
    </row>
    <row r="569" spans="3:15">
      <c r="C569" s="3" t="s">
        <v>1398</v>
      </c>
      <c r="D569" s="2" t="s">
        <v>74</v>
      </c>
      <c r="E569" s="3">
        <v>28</v>
      </c>
      <c r="F569" t="str">
        <f t="shared" si="8"/>
        <v>Young Adult</v>
      </c>
      <c r="G569" s="3" t="s">
        <v>14</v>
      </c>
      <c r="H569" s="2" t="s">
        <v>85</v>
      </c>
      <c r="I569" s="2" t="s">
        <v>132</v>
      </c>
      <c r="J569" s="2" t="s">
        <v>48</v>
      </c>
      <c r="K569" s="11">
        <v>45528</v>
      </c>
      <c r="L569" s="11">
        <v>45537</v>
      </c>
      <c r="M569" s="3">
        <v>8000</v>
      </c>
      <c r="N569" s="3" t="s">
        <v>37</v>
      </c>
      <c r="O569" s="3" t="s">
        <v>21</v>
      </c>
    </row>
    <row r="570" spans="3:15">
      <c r="C570" s="2" t="s">
        <v>1399</v>
      </c>
      <c r="D570" s="2" t="s">
        <v>253</v>
      </c>
      <c r="E570" s="2">
        <v>14</v>
      </c>
      <c r="F570" t="str">
        <f t="shared" si="8"/>
        <v>Child</v>
      </c>
      <c r="G570" s="2" t="s">
        <v>32</v>
      </c>
      <c r="H570" s="2" t="s">
        <v>58</v>
      </c>
      <c r="I570" s="2" t="s">
        <v>132</v>
      </c>
      <c r="J570" s="2" t="s">
        <v>104</v>
      </c>
      <c r="K570" s="11">
        <v>45332</v>
      </c>
      <c r="L570" s="11">
        <v>45582</v>
      </c>
      <c r="M570" s="2">
        <v>5000</v>
      </c>
      <c r="N570" s="2" t="s">
        <v>29</v>
      </c>
      <c r="O570" s="2" t="s">
        <v>38</v>
      </c>
    </row>
    <row r="571" spans="3:15">
      <c r="C571" s="3" t="s">
        <v>1400</v>
      </c>
      <c r="D571" s="2" t="s">
        <v>1396</v>
      </c>
      <c r="E571" s="3" t="s">
        <v>775</v>
      </c>
      <c r="F571" t="str">
        <f t="shared" si="8"/>
        <v>Unknown</v>
      </c>
      <c r="G571" s="3" t="s">
        <v>32</v>
      </c>
      <c r="H571" s="2" t="s">
        <v>33</v>
      </c>
      <c r="I571" s="2" t="s">
        <v>76</v>
      </c>
      <c r="J571" s="2" t="s">
        <v>35</v>
      </c>
      <c r="K571" s="11">
        <v>45549</v>
      </c>
      <c r="L571" s="11">
        <v>45553</v>
      </c>
      <c r="M571" s="3">
        <v>25000</v>
      </c>
      <c r="N571" s="3" t="s">
        <v>37</v>
      </c>
      <c r="O571" s="3" t="s">
        <v>87</v>
      </c>
    </row>
    <row r="572" spans="3:15">
      <c r="C572" s="2" t="s">
        <v>1401</v>
      </c>
      <c r="D572" s="2" t="s">
        <v>1101</v>
      </c>
      <c r="E572" s="2">
        <v>33</v>
      </c>
      <c r="F572" t="str">
        <f t="shared" si="8"/>
        <v>Young Adult</v>
      </c>
      <c r="G572" s="2" t="s">
        <v>14</v>
      </c>
      <c r="H572" s="2" t="s">
        <v>109</v>
      </c>
      <c r="I572" s="2" t="s">
        <v>34</v>
      </c>
      <c r="J572" s="2" t="s">
        <v>26</v>
      </c>
      <c r="K572" s="11">
        <v>45483</v>
      </c>
      <c r="L572" s="11">
        <v>45489</v>
      </c>
      <c r="M572" s="2">
        <v>35000</v>
      </c>
      <c r="N572" s="2" t="s">
        <v>37</v>
      </c>
      <c r="O572" s="2" t="s">
        <v>55</v>
      </c>
    </row>
    <row r="573" spans="3:15">
      <c r="C573" s="3" t="s">
        <v>1403</v>
      </c>
      <c r="D573" s="2" t="s">
        <v>971</v>
      </c>
      <c r="E573" s="3">
        <v>12</v>
      </c>
      <c r="F573" t="str">
        <f t="shared" si="8"/>
        <v>Child</v>
      </c>
      <c r="G573" s="3" t="s">
        <v>32</v>
      </c>
      <c r="H573" s="2" t="s">
        <v>85</v>
      </c>
      <c r="I573" s="2" t="s">
        <v>42</v>
      </c>
      <c r="J573" s="2" t="s">
        <v>35</v>
      </c>
      <c r="K573" s="11">
        <v>45631</v>
      </c>
      <c r="L573" s="11">
        <v>45445</v>
      </c>
      <c r="M573" s="3">
        <v>12000</v>
      </c>
      <c r="N573" s="3" t="s">
        <v>20</v>
      </c>
      <c r="O573" s="3" t="s">
        <v>87</v>
      </c>
    </row>
    <row r="574" spans="3:15">
      <c r="C574" s="2" t="s">
        <v>1404</v>
      </c>
      <c r="D574" s="2" t="s">
        <v>731</v>
      </c>
      <c r="E574" s="2">
        <v>17</v>
      </c>
      <c r="F574" t="str">
        <f t="shared" si="8"/>
        <v>Child</v>
      </c>
      <c r="G574" s="2" t="s">
        <v>14</v>
      </c>
      <c r="H574" s="2" t="s">
        <v>70</v>
      </c>
      <c r="I574" s="2" t="s">
        <v>25</v>
      </c>
      <c r="J574" s="2" t="s">
        <v>53</v>
      </c>
      <c r="K574" s="11">
        <v>45492</v>
      </c>
      <c r="L574" s="11">
        <v>45500</v>
      </c>
      <c r="M574" s="2">
        <v>75000</v>
      </c>
      <c r="N574" s="2" t="s">
        <v>29</v>
      </c>
      <c r="O574" s="2" t="s">
        <v>38</v>
      </c>
    </row>
    <row r="575" spans="3:15">
      <c r="C575" s="3" t="s">
        <v>1406</v>
      </c>
      <c r="D575" s="2" t="s">
        <v>1337</v>
      </c>
      <c r="E575" s="3">
        <v>28</v>
      </c>
      <c r="F575" t="str">
        <f t="shared" si="8"/>
        <v>Young Adult</v>
      </c>
      <c r="G575" s="3" t="s">
        <v>32</v>
      </c>
      <c r="H575" s="2" t="s">
        <v>52</v>
      </c>
      <c r="I575" s="2" t="s">
        <v>132</v>
      </c>
      <c r="J575" s="2" t="s">
        <v>26</v>
      </c>
      <c r="K575" s="11">
        <v>45386</v>
      </c>
      <c r="L575" s="11">
        <v>45415</v>
      </c>
      <c r="M575" s="3">
        <v>0</v>
      </c>
      <c r="N575" s="3" t="s">
        <v>67</v>
      </c>
      <c r="O575" s="3" t="s">
        <v>21</v>
      </c>
    </row>
    <row r="576" spans="3:15">
      <c r="C576" s="2" t="s">
        <v>1408</v>
      </c>
      <c r="D576" s="2" t="s">
        <v>1203</v>
      </c>
      <c r="E576" s="2">
        <v>50</v>
      </c>
      <c r="F576" t="str">
        <f t="shared" si="8"/>
        <v>Middle Age</v>
      </c>
      <c r="G576" s="2" t="s">
        <v>32</v>
      </c>
      <c r="H576" s="2" t="s">
        <v>33</v>
      </c>
      <c r="I576" s="2" t="s">
        <v>42</v>
      </c>
      <c r="J576" s="2" t="s">
        <v>99</v>
      </c>
      <c r="K576" s="11">
        <v>45636</v>
      </c>
      <c r="L576" s="11">
        <v>45596</v>
      </c>
      <c r="M576" s="2">
        <v>8000</v>
      </c>
      <c r="N576" s="2" t="s">
        <v>67</v>
      </c>
      <c r="O576" s="2" t="s">
        <v>21</v>
      </c>
    </row>
    <row r="577" spans="3:15">
      <c r="C577" s="3" t="s">
        <v>1410</v>
      </c>
      <c r="D577" s="2" t="s">
        <v>291</v>
      </c>
      <c r="E577" s="3">
        <v>24</v>
      </c>
      <c r="F577" t="str">
        <f t="shared" si="8"/>
        <v>Young Adult</v>
      </c>
      <c r="G577" s="3" t="s">
        <v>14</v>
      </c>
      <c r="H577" s="2" t="s">
        <v>52</v>
      </c>
      <c r="I577" s="2" t="s">
        <v>132</v>
      </c>
      <c r="J577" s="2" t="s">
        <v>99</v>
      </c>
      <c r="K577" s="11">
        <v>45310</v>
      </c>
      <c r="L577" s="11">
        <v>45338</v>
      </c>
      <c r="M577" s="3">
        <v>5000</v>
      </c>
      <c r="N577" s="3" t="s">
        <v>29</v>
      </c>
      <c r="O577" s="3" t="s">
        <v>55</v>
      </c>
    </row>
    <row r="578" spans="3:15">
      <c r="C578" s="2" t="s">
        <v>1412</v>
      </c>
      <c r="D578" s="2" t="s">
        <v>1405</v>
      </c>
      <c r="E578" s="2">
        <v>15</v>
      </c>
      <c r="F578" t="str">
        <f t="shared" si="8"/>
        <v>Child</v>
      </c>
      <c r="G578" s="2" t="s">
        <v>14</v>
      </c>
      <c r="H578" s="2" t="s">
        <v>109</v>
      </c>
      <c r="I578" s="2" t="s">
        <v>127</v>
      </c>
      <c r="J578" s="2" t="s">
        <v>35</v>
      </c>
      <c r="K578" s="11">
        <v>45397</v>
      </c>
      <c r="L578" s="11">
        <v>45427</v>
      </c>
      <c r="M578" s="2">
        <v>20000</v>
      </c>
      <c r="N578" s="2" t="s">
        <v>37</v>
      </c>
      <c r="O578" s="2" t="s">
        <v>55</v>
      </c>
    </row>
    <row r="579" spans="3:15">
      <c r="C579" s="3" t="s">
        <v>1413</v>
      </c>
      <c r="D579" s="2" t="s">
        <v>1014</v>
      </c>
      <c r="E579" s="3">
        <v>52</v>
      </c>
      <c r="F579" t="str">
        <f t="shared" si="8"/>
        <v>Middle Age</v>
      </c>
      <c r="G579" s="3" t="s">
        <v>32</v>
      </c>
      <c r="H579" s="2" t="s">
        <v>70</v>
      </c>
      <c r="I579" s="2" t="s">
        <v>16</v>
      </c>
      <c r="J579" s="2" t="s">
        <v>26</v>
      </c>
      <c r="K579" s="11">
        <v>45470</v>
      </c>
      <c r="L579" s="11">
        <v>45483</v>
      </c>
      <c r="M579" s="3">
        <v>50000</v>
      </c>
      <c r="N579" s="3" t="s">
        <v>29</v>
      </c>
      <c r="O579" s="3" t="s">
        <v>87</v>
      </c>
    </row>
    <row r="580" spans="3:15">
      <c r="C580" s="2" t="s">
        <v>1414</v>
      </c>
      <c r="D580" s="2" t="s">
        <v>1409</v>
      </c>
      <c r="E580" s="2">
        <v>53</v>
      </c>
      <c r="F580" t="str">
        <f t="shared" si="8"/>
        <v>Middle Age</v>
      </c>
      <c r="G580" s="2" t="s">
        <v>41</v>
      </c>
      <c r="H580" s="2" t="s">
        <v>109</v>
      </c>
      <c r="I580" s="2" t="s">
        <v>132</v>
      </c>
      <c r="J580" s="2" t="s">
        <v>53</v>
      </c>
      <c r="K580" s="11">
        <v>45604</v>
      </c>
      <c r="L580" s="11">
        <v>45537</v>
      </c>
      <c r="M580" s="2">
        <v>25000</v>
      </c>
      <c r="N580" s="2" t="s">
        <v>37</v>
      </c>
      <c r="O580" s="2" t="s">
        <v>21</v>
      </c>
    </row>
    <row r="581" spans="3:15">
      <c r="C581" s="3" t="s">
        <v>1415</v>
      </c>
      <c r="D581" s="2" t="s">
        <v>1411</v>
      </c>
      <c r="E581" s="3">
        <v>55</v>
      </c>
      <c r="F581" t="str">
        <f t="shared" si="8"/>
        <v>Middle Age</v>
      </c>
      <c r="G581" s="3" t="s">
        <v>32</v>
      </c>
      <c r="H581" s="2" t="s">
        <v>109</v>
      </c>
      <c r="I581" s="2" t="s">
        <v>42</v>
      </c>
      <c r="J581" s="2" t="s">
        <v>35</v>
      </c>
      <c r="K581" s="11">
        <v>45578</v>
      </c>
      <c r="L581" s="11">
        <v>45585</v>
      </c>
      <c r="M581" s="3">
        <v>100000</v>
      </c>
      <c r="N581" s="3" t="s">
        <v>37</v>
      </c>
      <c r="O581" s="3" t="s">
        <v>21</v>
      </c>
    </row>
    <row r="582" spans="3:15">
      <c r="C582" s="2" t="s">
        <v>1417</v>
      </c>
      <c r="D582" s="2" t="s">
        <v>312</v>
      </c>
      <c r="E582" s="2">
        <v>7</v>
      </c>
      <c r="F582" t="str">
        <f t="shared" si="8"/>
        <v>Child</v>
      </c>
      <c r="G582" s="2" t="s">
        <v>14</v>
      </c>
      <c r="H582" s="2" t="s">
        <v>85</v>
      </c>
      <c r="I582" s="2" t="s">
        <v>34</v>
      </c>
      <c r="J582" s="2" t="s">
        <v>99</v>
      </c>
      <c r="K582" s="11">
        <v>45392</v>
      </c>
      <c r="L582" s="11">
        <v>45594</v>
      </c>
      <c r="M582" s="2">
        <v>20000</v>
      </c>
      <c r="N582" s="2" t="s">
        <v>29</v>
      </c>
      <c r="O582" s="2" t="s">
        <v>55</v>
      </c>
    </row>
    <row r="583" spans="3:15">
      <c r="C583" s="3" t="s">
        <v>1418</v>
      </c>
      <c r="D583" s="2" t="s">
        <v>1384</v>
      </c>
      <c r="E583" s="3">
        <v>24</v>
      </c>
      <c r="F583" t="str">
        <f t="shared" si="8"/>
        <v>Young Adult</v>
      </c>
      <c r="G583" s="3" t="s">
        <v>14</v>
      </c>
      <c r="H583" s="2" t="s">
        <v>58</v>
      </c>
      <c r="I583" s="2" t="s">
        <v>76</v>
      </c>
      <c r="J583" s="2" t="s">
        <v>26</v>
      </c>
      <c r="K583" s="11">
        <v>45431</v>
      </c>
      <c r="L583" s="11">
        <v>45442</v>
      </c>
      <c r="M583" s="3">
        <v>15000</v>
      </c>
      <c r="N583" s="3" t="s">
        <v>29</v>
      </c>
      <c r="O583" s="3" t="s">
        <v>87</v>
      </c>
    </row>
    <row r="584" spans="3:15">
      <c r="C584" s="2" t="s">
        <v>1419</v>
      </c>
      <c r="D584" s="2" t="s">
        <v>1323</v>
      </c>
      <c r="E584" s="2">
        <v>85</v>
      </c>
      <c r="F584" t="str">
        <f t="shared" si="8"/>
        <v>Senior</v>
      </c>
      <c r="G584" s="2" t="s">
        <v>14</v>
      </c>
      <c r="H584" s="2" t="s">
        <v>33</v>
      </c>
      <c r="I584" s="2" t="s">
        <v>76</v>
      </c>
      <c r="J584" s="2" t="s">
        <v>35</v>
      </c>
      <c r="K584" s="11">
        <v>45631</v>
      </c>
      <c r="L584" s="11">
        <v>45433</v>
      </c>
      <c r="M584" s="2">
        <v>75000</v>
      </c>
      <c r="N584" s="2" t="s">
        <v>20</v>
      </c>
      <c r="O584" s="2" t="s">
        <v>38</v>
      </c>
    </row>
    <row r="585" spans="3:15">
      <c r="C585" s="3" t="s">
        <v>1420</v>
      </c>
      <c r="D585" s="2" t="s">
        <v>681</v>
      </c>
      <c r="E585" s="3">
        <v>30</v>
      </c>
      <c r="F585" t="str">
        <f t="shared" si="8"/>
        <v>Young Adult</v>
      </c>
      <c r="G585" s="3" t="s">
        <v>14</v>
      </c>
      <c r="H585" s="2" t="s">
        <v>52</v>
      </c>
      <c r="I585" s="2" t="s">
        <v>127</v>
      </c>
      <c r="J585" s="2" t="s">
        <v>35</v>
      </c>
      <c r="K585" s="11">
        <v>45476</v>
      </c>
      <c r="L585" s="11">
        <v>45369</v>
      </c>
      <c r="M585" s="3">
        <v>75000</v>
      </c>
      <c r="N585" s="3" t="s">
        <v>67</v>
      </c>
      <c r="O585" s="3" t="s">
        <v>21</v>
      </c>
    </row>
    <row r="586" spans="3:15">
      <c r="C586" s="2" t="s">
        <v>1421</v>
      </c>
      <c r="D586" s="2" t="s">
        <v>1078</v>
      </c>
      <c r="E586" s="2">
        <v>57</v>
      </c>
      <c r="F586" t="str">
        <f t="shared" ref="F586:F649" si="9">IF(E586="Unknown","Unknown",IF(E586&lt;18,"Child",IF(E586&lt;40,"Young Adult",IF(E586&lt;60,"Middle Age","Senior"))))</f>
        <v>Middle Age</v>
      </c>
      <c r="G586" s="2" t="s">
        <v>14</v>
      </c>
      <c r="H586" s="2" t="s">
        <v>85</v>
      </c>
      <c r="I586" s="2" t="s">
        <v>132</v>
      </c>
      <c r="J586" s="2" t="s">
        <v>53</v>
      </c>
      <c r="K586" s="11">
        <v>45508</v>
      </c>
      <c r="L586" s="11">
        <v>45394</v>
      </c>
      <c r="M586" s="2">
        <v>35000</v>
      </c>
      <c r="N586" s="2" t="s">
        <v>20</v>
      </c>
      <c r="O586" s="2" t="s">
        <v>21</v>
      </c>
    </row>
    <row r="587" spans="3:15">
      <c r="C587" s="3" t="s">
        <v>1422</v>
      </c>
      <c r="D587" s="2" t="s">
        <v>286</v>
      </c>
      <c r="E587" s="3">
        <v>28</v>
      </c>
      <c r="F587" t="str">
        <f t="shared" si="9"/>
        <v>Young Adult</v>
      </c>
      <c r="G587" s="3" t="s">
        <v>14</v>
      </c>
      <c r="H587" s="2" t="s">
        <v>70</v>
      </c>
      <c r="I587" s="2" t="s">
        <v>132</v>
      </c>
      <c r="J587" s="2" t="s">
        <v>53</v>
      </c>
      <c r="K587" s="11">
        <v>45558</v>
      </c>
      <c r="L587" s="11">
        <v>45572</v>
      </c>
      <c r="M587" s="3">
        <v>35000</v>
      </c>
      <c r="N587" s="3" t="s">
        <v>37</v>
      </c>
      <c r="O587" s="3" t="s">
        <v>38</v>
      </c>
    </row>
    <row r="588" spans="3:15">
      <c r="C588" s="2" t="s">
        <v>1423</v>
      </c>
      <c r="D588" s="2" t="s">
        <v>1069</v>
      </c>
      <c r="E588" s="2">
        <v>73</v>
      </c>
      <c r="F588" t="str">
        <f t="shared" si="9"/>
        <v>Senior</v>
      </c>
      <c r="G588" s="2" t="s">
        <v>14</v>
      </c>
      <c r="H588" s="2" t="s">
        <v>33</v>
      </c>
      <c r="I588" s="2" t="s">
        <v>16</v>
      </c>
      <c r="J588" s="2" t="s">
        <v>104</v>
      </c>
      <c r="K588" s="11">
        <v>45343</v>
      </c>
      <c r="L588" s="11">
        <v>45354</v>
      </c>
      <c r="M588" s="2">
        <v>0</v>
      </c>
      <c r="N588" s="2" t="s">
        <v>775</v>
      </c>
      <c r="O588" s="2" t="s">
        <v>55</v>
      </c>
    </row>
    <row r="589" spans="3:15">
      <c r="C589" s="3" t="s">
        <v>1424</v>
      </c>
      <c r="D589" s="2" t="s">
        <v>13</v>
      </c>
      <c r="E589" s="3">
        <v>44</v>
      </c>
      <c r="F589" t="str">
        <f t="shared" si="9"/>
        <v>Middle Age</v>
      </c>
      <c r="G589" s="3" t="s">
        <v>14</v>
      </c>
      <c r="H589" s="2" t="s">
        <v>85</v>
      </c>
      <c r="I589" s="2" t="s">
        <v>16</v>
      </c>
      <c r="J589" s="2" t="s">
        <v>35</v>
      </c>
      <c r="K589" s="11">
        <v>45533</v>
      </c>
      <c r="L589" s="11">
        <v>45556</v>
      </c>
      <c r="M589" s="3">
        <v>50000</v>
      </c>
      <c r="N589" s="3" t="s">
        <v>37</v>
      </c>
      <c r="O589" s="3" t="s">
        <v>38</v>
      </c>
    </row>
    <row r="590" spans="3:15">
      <c r="C590" s="2" t="s">
        <v>1425</v>
      </c>
      <c r="D590" s="2" t="s">
        <v>958</v>
      </c>
      <c r="E590" s="2">
        <v>43</v>
      </c>
      <c r="F590" t="str">
        <f t="shared" si="9"/>
        <v>Middle Age</v>
      </c>
      <c r="G590" s="2" t="s">
        <v>32</v>
      </c>
      <c r="H590" s="2" t="s">
        <v>109</v>
      </c>
      <c r="I590" s="2" t="s">
        <v>42</v>
      </c>
      <c r="J590" s="2" t="s">
        <v>17</v>
      </c>
      <c r="K590" s="11">
        <v>45338</v>
      </c>
      <c r="L590" s="11">
        <v>45348</v>
      </c>
      <c r="M590" s="2">
        <v>75000</v>
      </c>
      <c r="N590" s="2" t="s">
        <v>29</v>
      </c>
      <c r="O590" s="2" t="s">
        <v>87</v>
      </c>
    </row>
    <row r="591" spans="3:15">
      <c r="C591" s="3" t="s">
        <v>1427</v>
      </c>
      <c r="D591" s="2" t="s">
        <v>1231</v>
      </c>
      <c r="E591" s="3">
        <v>81</v>
      </c>
      <c r="F591" t="str">
        <f t="shared" si="9"/>
        <v>Senior</v>
      </c>
      <c r="G591" s="3" t="s">
        <v>32</v>
      </c>
      <c r="H591" s="2" t="s">
        <v>58</v>
      </c>
      <c r="I591" s="2" t="s">
        <v>16</v>
      </c>
      <c r="J591" s="2" t="s">
        <v>17</v>
      </c>
      <c r="K591" s="11">
        <v>45533</v>
      </c>
      <c r="L591" s="11">
        <v>45536</v>
      </c>
      <c r="M591" s="3">
        <v>25000</v>
      </c>
      <c r="N591" s="3" t="s">
        <v>67</v>
      </c>
      <c r="O591" s="3" t="s">
        <v>38</v>
      </c>
    </row>
    <row r="592" spans="3:15">
      <c r="C592" s="2" t="s">
        <v>1428</v>
      </c>
      <c r="D592" s="2" t="s">
        <v>639</v>
      </c>
      <c r="E592" s="2">
        <v>12</v>
      </c>
      <c r="F592" t="str">
        <f t="shared" si="9"/>
        <v>Child</v>
      </c>
      <c r="G592" s="2" t="s">
        <v>32</v>
      </c>
      <c r="H592" s="2" t="s">
        <v>33</v>
      </c>
      <c r="I592" s="2" t="s">
        <v>16</v>
      </c>
      <c r="J592" s="2" t="s">
        <v>48</v>
      </c>
      <c r="K592" s="11">
        <v>45466</v>
      </c>
      <c r="L592" s="11">
        <v>45488</v>
      </c>
      <c r="M592" s="2">
        <v>8000</v>
      </c>
      <c r="N592" s="2" t="s">
        <v>29</v>
      </c>
      <c r="O592" s="2" t="s">
        <v>87</v>
      </c>
    </row>
    <row r="593" spans="3:15">
      <c r="C593" s="3" t="s">
        <v>1429</v>
      </c>
      <c r="D593" s="2" t="s">
        <v>768</v>
      </c>
      <c r="E593" s="3">
        <v>67</v>
      </c>
      <c r="F593" t="str">
        <f t="shared" si="9"/>
        <v>Senior</v>
      </c>
      <c r="G593" s="3" t="s">
        <v>14</v>
      </c>
      <c r="H593" s="2" t="s">
        <v>15</v>
      </c>
      <c r="I593" s="2" t="s">
        <v>127</v>
      </c>
      <c r="J593" s="2" t="s">
        <v>48</v>
      </c>
      <c r="K593" s="11">
        <v>45481</v>
      </c>
      <c r="L593" s="11">
        <v>45540</v>
      </c>
      <c r="M593" s="3">
        <v>12000</v>
      </c>
      <c r="N593" s="3" t="s">
        <v>29</v>
      </c>
      <c r="O593" s="3" t="s">
        <v>38</v>
      </c>
    </row>
    <row r="594" spans="3:15">
      <c r="C594" s="2" t="s">
        <v>1430</v>
      </c>
      <c r="D594" s="2" t="s">
        <v>1426</v>
      </c>
      <c r="E594" s="2">
        <v>84</v>
      </c>
      <c r="F594" t="str">
        <f t="shared" si="9"/>
        <v>Senior</v>
      </c>
      <c r="G594" s="2" t="s">
        <v>14</v>
      </c>
      <c r="H594" s="2" t="s">
        <v>85</v>
      </c>
      <c r="I594" s="2" t="s">
        <v>42</v>
      </c>
      <c r="J594" s="2" t="s">
        <v>48</v>
      </c>
      <c r="K594" s="11">
        <v>45410</v>
      </c>
      <c r="L594" s="11">
        <v>45420</v>
      </c>
      <c r="M594" s="2">
        <v>5000</v>
      </c>
      <c r="N594" s="2" t="s">
        <v>20</v>
      </c>
      <c r="O594" s="2" t="s">
        <v>87</v>
      </c>
    </row>
    <row r="595" spans="3:15">
      <c r="C595" s="3" t="s">
        <v>1432</v>
      </c>
      <c r="D595" s="2" t="s">
        <v>193</v>
      </c>
      <c r="E595" s="3">
        <v>9</v>
      </c>
      <c r="F595" t="str">
        <f t="shared" si="9"/>
        <v>Child</v>
      </c>
      <c r="G595" s="3" t="s">
        <v>14</v>
      </c>
      <c r="H595" s="2" t="s">
        <v>15</v>
      </c>
      <c r="I595" s="2" t="s">
        <v>132</v>
      </c>
      <c r="J595" s="2" t="s">
        <v>17</v>
      </c>
      <c r="K595" s="11">
        <v>45453</v>
      </c>
      <c r="L595" s="11">
        <v>45598</v>
      </c>
      <c r="M595" s="3">
        <v>12000</v>
      </c>
      <c r="N595" s="3" t="s">
        <v>20</v>
      </c>
      <c r="O595" s="3" t="s">
        <v>87</v>
      </c>
    </row>
    <row r="596" spans="3:15">
      <c r="C596" s="2" t="s">
        <v>1434</v>
      </c>
      <c r="D596" s="2" t="s">
        <v>687</v>
      </c>
      <c r="E596" s="2" t="s">
        <v>775</v>
      </c>
      <c r="F596" t="str">
        <f t="shared" si="9"/>
        <v>Unknown</v>
      </c>
      <c r="G596" s="2" t="s">
        <v>14</v>
      </c>
      <c r="H596" s="2" t="s">
        <v>15</v>
      </c>
      <c r="I596" s="2" t="s">
        <v>34</v>
      </c>
      <c r="J596" s="2" t="s">
        <v>99</v>
      </c>
      <c r="K596" s="11">
        <v>45433</v>
      </c>
      <c r="L596" s="11">
        <v>45440</v>
      </c>
      <c r="M596" s="2">
        <v>75000</v>
      </c>
      <c r="N596" s="2" t="s">
        <v>29</v>
      </c>
      <c r="O596" s="2" t="s">
        <v>87</v>
      </c>
    </row>
    <row r="597" spans="3:15">
      <c r="C597" s="3" t="s">
        <v>1435</v>
      </c>
      <c r="D597" s="2" t="s">
        <v>516</v>
      </c>
      <c r="E597" s="3">
        <v>30</v>
      </c>
      <c r="F597" t="str">
        <f t="shared" si="9"/>
        <v>Young Adult</v>
      </c>
      <c r="G597" s="3" t="s">
        <v>14</v>
      </c>
      <c r="H597" s="2" t="s">
        <v>15</v>
      </c>
      <c r="I597" s="2" t="s">
        <v>132</v>
      </c>
      <c r="J597" s="2" t="s">
        <v>104</v>
      </c>
      <c r="K597" s="11">
        <v>45294</v>
      </c>
      <c r="L597" s="11">
        <v>45371</v>
      </c>
      <c r="M597" s="3">
        <v>75000</v>
      </c>
      <c r="N597" s="3" t="s">
        <v>775</v>
      </c>
      <c r="O597" s="3" t="s">
        <v>87</v>
      </c>
    </row>
    <row r="598" spans="3:15">
      <c r="C598" s="2" t="s">
        <v>1436</v>
      </c>
      <c r="D598" s="2" t="s">
        <v>1431</v>
      </c>
      <c r="E598" s="2">
        <v>9</v>
      </c>
      <c r="F598" t="str">
        <f t="shared" si="9"/>
        <v>Child</v>
      </c>
      <c r="G598" s="2" t="s">
        <v>14</v>
      </c>
      <c r="H598" s="2" t="s">
        <v>15</v>
      </c>
      <c r="I598" s="2" t="s">
        <v>42</v>
      </c>
      <c r="J598" s="2" t="s">
        <v>48</v>
      </c>
      <c r="K598" s="11">
        <v>45552</v>
      </c>
      <c r="L598" s="11">
        <v>45582</v>
      </c>
      <c r="M598" s="2">
        <v>25000</v>
      </c>
      <c r="N598" s="2" t="s">
        <v>37</v>
      </c>
      <c r="O598" s="2" t="s">
        <v>55</v>
      </c>
    </row>
    <row r="599" spans="3:15">
      <c r="C599" s="3" t="s">
        <v>1437</v>
      </c>
      <c r="D599" s="2" t="s">
        <v>1433</v>
      </c>
      <c r="E599" s="3">
        <v>19</v>
      </c>
      <c r="F599" t="str">
        <f t="shared" si="9"/>
        <v>Young Adult</v>
      </c>
      <c r="G599" s="3" t="s">
        <v>14</v>
      </c>
      <c r="H599" s="2" t="s">
        <v>58</v>
      </c>
      <c r="I599" s="2" t="s">
        <v>76</v>
      </c>
      <c r="J599" s="2" t="s">
        <v>104</v>
      </c>
      <c r="K599" s="11">
        <v>45365</v>
      </c>
      <c r="L599" s="11">
        <v>45388</v>
      </c>
      <c r="M599" s="3">
        <v>15000</v>
      </c>
      <c r="N599" s="3" t="s">
        <v>29</v>
      </c>
      <c r="O599" s="3" t="s">
        <v>38</v>
      </c>
    </row>
    <row r="600" spans="3:15">
      <c r="C600" s="2" t="s">
        <v>1438</v>
      </c>
      <c r="D600" s="2" t="s">
        <v>346</v>
      </c>
      <c r="E600" s="2">
        <v>87</v>
      </c>
      <c r="F600" t="str">
        <f t="shared" si="9"/>
        <v>Senior</v>
      </c>
      <c r="G600" s="2" t="s">
        <v>32</v>
      </c>
      <c r="H600" s="2" t="s">
        <v>70</v>
      </c>
      <c r="I600" s="2" t="s">
        <v>25</v>
      </c>
      <c r="J600" s="2" t="s">
        <v>104</v>
      </c>
      <c r="K600" s="11">
        <v>45481</v>
      </c>
      <c r="L600" s="11">
        <v>45516</v>
      </c>
      <c r="M600" s="2">
        <v>5000</v>
      </c>
      <c r="N600" s="2" t="s">
        <v>20</v>
      </c>
      <c r="O600" s="2" t="s">
        <v>55</v>
      </c>
    </row>
    <row r="601" spans="3:15">
      <c r="C601" s="3" t="s">
        <v>1441</v>
      </c>
      <c r="D601" s="2" t="s">
        <v>298</v>
      </c>
      <c r="E601" s="3">
        <v>63</v>
      </c>
      <c r="F601" t="str">
        <f t="shared" si="9"/>
        <v>Senior</v>
      </c>
      <c r="G601" s="3" t="s">
        <v>14</v>
      </c>
      <c r="H601" s="2" t="s">
        <v>58</v>
      </c>
      <c r="I601" s="2" t="s">
        <v>76</v>
      </c>
      <c r="J601" s="2" t="s">
        <v>104</v>
      </c>
      <c r="K601" s="11">
        <v>45519</v>
      </c>
      <c r="L601" s="11">
        <v>45538</v>
      </c>
      <c r="M601" s="3">
        <v>50000</v>
      </c>
      <c r="N601" s="3" t="s">
        <v>67</v>
      </c>
      <c r="O601" s="3" t="s">
        <v>21</v>
      </c>
    </row>
    <row r="602" spans="3:15">
      <c r="C602" s="2" t="s">
        <v>1442</v>
      </c>
      <c r="D602" s="2" t="s">
        <v>958</v>
      </c>
      <c r="E602" s="2">
        <v>70</v>
      </c>
      <c r="F602" t="str">
        <f t="shared" si="9"/>
        <v>Senior</v>
      </c>
      <c r="G602" s="2" t="s">
        <v>32</v>
      </c>
      <c r="H602" s="2" t="s">
        <v>85</v>
      </c>
      <c r="I602" s="2" t="s">
        <v>34</v>
      </c>
      <c r="J602" s="2" t="s">
        <v>104</v>
      </c>
      <c r="K602" s="11">
        <v>45549</v>
      </c>
      <c r="L602" s="11">
        <v>45576</v>
      </c>
      <c r="M602" s="2">
        <v>8000</v>
      </c>
      <c r="N602" s="2" t="s">
        <v>29</v>
      </c>
      <c r="O602" s="2" t="s">
        <v>38</v>
      </c>
    </row>
    <row r="603" spans="3:15">
      <c r="C603" s="3" t="s">
        <v>1444</v>
      </c>
      <c r="D603" s="2" t="s">
        <v>1236</v>
      </c>
      <c r="E603" s="3">
        <v>26</v>
      </c>
      <c r="F603" t="str">
        <f t="shared" si="9"/>
        <v>Young Adult</v>
      </c>
      <c r="G603" s="3" t="s">
        <v>14</v>
      </c>
      <c r="H603" s="2" t="s">
        <v>85</v>
      </c>
      <c r="I603" s="2" t="s">
        <v>127</v>
      </c>
      <c r="J603" s="2" t="s">
        <v>104</v>
      </c>
      <c r="K603" s="11">
        <v>45503</v>
      </c>
      <c r="L603" s="11">
        <v>45524</v>
      </c>
      <c r="M603" s="3">
        <v>100000</v>
      </c>
      <c r="N603" s="3" t="s">
        <v>37</v>
      </c>
      <c r="O603" s="3" t="s">
        <v>38</v>
      </c>
    </row>
    <row r="604" spans="3:15">
      <c r="C604" s="2" t="s">
        <v>1446</v>
      </c>
      <c r="D604" s="2" t="s">
        <v>1439</v>
      </c>
      <c r="E604" s="2">
        <v>39</v>
      </c>
      <c r="F604" t="str">
        <f t="shared" si="9"/>
        <v>Young Adult</v>
      </c>
      <c r="G604" s="2" t="s">
        <v>14</v>
      </c>
      <c r="H604" s="2" t="s">
        <v>15</v>
      </c>
      <c r="I604" s="2" t="s">
        <v>42</v>
      </c>
      <c r="J604" s="2" t="s">
        <v>48</v>
      </c>
      <c r="K604" s="11">
        <v>45530</v>
      </c>
      <c r="L604" s="11">
        <v>45545</v>
      </c>
      <c r="M604" s="2">
        <v>20000</v>
      </c>
      <c r="N604" s="2" t="s">
        <v>29</v>
      </c>
      <c r="O604" s="2" t="s">
        <v>87</v>
      </c>
    </row>
    <row r="605" spans="3:15">
      <c r="C605" s="3" t="s">
        <v>1447</v>
      </c>
      <c r="D605" s="2" t="s">
        <v>51</v>
      </c>
      <c r="E605" s="3">
        <v>35</v>
      </c>
      <c r="F605" t="str">
        <f t="shared" si="9"/>
        <v>Young Adult</v>
      </c>
      <c r="G605" s="3" t="s">
        <v>14</v>
      </c>
      <c r="H605" s="2" t="s">
        <v>33</v>
      </c>
      <c r="I605" s="2" t="s">
        <v>132</v>
      </c>
      <c r="J605" s="2" t="s">
        <v>35</v>
      </c>
      <c r="K605" s="11">
        <v>45559</v>
      </c>
      <c r="L605" s="11">
        <v>45577</v>
      </c>
      <c r="M605" s="3">
        <v>20000</v>
      </c>
      <c r="N605" s="3" t="s">
        <v>20</v>
      </c>
      <c r="O605" s="3" t="s">
        <v>87</v>
      </c>
    </row>
    <row r="606" spans="3:15">
      <c r="C606" s="2" t="s">
        <v>1449</v>
      </c>
      <c r="D606" s="2" t="s">
        <v>1443</v>
      </c>
      <c r="E606" s="2" t="s">
        <v>775</v>
      </c>
      <c r="F606" t="str">
        <f t="shared" si="9"/>
        <v>Unknown</v>
      </c>
      <c r="G606" s="2" t="s">
        <v>338</v>
      </c>
      <c r="H606" s="2" t="s">
        <v>70</v>
      </c>
      <c r="I606" s="2" t="s">
        <v>42</v>
      </c>
      <c r="J606" s="2" t="s">
        <v>104</v>
      </c>
      <c r="K606" s="11">
        <v>45466</v>
      </c>
      <c r="L606" s="11">
        <v>45491</v>
      </c>
      <c r="M606" s="2">
        <v>8000</v>
      </c>
      <c r="N606" s="2" t="s">
        <v>37</v>
      </c>
      <c r="O606" s="2" t="s">
        <v>38</v>
      </c>
    </row>
    <row r="607" spans="3:15">
      <c r="C607" s="3" t="s">
        <v>1451</v>
      </c>
      <c r="D607" s="2" t="s">
        <v>1445</v>
      </c>
      <c r="E607" s="3">
        <v>70</v>
      </c>
      <c r="F607" t="str">
        <f t="shared" si="9"/>
        <v>Senior</v>
      </c>
      <c r="G607" s="3" t="s">
        <v>14</v>
      </c>
      <c r="H607" s="2" t="s">
        <v>15</v>
      </c>
      <c r="I607" s="2" t="s">
        <v>127</v>
      </c>
      <c r="J607" s="2" t="s">
        <v>53</v>
      </c>
      <c r="K607" s="11">
        <v>45434</v>
      </c>
      <c r="L607" s="11">
        <v>45462</v>
      </c>
      <c r="M607" s="3">
        <v>75000</v>
      </c>
      <c r="N607" s="3" t="s">
        <v>67</v>
      </c>
      <c r="O607" s="3" t="s">
        <v>21</v>
      </c>
    </row>
    <row r="608" spans="3:15">
      <c r="C608" s="2" t="s">
        <v>1452</v>
      </c>
      <c r="D608" s="2" t="s">
        <v>841</v>
      </c>
      <c r="E608" s="2">
        <v>86</v>
      </c>
      <c r="F608" t="str">
        <f t="shared" si="9"/>
        <v>Senior</v>
      </c>
      <c r="G608" s="2" t="s">
        <v>14</v>
      </c>
      <c r="H608" s="2" t="s">
        <v>70</v>
      </c>
      <c r="I608" s="2" t="s">
        <v>127</v>
      </c>
      <c r="J608" s="2" t="s">
        <v>104</v>
      </c>
      <c r="K608" s="11">
        <v>45310</v>
      </c>
      <c r="L608" s="11">
        <v>45319</v>
      </c>
      <c r="M608" s="2">
        <v>15000</v>
      </c>
      <c r="N608" s="2" t="s">
        <v>29</v>
      </c>
      <c r="O608" s="2" t="s">
        <v>55</v>
      </c>
    </row>
    <row r="609" spans="3:15">
      <c r="C609" s="3" t="s">
        <v>1453</v>
      </c>
      <c r="D609" s="2" t="s">
        <v>1448</v>
      </c>
      <c r="E609" s="3">
        <v>58</v>
      </c>
      <c r="F609" t="str">
        <f t="shared" si="9"/>
        <v>Middle Age</v>
      </c>
      <c r="G609" s="3" t="s">
        <v>32</v>
      </c>
      <c r="H609" s="2" t="s">
        <v>33</v>
      </c>
      <c r="I609" s="2" t="s">
        <v>76</v>
      </c>
      <c r="J609" s="2" t="s">
        <v>26</v>
      </c>
      <c r="K609" s="11">
        <v>45417</v>
      </c>
      <c r="L609" s="11">
        <v>45424</v>
      </c>
      <c r="M609" s="3">
        <v>35000</v>
      </c>
      <c r="N609" s="3" t="s">
        <v>37</v>
      </c>
      <c r="O609" s="3" t="s">
        <v>55</v>
      </c>
    </row>
    <row r="610" spans="3:15">
      <c r="C610" s="2" t="s">
        <v>1454</v>
      </c>
      <c r="D610" s="2" t="s">
        <v>1450</v>
      </c>
      <c r="E610" s="2" t="s">
        <v>775</v>
      </c>
      <c r="F610" t="str">
        <f t="shared" si="9"/>
        <v>Unknown</v>
      </c>
      <c r="G610" s="2" t="s">
        <v>32</v>
      </c>
      <c r="H610" s="2" t="s">
        <v>52</v>
      </c>
      <c r="I610" s="2" t="s">
        <v>34</v>
      </c>
      <c r="J610" s="2" t="s">
        <v>53</v>
      </c>
      <c r="K610" s="11">
        <v>45349</v>
      </c>
      <c r="L610" s="11">
        <v>45365</v>
      </c>
      <c r="M610" s="2">
        <v>100000</v>
      </c>
      <c r="N610" s="2" t="s">
        <v>67</v>
      </c>
      <c r="O610" s="2" t="s">
        <v>21</v>
      </c>
    </row>
    <row r="611" spans="3:15">
      <c r="C611" s="3" t="s">
        <v>1455</v>
      </c>
      <c r="D611" s="2" t="s">
        <v>392</v>
      </c>
      <c r="E611" s="3">
        <v>74</v>
      </c>
      <c r="F611" t="str">
        <f t="shared" si="9"/>
        <v>Senior</v>
      </c>
      <c r="G611" s="3" t="s">
        <v>32</v>
      </c>
      <c r="H611" s="2" t="s">
        <v>33</v>
      </c>
      <c r="I611" s="2" t="s">
        <v>25</v>
      </c>
      <c r="J611" s="2" t="s">
        <v>99</v>
      </c>
      <c r="K611" s="11">
        <v>45536</v>
      </c>
      <c r="L611" s="11">
        <v>45329</v>
      </c>
      <c r="M611" s="3">
        <v>75000</v>
      </c>
      <c r="N611" s="3" t="s">
        <v>20</v>
      </c>
      <c r="O611" s="3" t="s">
        <v>87</v>
      </c>
    </row>
    <row r="612" spans="3:15">
      <c r="C612" s="2" t="s">
        <v>1456</v>
      </c>
      <c r="D612" s="2" t="s">
        <v>985</v>
      </c>
      <c r="E612" s="2">
        <v>6</v>
      </c>
      <c r="F612" t="str">
        <f t="shared" si="9"/>
        <v>Child</v>
      </c>
      <c r="G612" s="2" t="s">
        <v>14</v>
      </c>
      <c r="H612" s="2" t="s">
        <v>52</v>
      </c>
      <c r="I612" s="2" t="s">
        <v>42</v>
      </c>
      <c r="J612" s="2" t="s">
        <v>48</v>
      </c>
      <c r="K612" s="11">
        <v>45467</v>
      </c>
      <c r="L612" s="11">
        <v>45495</v>
      </c>
      <c r="M612" s="2">
        <v>12000</v>
      </c>
      <c r="N612" s="2" t="s">
        <v>20</v>
      </c>
      <c r="O612" s="2" t="s">
        <v>21</v>
      </c>
    </row>
    <row r="613" spans="3:15">
      <c r="C613" s="3" t="s">
        <v>1457</v>
      </c>
      <c r="D613" s="2" t="s">
        <v>1163</v>
      </c>
      <c r="E613" s="3">
        <v>50</v>
      </c>
      <c r="F613" t="str">
        <f t="shared" si="9"/>
        <v>Middle Age</v>
      </c>
      <c r="G613" s="3" t="s">
        <v>14</v>
      </c>
      <c r="H613" s="2" t="s">
        <v>58</v>
      </c>
      <c r="I613" s="2" t="s">
        <v>16</v>
      </c>
      <c r="J613" s="2" t="s">
        <v>26</v>
      </c>
      <c r="K613" s="11">
        <v>45627</v>
      </c>
      <c r="L613" s="11">
        <v>45329</v>
      </c>
      <c r="M613" s="3">
        <v>8000</v>
      </c>
      <c r="N613" s="3" t="s">
        <v>37</v>
      </c>
      <c r="O613" s="3" t="s">
        <v>87</v>
      </c>
    </row>
    <row r="614" spans="3:15">
      <c r="C614" s="2" t="s">
        <v>1459</v>
      </c>
      <c r="D614" s="2" t="s">
        <v>768</v>
      </c>
      <c r="E614" s="2">
        <v>4</v>
      </c>
      <c r="F614" t="str">
        <f t="shared" si="9"/>
        <v>Child</v>
      </c>
      <c r="G614" s="2" t="s">
        <v>14</v>
      </c>
      <c r="H614" s="2" t="s">
        <v>70</v>
      </c>
      <c r="I614" s="2" t="s">
        <v>76</v>
      </c>
      <c r="J614" s="2" t="s">
        <v>104</v>
      </c>
      <c r="K614" s="11">
        <v>45412</v>
      </c>
      <c r="L614" s="11">
        <v>45430</v>
      </c>
      <c r="M614" s="2">
        <v>75000</v>
      </c>
      <c r="N614" s="2" t="s">
        <v>67</v>
      </c>
      <c r="O614" s="2" t="s">
        <v>38</v>
      </c>
    </row>
    <row r="615" spans="3:15">
      <c r="C615" s="3" t="s">
        <v>1460</v>
      </c>
      <c r="D615" s="2" t="s">
        <v>731</v>
      </c>
      <c r="E615" s="3" t="s">
        <v>775</v>
      </c>
      <c r="F615" t="str">
        <f t="shared" si="9"/>
        <v>Unknown</v>
      </c>
      <c r="G615" s="3" t="s">
        <v>14</v>
      </c>
      <c r="H615" s="2" t="s">
        <v>52</v>
      </c>
      <c r="I615" s="2" t="s">
        <v>76</v>
      </c>
      <c r="J615" s="2" t="s">
        <v>53</v>
      </c>
      <c r="K615" s="11">
        <v>45579</v>
      </c>
      <c r="L615" s="11">
        <v>45586</v>
      </c>
      <c r="M615" s="3">
        <v>15000</v>
      </c>
      <c r="N615" s="3" t="s">
        <v>29</v>
      </c>
      <c r="O615" s="3" t="s">
        <v>38</v>
      </c>
    </row>
    <row r="616" spans="3:15">
      <c r="C616" s="2" t="s">
        <v>1462</v>
      </c>
      <c r="D616" s="2" t="s">
        <v>333</v>
      </c>
      <c r="E616" s="2">
        <v>50</v>
      </c>
      <c r="F616" t="str">
        <f t="shared" si="9"/>
        <v>Middle Age</v>
      </c>
      <c r="G616" s="2" t="s">
        <v>14</v>
      </c>
      <c r="H616" s="2" t="s">
        <v>33</v>
      </c>
      <c r="I616" s="2" t="s">
        <v>42</v>
      </c>
      <c r="J616" s="2" t="s">
        <v>99</v>
      </c>
      <c r="K616" s="11">
        <v>45299</v>
      </c>
      <c r="L616" s="11">
        <v>45509</v>
      </c>
      <c r="M616" s="2">
        <v>0</v>
      </c>
      <c r="N616" s="2" t="s">
        <v>29</v>
      </c>
      <c r="O616" s="2" t="s">
        <v>21</v>
      </c>
    </row>
    <row r="617" spans="3:15">
      <c r="C617" s="3" t="s">
        <v>1463</v>
      </c>
      <c r="D617" s="2" t="s">
        <v>892</v>
      </c>
      <c r="E617" s="3">
        <v>32</v>
      </c>
      <c r="F617" t="str">
        <f t="shared" si="9"/>
        <v>Young Adult</v>
      </c>
      <c r="G617" s="3" t="s">
        <v>14</v>
      </c>
      <c r="H617" s="2" t="s">
        <v>70</v>
      </c>
      <c r="I617" s="2" t="s">
        <v>25</v>
      </c>
      <c r="J617" s="2" t="s">
        <v>26</v>
      </c>
      <c r="K617" s="11">
        <v>45462</v>
      </c>
      <c r="L617" s="11">
        <v>45481</v>
      </c>
      <c r="M617" s="3">
        <v>50000</v>
      </c>
      <c r="N617" s="3" t="s">
        <v>20</v>
      </c>
      <c r="O617" s="3" t="s">
        <v>38</v>
      </c>
    </row>
    <row r="618" spans="3:15">
      <c r="C618" s="2" t="s">
        <v>1465</v>
      </c>
      <c r="D618" s="2" t="s">
        <v>418</v>
      </c>
      <c r="E618" s="2">
        <v>17</v>
      </c>
      <c r="F618" t="str">
        <f t="shared" si="9"/>
        <v>Child</v>
      </c>
      <c r="G618" s="2" t="s">
        <v>14</v>
      </c>
      <c r="H618" s="2" t="s">
        <v>109</v>
      </c>
      <c r="I618" s="2" t="s">
        <v>132</v>
      </c>
      <c r="J618" s="2" t="s">
        <v>48</v>
      </c>
      <c r="K618" s="11">
        <v>45346</v>
      </c>
      <c r="L618" s="11">
        <v>45369</v>
      </c>
      <c r="M618" s="2">
        <v>8000</v>
      </c>
      <c r="N618" s="2" t="s">
        <v>37</v>
      </c>
      <c r="O618" s="2" t="s">
        <v>55</v>
      </c>
    </row>
    <row r="619" spans="3:15">
      <c r="C619" s="3" t="s">
        <v>1466</v>
      </c>
      <c r="D619" s="2" t="s">
        <v>1461</v>
      </c>
      <c r="E619" s="3">
        <v>51</v>
      </c>
      <c r="F619" t="str">
        <f t="shared" si="9"/>
        <v>Middle Age</v>
      </c>
      <c r="G619" s="3" t="s">
        <v>14</v>
      </c>
      <c r="H619" s="2" t="s">
        <v>15</v>
      </c>
      <c r="I619" s="2" t="s">
        <v>42</v>
      </c>
      <c r="J619" s="2" t="s">
        <v>26</v>
      </c>
      <c r="K619" s="11">
        <v>45341</v>
      </c>
      <c r="L619" s="11">
        <v>45351</v>
      </c>
      <c r="M619" s="3">
        <v>12000</v>
      </c>
      <c r="N619" s="3" t="s">
        <v>20</v>
      </c>
      <c r="O619" s="3" t="s">
        <v>87</v>
      </c>
    </row>
    <row r="620" spans="3:15">
      <c r="C620" s="2" t="s">
        <v>1468</v>
      </c>
      <c r="D620" s="2" t="s">
        <v>1461</v>
      </c>
      <c r="E620" s="2">
        <v>22</v>
      </c>
      <c r="F620" t="str">
        <f t="shared" si="9"/>
        <v>Young Adult</v>
      </c>
      <c r="G620" s="2" t="s">
        <v>14</v>
      </c>
      <c r="H620" s="2" t="s">
        <v>58</v>
      </c>
      <c r="I620" s="2" t="s">
        <v>34</v>
      </c>
      <c r="J620" s="2" t="s">
        <v>53</v>
      </c>
      <c r="K620" s="11">
        <v>45495</v>
      </c>
      <c r="L620" s="11">
        <v>45500</v>
      </c>
      <c r="M620" s="2">
        <v>15000</v>
      </c>
      <c r="N620" s="2" t="s">
        <v>20</v>
      </c>
      <c r="O620" s="2" t="s">
        <v>55</v>
      </c>
    </row>
    <row r="621" spans="3:15">
      <c r="C621" s="3" t="s">
        <v>1469</v>
      </c>
      <c r="D621" s="2" t="s">
        <v>89</v>
      </c>
      <c r="E621" s="3">
        <v>67</v>
      </c>
      <c r="F621" t="str">
        <f t="shared" si="9"/>
        <v>Senior</v>
      </c>
      <c r="G621" s="3" t="s">
        <v>14</v>
      </c>
      <c r="H621" s="2" t="s">
        <v>85</v>
      </c>
      <c r="I621" s="2" t="s">
        <v>132</v>
      </c>
      <c r="J621" s="2" t="s">
        <v>99</v>
      </c>
      <c r="K621" s="11">
        <v>45299</v>
      </c>
      <c r="L621" s="11">
        <v>45522</v>
      </c>
      <c r="M621" s="3">
        <v>8000</v>
      </c>
      <c r="N621" s="3" t="s">
        <v>37</v>
      </c>
      <c r="O621" s="3" t="s">
        <v>38</v>
      </c>
    </row>
    <row r="622" spans="3:15">
      <c r="C622" s="2" t="s">
        <v>1470</v>
      </c>
      <c r="D622" s="2" t="s">
        <v>1283</v>
      </c>
      <c r="E622" s="2" t="s">
        <v>775</v>
      </c>
      <c r="F622" t="str">
        <f t="shared" si="9"/>
        <v>Unknown</v>
      </c>
      <c r="G622" s="2" t="s">
        <v>14</v>
      </c>
      <c r="H622" s="2" t="s">
        <v>58</v>
      </c>
      <c r="I622" s="2" t="s">
        <v>16</v>
      </c>
      <c r="J622" s="2" t="s">
        <v>104</v>
      </c>
      <c r="K622" s="11">
        <v>45636</v>
      </c>
      <c r="L622" s="11">
        <v>45589</v>
      </c>
      <c r="M622" s="2">
        <v>100000</v>
      </c>
      <c r="N622" s="2" t="s">
        <v>37</v>
      </c>
      <c r="O622" s="2" t="s">
        <v>55</v>
      </c>
    </row>
    <row r="623" spans="3:15">
      <c r="C623" s="3" t="s">
        <v>1471</v>
      </c>
      <c r="D623" s="2" t="s">
        <v>1069</v>
      </c>
      <c r="E623" s="3">
        <v>14</v>
      </c>
      <c r="F623" t="str">
        <f t="shared" si="9"/>
        <v>Child</v>
      </c>
      <c r="G623" s="3" t="s">
        <v>32</v>
      </c>
      <c r="H623" s="2" t="s">
        <v>33</v>
      </c>
      <c r="I623" s="2" t="s">
        <v>127</v>
      </c>
      <c r="J623" s="2" t="s">
        <v>26</v>
      </c>
      <c r="K623" s="11">
        <v>45356</v>
      </c>
      <c r="L623" s="11">
        <v>45374</v>
      </c>
      <c r="M623" s="3">
        <v>15000</v>
      </c>
      <c r="N623" s="3" t="s">
        <v>29</v>
      </c>
      <c r="O623" s="3" t="s">
        <v>21</v>
      </c>
    </row>
    <row r="624" spans="3:15">
      <c r="C624" s="2" t="s">
        <v>1473</v>
      </c>
      <c r="D624" s="2" t="s">
        <v>1325</v>
      </c>
      <c r="E624" s="2">
        <v>27</v>
      </c>
      <c r="F624" t="str">
        <f t="shared" si="9"/>
        <v>Young Adult</v>
      </c>
      <c r="G624" s="2" t="s">
        <v>14</v>
      </c>
      <c r="H624" s="2" t="s">
        <v>70</v>
      </c>
      <c r="I624" s="2" t="s">
        <v>16</v>
      </c>
      <c r="J624" s="2" t="s">
        <v>99</v>
      </c>
      <c r="K624" s="11">
        <v>45422</v>
      </c>
      <c r="L624" s="11">
        <v>45575</v>
      </c>
      <c r="M624" s="2">
        <v>5000</v>
      </c>
      <c r="N624" s="2" t="s">
        <v>37</v>
      </c>
      <c r="O624" s="2" t="s">
        <v>21</v>
      </c>
    </row>
    <row r="625" spans="3:15">
      <c r="C625" s="3" t="s">
        <v>1475</v>
      </c>
      <c r="D625" s="2" t="s">
        <v>678</v>
      </c>
      <c r="E625" s="3">
        <v>83</v>
      </c>
      <c r="F625" t="str">
        <f t="shared" si="9"/>
        <v>Senior</v>
      </c>
      <c r="G625" s="3" t="s">
        <v>32</v>
      </c>
      <c r="H625" s="2" t="s">
        <v>70</v>
      </c>
      <c r="I625" s="2" t="s">
        <v>132</v>
      </c>
      <c r="J625" s="2" t="s">
        <v>17</v>
      </c>
      <c r="K625" s="11">
        <v>45341</v>
      </c>
      <c r="L625" s="11">
        <v>45347</v>
      </c>
      <c r="M625" s="3">
        <v>8000</v>
      </c>
      <c r="N625" s="3" t="s">
        <v>67</v>
      </c>
      <c r="O625" s="3" t="s">
        <v>38</v>
      </c>
    </row>
    <row r="626" spans="3:15">
      <c r="C626" s="2" t="s">
        <v>1477</v>
      </c>
      <c r="D626" s="2" t="s">
        <v>376</v>
      </c>
      <c r="E626" s="2">
        <v>32</v>
      </c>
      <c r="F626" t="str">
        <f t="shared" si="9"/>
        <v>Young Adult</v>
      </c>
      <c r="G626" s="2" t="s">
        <v>32</v>
      </c>
      <c r="H626" s="2" t="s">
        <v>52</v>
      </c>
      <c r="I626" s="2" t="s">
        <v>25</v>
      </c>
      <c r="J626" s="2" t="s">
        <v>104</v>
      </c>
      <c r="K626" s="11">
        <v>45346</v>
      </c>
      <c r="L626" s="11">
        <v>45373</v>
      </c>
      <c r="M626" s="2">
        <v>8000</v>
      </c>
      <c r="N626" s="2" t="s">
        <v>20</v>
      </c>
      <c r="O626" s="2" t="s">
        <v>21</v>
      </c>
    </row>
    <row r="627" spans="3:15">
      <c r="C627" s="3" t="s">
        <v>1479</v>
      </c>
      <c r="D627" s="2" t="s">
        <v>1472</v>
      </c>
      <c r="E627" s="3">
        <v>81</v>
      </c>
      <c r="F627" t="str">
        <f t="shared" si="9"/>
        <v>Senior</v>
      </c>
      <c r="G627" s="3" t="s">
        <v>32</v>
      </c>
      <c r="H627" s="2" t="s">
        <v>52</v>
      </c>
      <c r="I627" s="2" t="s">
        <v>127</v>
      </c>
      <c r="J627" s="2" t="s">
        <v>104</v>
      </c>
      <c r="K627" s="11">
        <v>45476</v>
      </c>
      <c r="L627" s="11">
        <v>45368</v>
      </c>
      <c r="M627" s="3">
        <v>15000</v>
      </c>
      <c r="N627" s="3" t="s">
        <v>37</v>
      </c>
      <c r="O627" s="3" t="s">
        <v>38</v>
      </c>
    </row>
    <row r="628" spans="3:15">
      <c r="C628" s="2" t="s">
        <v>1480</v>
      </c>
      <c r="D628" s="2" t="s">
        <v>1474</v>
      </c>
      <c r="E628" s="2">
        <v>29</v>
      </c>
      <c r="F628" t="str">
        <f t="shared" si="9"/>
        <v>Young Adult</v>
      </c>
      <c r="G628" s="2" t="s">
        <v>32</v>
      </c>
      <c r="H628" s="2" t="s">
        <v>109</v>
      </c>
      <c r="I628" s="2" t="s">
        <v>76</v>
      </c>
      <c r="J628" s="2" t="s">
        <v>99</v>
      </c>
      <c r="K628" s="11">
        <v>45481</v>
      </c>
      <c r="L628" s="11">
        <v>45526</v>
      </c>
      <c r="M628" s="2">
        <v>12000</v>
      </c>
      <c r="N628" s="2" t="s">
        <v>67</v>
      </c>
      <c r="O628" s="2" t="s">
        <v>21</v>
      </c>
    </row>
    <row r="629" spans="3:15">
      <c r="C629" s="3" t="s">
        <v>1482</v>
      </c>
      <c r="D629" s="2" t="s">
        <v>1476</v>
      </c>
      <c r="E629" s="3">
        <v>88</v>
      </c>
      <c r="F629" t="str">
        <f t="shared" si="9"/>
        <v>Senior</v>
      </c>
      <c r="G629" s="3" t="s">
        <v>32</v>
      </c>
      <c r="H629" s="2" t="s">
        <v>109</v>
      </c>
      <c r="I629" s="2" t="s">
        <v>76</v>
      </c>
      <c r="J629" s="2" t="s">
        <v>17</v>
      </c>
      <c r="K629" s="11">
        <v>45332</v>
      </c>
      <c r="L629" s="11">
        <v>45579</v>
      </c>
      <c r="M629" s="3">
        <v>20000</v>
      </c>
      <c r="N629" s="3" t="s">
        <v>67</v>
      </c>
      <c r="O629" s="3" t="s">
        <v>38</v>
      </c>
    </row>
    <row r="630" spans="3:15">
      <c r="C630" s="2" t="s">
        <v>1483</v>
      </c>
      <c r="D630" s="2" t="s">
        <v>1478</v>
      </c>
      <c r="E630" s="2">
        <v>68</v>
      </c>
      <c r="F630" t="str">
        <f t="shared" si="9"/>
        <v>Senior</v>
      </c>
      <c r="G630" s="2" t="s">
        <v>32</v>
      </c>
      <c r="H630" s="2" t="s">
        <v>109</v>
      </c>
      <c r="I630" s="2" t="s">
        <v>127</v>
      </c>
      <c r="J630" s="2" t="s">
        <v>53</v>
      </c>
      <c r="K630" s="11">
        <v>45470</v>
      </c>
      <c r="L630" s="11">
        <v>45482</v>
      </c>
      <c r="M630" s="2">
        <v>25000</v>
      </c>
      <c r="N630" s="2" t="s">
        <v>29</v>
      </c>
      <c r="O630" s="2" t="s">
        <v>55</v>
      </c>
    </row>
    <row r="631" spans="3:15">
      <c r="C631" s="3" t="s">
        <v>1484</v>
      </c>
      <c r="D631" s="2" t="s">
        <v>700</v>
      </c>
      <c r="E631" s="3">
        <v>17</v>
      </c>
      <c r="F631" t="str">
        <f t="shared" si="9"/>
        <v>Child</v>
      </c>
      <c r="G631" s="3" t="s">
        <v>32</v>
      </c>
      <c r="H631" s="2" t="s">
        <v>70</v>
      </c>
      <c r="I631" s="2" t="s">
        <v>34</v>
      </c>
      <c r="J631" s="2" t="s">
        <v>26</v>
      </c>
      <c r="K631" s="11">
        <v>45336</v>
      </c>
      <c r="L631" s="11">
        <v>45361</v>
      </c>
      <c r="M631" s="3">
        <v>8000</v>
      </c>
      <c r="N631" s="3" t="s">
        <v>29</v>
      </c>
      <c r="O631" s="3" t="s">
        <v>55</v>
      </c>
    </row>
    <row r="632" spans="3:15">
      <c r="C632" s="2" t="s">
        <v>1485</v>
      </c>
      <c r="D632" s="2" t="s">
        <v>1481</v>
      </c>
      <c r="E632" s="2">
        <v>71</v>
      </c>
      <c r="F632" t="str">
        <f t="shared" si="9"/>
        <v>Senior</v>
      </c>
      <c r="G632" s="2" t="s">
        <v>14</v>
      </c>
      <c r="H632" s="2" t="s">
        <v>52</v>
      </c>
      <c r="I632" s="2" t="s">
        <v>76</v>
      </c>
      <c r="J632" s="2" t="s">
        <v>104</v>
      </c>
      <c r="K632" s="11">
        <v>45476</v>
      </c>
      <c r="L632" s="11">
        <v>45361</v>
      </c>
      <c r="M632" s="2">
        <v>8000</v>
      </c>
      <c r="N632" s="2" t="s">
        <v>67</v>
      </c>
      <c r="O632" s="2" t="s">
        <v>87</v>
      </c>
    </row>
    <row r="633" spans="3:15">
      <c r="C633" s="3" t="s">
        <v>1487</v>
      </c>
      <c r="D633" s="2" t="s">
        <v>485</v>
      </c>
      <c r="E633" s="3">
        <v>80</v>
      </c>
      <c r="F633" t="str">
        <f t="shared" si="9"/>
        <v>Senior</v>
      </c>
      <c r="G633" s="3" t="s">
        <v>14</v>
      </c>
      <c r="H633" s="2" t="s">
        <v>109</v>
      </c>
      <c r="I633" s="2" t="s">
        <v>34</v>
      </c>
      <c r="J633" s="2" t="s">
        <v>53</v>
      </c>
      <c r="K633" s="11">
        <v>45541</v>
      </c>
      <c r="L633" s="11">
        <v>45475</v>
      </c>
      <c r="M633" s="3">
        <v>12000</v>
      </c>
      <c r="N633" s="3" t="s">
        <v>20</v>
      </c>
      <c r="O633" s="3" t="s">
        <v>87</v>
      </c>
    </row>
    <row r="634" spans="3:15">
      <c r="C634" s="2" t="s">
        <v>1489</v>
      </c>
      <c r="D634" s="2" t="s">
        <v>1229</v>
      </c>
      <c r="E634" s="2">
        <v>9</v>
      </c>
      <c r="F634" t="str">
        <f t="shared" si="9"/>
        <v>Child</v>
      </c>
      <c r="G634" s="2" t="s">
        <v>775</v>
      </c>
      <c r="H634" s="2" t="s">
        <v>70</v>
      </c>
      <c r="I634" s="2" t="s">
        <v>16</v>
      </c>
      <c r="J634" s="2" t="s">
        <v>17</v>
      </c>
      <c r="K634" s="11">
        <v>45444</v>
      </c>
      <c r="L634" s="11">
        <v>45305</v>
      </c>
      <c r="M634" s="2">
        <v>25000</v>
      </c>
      <c r="N634" s="2" t="s">
        <v>20</v>
      </c>
      <c r="O634" s="2" t="s">
        <v>87</v>
      </c>
    </row>
    <row r="635" spans="3:15">
      <c r="C635" s="3" t="s">
        <v>1491</v>
      </c>
      <c r="D635" s="2" t="s">
        <v>999</v>
      </c>
      <c r="E635" s="3">
        <v>13</v>
      </c>
      <c r="F635" t="str">
        <f t="shared" si="9"/>
        <v>Child</v>
      </c>
      <c r="G635" s="3" t="s">
        <v>14</v>
      </c>
      <c r="H635" s="2" t="s">
        <v>15</v>
      </c>
      <c r="I635" s="2" t="s">
        <v>34</v>
      </c>
      <c r="J635" s="2" t="s">
        <v>48</v>
      </c>
      <c r="K635" s="11">
        <v>45634</v>
      </c>
      <c r="L635" s="11">
        <v>45524</v>
      </c>
      <c r="M635" s="3">
        <v>100000</v>
      </c>
      <c r="N635" s="3" t="s">
        <v>168</v>
      </c>
      <c r="O635" s="3" t="s">
        <v>38</v>
      </c>
    </row>
    <row r="636" spans="3:15">
      <c r="C636" s="2" t="s">
        <v>1493</v>
      </c>
      <c r="D636" s="2" t="s">
        <v>1486</v>
      </c>
      <c r="E636" s="2">
        <v>69</v>
      </c>
      <c r="F636" t="str">
        <f t="shared" si="9"/>
        <v>Senior</v>
      </c>
      <c r="G636" s="2" t="s">
        <v>32</v>
      </c>
      <c r="H636" s="2" t="s">
        <v>52</v>
      </c>
      <c r="I636" s="2" t="s">
        <v>16</v>
      </c>
      <c r="J636" s="2" t="s">
        <v>35</v>
      </c>
      <c r="K636" s="11">
        <v>45338</v>
      </c>
      <c r="L636" s="11">
        <v>45347</v>
      </c>
      <c r="M636" s="2">
        <v>100000</v>
      </c>
      <c r="N636" s="2" t="s">
        <v>775</v>
      </c>
      <c r="O636" s="2" t="s">
        <v>87</v>
      </c>
    </row>
    <row r="637" spans="3:15">
      <c r="C637" s="3" t="s">
        <v>1494</v>
      </c>
      <c r="D637" s="2" t="s">
        <v>938</v>
      </c>
      <c r="E637" s="3">
        <v>27</v>
      </c>
      <c r="F637" t="str">
        <f t="shared" si="9"/>
        <v>Young Adult</v>
      </c>
      <c r="G637" s="3" t="s">
        <v>14</v>
      </c>
      <c r="H637" s="2" t="s">
        <v>70</v>
      </c>
      <c r="I637" s="2" t="s">
        <v>132</v>
      </c>
      <c r="J637" s="2" t="s">
        <v>104</v>
      </c>
      <c r="K637" s="11">
        <v>45468</v>
      </c>
      <c r="L637" s="11">
        <v>45480</v>
      </c>
      <c r="M637" s="3">
        <v>75000</v>
      </c>
      <c r="N637" s="3" t="s">
        <v>67</v>
      </c>
      <c r="O637" s="3" t="s">
        <v>55</v>
      </c>
    </row>
    <row r="638" spans="3:15">
      <c r="C638" s="2" t="s">
        <v>1496</v>
      </c>
      <c r="D638" s="2" t="s">
        <v>1314</v>
      </c>
      <c r="E638" s="2">
        <v>10</v>
      </c>
      <c r="F638" t="str">
        <f t="shared" si="9"/>
        <v>Child</v>
      </c>
      <c r="G638" s="2" t="s">
        <v>14</v>
      </c>
      <c r="H638" s="2" t="s">
        <v>15</v>
      </c>
      <c r="I638" s="2" t="s">
        <v>127</v>
      </c>
      <c r="J638" s="2" t="s">
        <v>35</v>
      </c>
      <c r="K638" s="11">
        <v>45589</v>
      </c>
      <c r="L638" s="11">
        <v>45604</v>
      </c>
      <c r="M638" s="2">
        <v>5000</v>
      </c>
      <c r="N638" s="2" t="s">
        <v>67</v>
      </c>
      <c r="O638" s="2" t="s">
        <v>38</v>
      </c>
    </row>
    <row r="639" spans="3:15">
      <c r="C639" s="3" t="s">
        <v>1498</v>
      </c>
      <c r="D639" s="2" t="s">
        <v>1492</v>
      </c>
      <c r="E639" s="3">
        <v>90</v>
      </c>
      <c r="F639" t="str">
        <f t="shared" si="9"/>
        <v>Senior</v>
      </c>
      <c r="G639" s="3" t="s">
        <v>14</v>
      </c>
      <c r="H639" s="2" t="s">
        <v>15</v>
      </c>
      <c r="I639" s="2" t="s">
        <v>76</v>
      </c>
      <c r="J639" s="2" t="s">
        <v>99</v>
      </c>
      <c r="K639" s="11">
        <v>45517</v>
      </c>
      <c r="L639" s="11">
        <v>45523</v>
      </c>
      <c r="M639" s="3">
        <v>25000</v>
      </c>
      <c r="N639" s="3" t="s">
        <v>29</v>
      </c>
      <c r="O639" s="3" t="s">
        <v>21</v>
      </c>
    </row>
    <row r="640" spans="3:15">
      <c r="C640" s="2" t="s">
        <v>1499</v>
      </c>
      <c r="D640" s="2" t="s">
        <v>1012</v>
      </c>
      <c r="E640" s="2">
        <v>75</v>
      </c>
      <c r="F640" t="str">
        <f t="shared" si="9"/>
        <v>Senior</v>
      </c>
      <c r="G640" s="2" t="s">
        <v>32</v>
      </c>
      <c r="H640" s="2" t="s">
        <v>52</v>
      </c>
      <c r="I640" s="2" t="s">
        <v>25</v>
      </c>
      <c r="J640" s="2" t="s">
        <v>17</v>
      </c>
      <c r="K640" s="11">
        <v>45497</v>
      </c>
      <c r="L640" s="11">
        <v>45515</v>
      </c>
      <c r="M640" s="2">
        <v>25000</v>
      </c>
      <c r="N640" s="2" t="s">
        <v>67</v>
      </c>
      <c r="O640" s="2" t="s">
        <v>55</v>
      </c>
    </row>
    <row r="641" spans="3:15">
      <c r="C641" s="3" t="s">
        <v>1500</v>
      </c>
      <c r="D641" s="2" t="s">
        <v>1495</v>
      </c>
      <c r="E641" s="3">
        <v>26</v>
      </c>
      <c r="F641" t="str">
        <f t="shared" si="9"/>
        <v>Young Adult</v>
      </c>
      <c r="G641" s="3" t="s">
        <v>32</v>
      </c>
      <c r="H641" s="2" t="s">
        <v>775</v>
      </c>
      <c r="I641" s="2" t="s">
        <v>127</v>
      </c>
      <c r="J641" s="2" t="s">
        <v>99</v>
      </c>
      <c r="K641" s="11">
        <v>45510</v>
      </c>
      <c r="L641" s="11">
        <v>45477</v>
      </c>
      <c r="M641" s="3">
        <v>50000</v>
      </c>
      <c r="N641" s="3" t="s">
        <v>37</v>
      </c>
      <c r="O641" s="3" t="s">
        <v>38</v>
      </c>
    </row>
    <row r="642" spans="3:15">
      <c r="C642" s="2" t="s">
        <v>1502</v>
      </c>
      <c r="D642" s="2" t="s">
        <v>1497</v>
      </c>
      <c r="E642" s="2">
        <v>17</v>
      </c>
      <c r="F642" t="str">
        <f t="shared" si="9"/>
        <v>Child</v>
      </c>
      <c r="G642" s="2" t="s">
        <v>32</v>
      </c>
      <c r="H642" s="2" t="s">
        <v>33</v>
      </c>
      <c r="I642" s="2" t="s">
        <v>132</v>
      </c>
      <c r="J642" s="2" t="s">
        <v>35</v>
      </c>
      <c r="K642" s="11">
        <v>45433</v>
      </c>
      <c r="L642" s="11">
        <v>45449</v>
      </c>
      <c r="M642" s="2">
        <v>100000</v>
      </c>
      <c r="N642" s="2" t="s">
        <v>20</v>
      </c>
      <c r="O642" s="2" t="s">
        <v>87</v>
      </c>
    </row>
    <row r="643" spans="3:15">
      <c r="C643" s="3" t="s">
        <v>1503</v>
      </c>
      <c r="D643" s="2" t="s">
        <v>724</v>
      </c>
      <c r="E643" s="3">
        <v>72</v>
      </c>
      <c r="F643" t="str">
        <f t="shared" si="9"/>
        <v>Senior</v>
      </c>
      <c r="G643" s="3" t="s">
        <v>32</v>
      </c>
      <c r="H643" s="2" t="s">
        <v>70</v>
      </c>
      <c r="I643" s="2" t="s">
        <v>16</v>
      </c>
      <c r="J643" s="2" t="s">
        <v>17</v>
      </c>
      <c r="K643" s="11">
        <v>45368</v>
      </c>
      <c r="L643" s="11">
        <v>45385</v>
      </c>
      <c r="M643" s="3">
        <v>25000</v>
      </c>
      <c r="N643" s="3" t="s">
        <v>37</v>
      </c>
      <c r="O643" s="3" t="s">
        <v>87</v>
      </c>
    </row>
    <row r="644" spans="3:15">
      <c r="C644" s="2" t="s">
        <v>1504</v>
      </c>
      <c r="D644" s="2" t="s">
        <v>462</v>
      </c>
      <c r="E644" s="2">
        <v>88</v>
      </c>
      <c r="F644" t="str">
        <f t="shared" si="9"/>
        <v>Senior</v>
      </c>
      <c r="G644" s="2" t="s">
        <v>14</v>
      </c>
      <c r="H644" s="2" t="s">
        <v>58</v>
      </c>
      <c r="I644" s="2" t="s">
        <v>127</v>
      </c>
      <c r="J644" s="2" t="s">
        <v>53</v>
      </c>
      <c r="K644" s="11">
        <v>45308</v>
      </c>
      <c r="L644" s="11">
        <v>45334</v>
      </c>
      <c r="M644" s="2">
        <v>8000</v>
      </c>
      <c r="N644" s="2" t="s">
        <v>67</v>
      </c>
      <c r="O644" s="2" t="s">
        <v>55</v>
      </c>
    </row>
    <row r="645" spans="3:15">
      <c r="C645" s="3" t="s">
        <v>1506</v>
      </c>
      <c r="D645" s="2" t="s">
        <v>1501</v>
      </c>
      <c r="E645" s="3">
        <v>55</v>
      </c>
      <c r="F645" t="str">
        <f t="shared" si="9"/>
        <v>Middle Age</v>
      </c>
      <c r="G645" s="3" t="s">
        <v>14</v>
      </c>
      <c r="H645" s="2" t="s">
        <v>33</v>
      </c>
      <c r="I645" s="2" t="s">
        <v>127</v>
      </c>
      <c r="J645" s="2" t="s">
        <v>35</v>
      </c>
      <c r="K645" s="11">
        <v>45419</v>
      </c>
      <c r="L645" s="11">
        <v>45498</v>
      </c>
      <c r="M645" s="3">
        <v>20000</v>
      </c>
      <c r="N645" s="3" t="s">
        <v>20</v>
      </c>
      <c r="O645" s="3" t="s">
        <v>38</v>
      </c>
    </row>
    <row r="646" spans="3:15">
      <c r="C646" s="2" t="s">
        <v>1507</v>
      </c>
      <c r="D646" s="2" t="s">
        <v>639</v>
      </c>
      <c r="E646" s="2">
        <v>45</v>
      </c>
      <c r="F646" t="str">
        <f t="shared" si="9"/>
        <v>Middle Age</v>
      </c>
      <c r="G646" s="2" t="s">
        <v>32</v>
      </c>
      <c r="H646" s="2" t="s">
        <v>52</v>
      </c>
      <c r="I646" s="2" t="s">
        <v>25</v>
      </c>
      <c r="J646" s="2" t="s">
        <v>35</v>
      </c>
      <c r="K646" s="11">
        <v>45318</v>
      </c>
      <c r="L646" s="11">
        <v>45332</v>
      </c>
      <c r="M646" s="2">
        <v>15000</v>
      </c>
      <c r="N646" s="2" t="s">
        <v>37</v>
      </c>
      <c r="O646" s="2" t="s">
        <v>21</v>
      </c>
    </row>
    <row r="647" spans="3:15">
      <c r="C647" s="3" t="s">
        <v>1508</v>
      </c>
      <c r="D647" s="2" t="s">
        <v>1141</v>
      </c>
      <c r="E647" s="3">
        <v>35</v>
      </c>
      <c r="F647" t="str">
        <f t="shared" si="9"/>
        <v>Young Adult</v>
      </c>
      <c r="G647" s="3" t="s">
        <v>14</v>
      </c>
      <c r="H647" s="2" t="s">
        <v>15</v>
      </c>
      <c r="I647" s="2" t="s">
        <v>25</v>
      </c>
      <c r="J647" s="2" t="s">
        <v>17</v>
      </c>
      <c r="K647" s="11">
        <v>45332</v>
      </c>
      <c r="L647" s="11">
        <v>45580</v>
      </c>
      <c r="M647" s="3">
        <v>5000</v>
      </c>
      <c r="N647" s="3" t="s">
        <v>29</v>
      </c>
      <c r="O647" s="3" t="s">
        <v>21</v>
      </c>
    </row>
    <row r="648" spans="3:15">
      <c r="C648" s="2" t="s">
        <v>1510</v>
      </c>
      <c r="D648" s="2" t="s">
        <v>1505</v>
      </c>
      <c r="E648" s="2">
        <v>44</v>
      </c>
      <c r="F648" t="str">
        <f t="shared" si="9"/>
        <v>Middle Age</v>
      </c>
      <c r="G648" s="2" t="s">
        <v>14</v>
      </c>
      <c r="H648" s="2" t="s">
        <v>52</v>
      </c>
      <c r="I648" s="2" t="s">
        <v>132</v>
      </c>
      <c r="J648" s="2" t="s">
        <v>35</v>
      </c>
      <c r="K648" s="11">
        <v>45513</v>
      </c>
      <c r="L648" s="11">
        <v>45555</v>
      </c>
      <c r="M648" s="2">
        <v>25000</v>
      </c>
      <c r="N648" s="2" t="s">
        <v>37</v>
      </c>
      <c r="O648" s="2" t="s">
        <v>38</v>
      </c>
    </row>
    <row r="649" spans="3:15">
      <c r="C649" s="3" t="s">
        <v>1511</v>
      </c>
      <c r="D649" s="2" t="s">
        <v>1014</v>
      </c>
      <c r="E649" s="3">
        <v>22</v>
      </c>
      <c r="F649" t="str">
        <f t="shared" si="9"/>
        <v>Young Adult</v>
      </c>
      <c r="G649" s="3" t="s">
        <v>14</v>
      </c>
      <c r="H649" s="2" t="s">
        <v>70</v>
      </c>
      <c r="I649" s="2" t="s">
        <v>42</v>
      </c>
      <c r="J649" s="2" t="s">
        <v>99</v>
      </c>
      <c r="K649" s="11">
        <v>45487</v>
      </c>
      <c r="L649" s="11">
        <v>45505</v>
      </c>
      <c r="M649" s="3">
        <v>35000</v>
      </c>
      <c r="N649" s="3" t="s">
        <v>29</v>
      </c>
      <c r="O649" s="3" t="s">
        <v>38</v>
      </c>
    </row>
    <row r="650" spans="3:15">
      <c r="C650" s="2" t="s">
        <v>1514</v>
      </c>
      <c r="D650" s="2" t="s">
        <v>1123</v>
      </c>
      <c r="E650" s="2">
        <v>72</v>
      </c>
      <c r="F650" t="str">
        <f t="shared" ref="F650:F713" si="10">IF(E650="Unknown","Unknown",IF(E650&lt;18,"Child",IF(E650&lt;40,"Young Adult",IF(E650&lt;60,"Middle Age","Senior"))))</f>
        <v>Senior</v>
      </c>
      <c r="G650" s="2" t="s">
        <v>14</v>
      </c>
      <c r="H650" s="2" t="s">
        <v>33</v>
      </c>
      <c r="I650" s="2" t="s">
        <v>16</v>
      </c>
      <c r="J650" s="2" t="s">
        <v>48</v>
      </c>
      <c r="K650" s="11">
        <v>45297</v>
      </c>
      <c r="L650" s="11">
        <v>45453</v>
      </c>
      <c r="M650" s="2">
        <v>8000</v>
      </c>
      <c r="N650" s="2" t="s">
        <v>67</v>
      </c>
      <c r="O650" s="2" t="s">
        <v>55</v>
      </c>
    </row>
    <row r="651" spans="3:15">
      <c r="C651" s="3" t="s">
        <v>1515</v>
      </c>
      <c r="D651" s="2" t="s">
        <v>396</v>
      </c>
      <c r="E651" s="3">
        <v>74</v>
      </c>
      <c r="F651" t="str">
        <f t="shared" si="10"/>
        <v>Senior</v>
      </c>
      <c r="G651" s="3" t="s">
        <v>32</v>
      </c>
      <c r="H651" s="2" t="s">
        <v>15</v>
      </c>
      <c r="I651" s="2" t="s">
        <v>34</v>
      </c>
      <c r="J651" s="2" t="s">
        <v>17</v>
      </c>
      <c r="K651" s="11">
        <v>45452</v>
      </c>
      <c r="L651" s="11">
        <v>45480</v>
      </c>
      <c r="M651" s="3">
        <v>75000</v>
      </c>
      <c r="N651" s="3" t="s">
        <v>37</v>
      </c>
      <c r="O651" s="3" t="s">
        <v>21</v>
      </c>
    </row>
    <row r="652" spans="3:15">
      <c r="C652" s="2" t="s">
        <v>1517</v>
      </c>
      <c r="D652" s="2" t="s">
        <v>320</v>
      </c>
      <c r="E652" s="2">
        <v>56</v>
      </c>
      <c r="F652" t="str">
        <f t="shared" si="10"/>
        <v>Middle Age</v>
      </c>
      <c r="G652" s="2" t="s">
        <v>14</v>
      </c>
      <c r="H652" s="2" t="s">
        <v>58</v>
      </c>
      <c r="I652" s="2" t="s">
        <v>34</v>
      </c>
      <c r="J652" s="2" t="s">
        <v>17</v>
      </c>
      <c r="K652" s="11">
        <v>45489</v>
      </c>
      <c r="L652" s="11">
        <v>45495</v>
      </c>
      <c r="M652" s="2">
        <v>25000</v>
      </c>
      <c r="N652" s="2" t="s">
        <v>37</v>
      </c>
      <c r="O652" s="2" t="s">
        <v>55</v>
      </c>
    </row>
    <row r="653" spans="3:15">
      <c r="C653" s="3" t="s">
        <v>1519</v>
      </c>
      <c r="D653" s="2" t="s">
        <v>1512</v>
      </c>
      <c r="E653" s="3">
        <v>8</v>
      </c>
      <c r="F653" t="str">
        <f t="shared" si="10"/>
        <v>Child</v>
      </c>
      <c r="G653" s="3" t="s">
        <v>32</v>
      </c>
      <c r="H653" s="2" t="s">
        <v>85</v>
      </c>
      <c r="I653" s="2" t="s">
        <v>76</v>
      </c>
      <c r="J653" s="2" t="s">
        <v>26</v>
      </c>
      <c r="K653" s="11">
        <v>45556</v>
      </c>
      <c r="L653" s="11">
        <v>45564</v>
      </c>
      <c r="M653" s="3">
        <v>25000</v>
      </c>
      <c r="N653" s="3" t="s">
        <v>29</v>
      </c>
      <c r="O653" s="3" t="s">
        <v>87</v>
      </c>
    </row>
    <row r="654" spans="3:15">
      <c r="C654" s="2" t="s">
        <v>1521</v>
      </c>
      <c r="D654" s="2" t="s">
        <v>803</v>
      </c>
      <c r="E654" s="2">
        <v>32</v>
      </c>
      <c r="F654" t="str">
        <f t="shared" si="10"/>
        <v>Young Adult</v>
      </c>
      <c r="G654" s="2" t="s">
        <v>32</v>
      </c>
      <c r="H654" s="2" t="s">
        <v>15</v>
      </c>
      <c r="I654" s="2" t="s">
        <v>76</v>
      </c>
      <c r="J654" s="2" t="s">
        <v>17</v>
      </c>
      <c r="K654" s="11">
        <v>45461</v>
      </c>
      <c r="L654" s="11">
        <v>45489</v>
      </c>
      <c r="M654" s="2">
        <v>20000</v>
      </c>
      <c r="N654" s="2" t="s">
        <v>37</v>
      </c>
      <c r="O654" s="2" t="s">
        <v>55</v>
      </c>
    </row>
    <row r="655" spans="3:15">
      <c r="C655" s="3" t="s">
        <v>1524</v>
      </c>
      <c r="D655" s="2" t="s">
        <v>1516</v>
      </c>
      <c r="E655" s="3">
        <v>5</v>
      </c>
      <c r="F655" t="str">
        <f t="shared" si="10"/>
        <v>Child</v>
      </c>
      <c r="G655" s="3" t="s">
        <v>14</v>
      </c>
      <c r="H655" s="2" t="s">
        <v>52</v>
      </c>
      <c r="I655" s="2" t="s">
        <v>42</v>
      </c>
      <c r="J655" s="2" t="s">
        <v>26</v>
      </c>
      <c r="K655" s="11">
        <v>45433</v>
      </c>
      <c r="L655" s="11">
        <v>45455</v>
      </c>
      <c r="M655" s="3">
        <v>20000</v>
      </c>
      <c r="N655" s="3" t="s">
        <v>29</v>
      </c>
      <c r="O655" s="3" t="s">
        <v>87</v>
      </c>
    </row>
    <row r="656" spans="3:15">
      <c r="C656" s="2" t="s">
        <v>1527</v>
      </c>
      <c r="D656" s="2" t="s">
        <v>65</v>
      </c>
      <c r="E656" s="2">
        <v>20</v>
      </c>
      <c r="F656" t="str">
        <f t="shared" si="10"/>
        <v>Young Adult</v>
      </c>
      <c r="G656" s="2" t="s">
        <v>32</v>
      </c>
      <c r="H656" s="2" t="s">
        <v>33</v>
      </c>
      <c r="I656" s="2" t="s">
        <v>42</v>
      </c>
      <c r="J656" s="2" t="s">
        <v>104</v>
      </c>
      <c r="K656" s="11">
        <v>45520</v>
      </c>
      <c r="L656" s="11">
        <v>45540</v>
      </c>
      <c r="M656" s="2">
        <v>12000</v>
      </c>
      <c r="N656" s="2" t="s">
        <v>20</v>
      </c>
      <c r="O656" s="2" t="s">
        <v>21</v>
      </c>
    </row>
    <row r="657" spans="3:15">
      <c r="C657" s="3" t="s">
        <v>1530</v>
      </c>
      <c r="D657" s="2" t="s">
        <v>1520</v>
      </c>
      <c r="E657" s="3">
        <v>83</v>
      </c>
      <c r="F657" t="str">
        <f t="shared" si="10"/>
        <v>Senior</v>
      </c>
      <c r="G657" s="3" t="s">
        <v>32</v>
      </c>
      <c r="H657" s="2" t="s">
        <v>85</v>
      </c>
      <c r="I657" s="2" t="s">
        <v>132</v>
      </c>
      <c r="J657" s="2" t="s">
        <v>35</v>
      </c>
      <c r="K657" s="11">
        <v>45542</v>
      </c>
      <c r="L657" s="11">
        <v>45496</v>
      </c>
      <c r="M657" s="3">
        <v>75000</v>
      </c>
      <c r="N657" s="3" t="s">
        <v>29</v>
      </c>
      <c r="O657" s="3" t="s">
        <v>38</v>
      </c>
    </row>
    <row r="658" spans="3:15">
      <c r="C658" s="2" t="s">
        <v>1532</v>
      </c>
      <c r="D658" s="2" t="s">
        <v>1522</v>
      </c>
      <c r="E658" s="2">
        <v>67</v>
      </c>
      <c r="F658" t="str">
        <f t="shared" si="10"/>
        <v>Senior</v>
      </c>
      <c r="G658" s="2" t="s">
        <v>14</v>
      </c>
      <c r="H658" s="2" t="s">
        <v>85</v>
      </c>
      <c r="I658" s="2" t="s">
        <v>127</v>
      </c>
      <c r="J658" s="2" t="s">
        <v>35</v>
      </c>
      <c r="K658" s="11">
        <v>45346</v>
      </c>
      <c r="L658" s="11">
        <v>45369</v>
      </c>
      <c r="M658" s="2">
        <v>100000</v>
      </c>
      <c r="N658" s="2" t="s">
        <v>67</v>
      </c>
      <c r="O658" s="2" t="s">
        <v>87</v>
      </c>
    </row>
    <row r="659" spans="3:15">
      <c r="C659" s="3" t="s">
        <v>1534</v>
      </c>
      <c r="D659" s="2" t="s">
        <v>1525</v>
      </c>
      <c r="E659" s="3">
        <v>78</v>
      </c>
      <c r="F659" t="str">
        <f t="shared" si="10"/>
        <v>Senior</v>
      </c>
      <c r="G659" s="3" t="s">
        <v>32</v>
      </c>
      <c r="H659" s="2" t="s">
        <v>33</v>
      </c>
      <c r="I659" s="2" t="s">
        <v>16</v>
      </c>
      <c r="J659" s="2" t="s">
        <v>48</v>
      </c>
      <c r="K659" s="11">
        <v>45444</v>
      </c>
      <c r="L659" s="11">
        <v>45308</v>
      </c>
      <c r="M659" s="3">
        <v>100000</v>
      </c>
      <c r="N659" s="3" t="s">
        <v>37</v>
      </c>
      <c r="O659" s="3" t="s">
        <v>21</v>
      </c>
    </row>
    <row r="660" spans="3:15">
      <c r="C660" s="2" t="s">
        <v>1536</v>
      </c>
      <c r="D660" s="2" t="s">
        <v>1528</v>
      </c>
      <c r="E660" s="2">
        <v>81</v>
      </c>
      <c r="F660" t="str">
        <f t="shared" si="10"/>
        <v>Senior</v>
      </c>
      <c r="G660" s="2" t="s">
        <v>32</v>
      </c>
      <c r="H660" s="2" t="s">
        <v>58</v>
      </c>
      <c r="I660" s="2" t="s">
        <v>132</v>
      </c>
      <c r="J660" s="2" t="s">
        <v>104</v>
      </c>
      <c r="K660" s="11">
        <v>45492</v>
      </c>
      <c r="L660" s="11">
        <v>45497</v>
      </c>
      <c r="M660" s="2">
        <v>25000</v>
      </c>
      <c r="N660" s="2" t="s">
        <v>67</v>
      </c>
      <c r="O660" s="2" t="s">
        <v>38</v>
      </c>
    </row>
    <row r="661" spans="3:15">
      <c r="C661" s="3" t="s">
        <v>1537</v>
      </c>
      <c r="D661" s="2" t="s">
        <v>2048</v>
      </c>
      <c r="E661" s="3">
        <v>34</v>
      </c>
      <c r="F661" t="str">
        <f t="shared" si="10"/>
        <v>Young Adult</v>
      </c>
      <c r="G661" s="3" t="s">
        <v>32</v>
      </c>
      <c r="H661" s="2" t="s">
        <v>58</v>
      </c>
      <c r="I661" s="2" t="s">
        <v>25</v>
      </c>
      <c r="J661" s="2" t="s">
        <v>99</v>
      </c>
      <c r="K661" s="11">
        <v>45544</v>
      </c>
      <c r="L661" s="11">
        <v>45556</v>
      </c>
      <c r="M661" s="3">
        <v>12000</v>
      </c>
      <c r="N661" s="3" t="s">
        <v>67</v>
      </c>
      <c r="O661" s="3" t="s">
        <v>55</v>
      </c>
    </row>
    <row r="662" spans="3:15">
      <c r="C662" s="2" t="s">
        <v>1539</v>
      </c>
      <c r="D662" s="2" t="s">
        <v>1533</v>
      </c>
      <c r="E662" s="2">
        <v>23</v>
      </c>
      <c r="F662" t="str">
        <f t="shared" si="10"/>
        <v>Young Adult</v>
      </c>
      <c r="G662" s="2" t="s">
        <v>14</v>
      </c>
      <c r="H662" s="2" t="s">
        <v>33</v>
      </c>
      <c r="I662" s="2" t="s">
        <v>76</v>
      </c>
      <c r="J662" s="2" t="s">
        <v>26</v>
      </c>
      <c r="K662" s="11">
        <v>45458</v>
      </c>
      <c r="L662" s="11">
        <v>45484</v>
      </c>
      <c r="M662" s="2">
        <v>12000</v>
      </c>
      <c r="N662" s="2" t="s">
        <v>29</v>
      </c>
      <c r="O662" s="2" t="s">
        <v>21</v>
      </c>
    </row>
    <row r="663" spans="3:15">
      <c r="C663" s="3" t="s">
        <v>1541</v>
      </c>
      <c r="D663" s="2" t="s">
        <v>1535</v>
      </c>
      <c r="E663" s="3">
        <v>11</v>
      </c>
      <c r="F663" t="str">
        <f t="shared" si="10"/>
        <v>Child</v>
      </c>
      <c r="G663" s="3" t="s">
        <v>32</v>
      </c>
      <c r="H663" s="2" t="s">
        <v>70</v>
      </c>
      <c r="I663" s="2" t="s">
        <v>127</v>
      </c>
      <c r="J663" s="2" t="s">
        <v>35</v>
      </c>
      <c r="K663" s="11">
        <v>45509</v>
      </c>
      <c r="L663" s="11">
        <v>45438</v>
      </c>
      <c r="M663" s="3">
        <v>100000</v>
      </c>
      <c r="N663" s="3" t="s">
        <v>37</v>
      </c>
      <c r="O663" s="3" t="s">
        <v>55</v>
      </c>
    </row>
    <row r="664" spans="3:15">
      <c r="C664" s="2" t="s">
        <v>1542</v>
      </c>
      <c r="D664" s="2" t="s">
        <v>1281</v>
      </c>
      <c r="E664" s="2">
        <v>30</v>
      </c>
      <c r="F664" t="str">
        <f t="shared" si="10"/>
        <v>Young Adult</v>
      </c>
      <c r="G664" s="2" t="s">
        <v>14</v>
      </c>
      <c r="H664" s="2" t="s">
        <v>15</v>
      </c>
      <c r="I664" s="2" t="s">
        <v>132</v>
      </c>
      <c r="J664" s="2" t="s">
        <v>99</v>
      </c>
      <c r="K664" s="11">
        <v>45400</v>
      </c>
      <c r="L664" s="11">
        <v>45407</v>
      </c>
      <c r="M664" s="2">
        <v>75000</v>
      </c>
      <c r="N664" s="2" t="s">
        <v>29</v>
      </c>
      <c r="O664" s="2" t="s">
        <v>38</v>
      </c>
    </row>
    <row r="665" spans="3:15">
      <c r="C665" s="3" t="s">
        <v>1544</v>
      </c>
      <c r="D665" s="2" t="s">
        <v>700</v>
      </c>
      <c r="E665" s="3">
        <v>34</v>
      </c>
      <c r="F665" t="str">
        <f t="shared" si="10"/>
        <v>Young Adult</v>
      </c>
      <c r="G665" s="3" t="s">
        <v>32</v>
      </c>
      <c r="H665" s="2" t="s">
        <v>85</v>
      </c>
      <c r="I665" s="2" t="s">
        <v>16</v>
      </c>
      <c r="J665" s="2" t="s">
        <v>53</v>
      </c>
      <c r="K665" s="11">
        <v>45395</v>
      </c>
      <c r="L665" s="11">
        <v>45421</v>
      </c>
      <c r="M665" s="3">
        <v>50000</v>
      </c>
      <c r="N665" s="3" t="s">
        <v>67</v>
      </c>
      <c r="O665" s="3" t="s">
        <v>87</v>
      </c>
    </row>
    <row r="666" spans="3:15">
      <c r="C666" s="2" t="s">
        <v>1545</v>
      </c>
      <c r="D666" s="2" t="s">
        <v>1540</v>
      </c>
      <c r="E666" s="2" t="s">
        <v>775</v>
      </c>
      <c r="F666" t="str">
        <f t="shared" si="10"/>
        <v>Unknown</v>
      </c>
      <c r="G666" s="2" t="s">
        <v>32</v>
      </c>
      <c r="H666" s="2" t="s">
        <v>109</v>
      </c>
      <c r="I666" s="2" t="s">
        <v>25</v>
      </c>
      <c r="J666" s="2" t="s">
        <v>17</v>
      </c>
      <c r="K666" s="11">
        <v>45634</v>
      </c>
      <c r="L666" s="11">
        <v>45534</v>
      </c>
      <c r="M666" s="2">
        <v>75000</v>
      </c>
      <c r="N666" s="2" t="s">
        <v>168</v>
      </c>
      <c r="O666" s="2" t="s">
        <v>55</v>
      </c>
    </row>
    <row r="667" spans="3:15">
      <c r="C667" s="3" t="s">
        <v>1546</v>
      </c>
      <c r="D667" s="2" t="s">
        <v>13</v>
      </c>
      <c r="E667" s="3">
        <v>35</v>
      </c>
      <c r="F667" t="str">
        <f t="shared" si="10"/>
        <v>Young Adult</v>
      </c>
      <c r="G667" s="3" t="s">
        <v>32</v>
      </c>
      <c r="H667" s="2" t="s">
        <v>70</v>
      </c>
      <c r="I667" s="2" t="s">
        <v>34</v>
      </c>
      <c r="J667" s="2" t="s">
        <v>53</v>
      </c>
      <c r="K667" s="11">
        <v>45403</v>
      </c>
      <c r="L667" s="11">
        <v>45429</v>
      </c>
      <c r="M667" s="3">
        <v>35000</v>
      </c>
      <c r="N667" s="3" t="s">
        <v>37</v>
      </c>
      <c r="O667" s="3" t="s">
        <v>21</v>
      </c>
    </row>
    <row r="668" spans="3:15">
      <c r="C668" s="2" t="s">
        <v>1547</v>
      </c>
      <c r="D668" s="2" t="s">
        <v>1543</v>
      </c>
      <c r="E668" s="2">
        <v>22</v>
      </c>
      <c r="F668" t="str">
        <f t="shared" si="10"/>
        <v>Young Adult</v>
      </c>
      <c r="G668" s="2" t="s">
        <v>32</v>
      </c>
      <c r="H668" s="2" t="s">
        <v>70</v>
      </c>
      <c r="I668" s="2" t="s">
        <v>76</v>
      </c>
      <c r="J668" s="2" t="s">
        <v>53</v>
      </c>
      <c r="K668" s="11">
        <v>45429</v>
      </c>
      <c r="L668" s="11">
        <v>45433</v>
      </c>
      <c r="M668" s="2">
        <v>5000</v>
      </c>
      <c r="N668" s="2" t="s">
        <v>20</v>
      </c>
      <c r="O668" s="2" t="s">
        <v>21</v>
      </c>
    </row>
    <row r="669" spans="3:15">
      <c r="C669" s="3" t="s">
        <v>1548</v>
      </c>
      <c r="D669" s="2" t="s">
        <v>966</v>
      </c>
      <c r="E669" s="3">
        <v>75</v>
      </c>
      <c r="F669" t="str">
        <f t="shared" si="10"/>
        <v>Senior</v>
      </c>
      <c r="G669" s="3" t="s">
        <v>32</v>
      </c>
      <c r="H669" s="2" t="s">
        <v>109</v>
      </c>
      <c r="I669" s="2" t="s">
        <v>34</v>
      </c>
      <c r="J669" s="2" t="s">
        <v>99</v>
      </c>
      <c r="K669" s="11">
        <v>45320</v>
      </c>
      <c r="L669" s="11">
        <v>45343</v>
      </c>
      <c r="M669" s="3">
        <v>8000</v>
      </c>
      <c r="N669" s="3" t="s">
        <v>37</v>
      </c>
      <c r="O669" s="3" t="s">
        <v>55</v>
      </c>
    </row>
    <row r="670" spans="3:15">
      <c r="C670" s="2" t="s">
        <v>1550</v>
      </c>
      <c r="D670" s="2" t="s">
        <v>918</v>
      </c>
      <c r="E670" s="2">
        <v>71</v>
      </c>
      <c r="F670" t="str">
        <f t="shared" si="10"/>
        <v>Senior</v>
      </c>
      <c r="G670" s="2" t="s">
        <v>32</v>
      </c>
      <c r="H670" s="2" t="s">
        <v>52</v>
      </c>
      <c r="I670" s="2" t="s">
        <v>25</v>
      </c>
      <c r="J670" s="2" t="s">
        <v>17</v>
      </c>
      <c r="K670" s="11">
        <v>45531</v>
      </c>
      <c r="L670" s="11">
        <v>45542</v>
      </c>
      <c r="M670" s="2">
        <v>75000</v>
      </c>
      <c r="N670" s="2" t="s">
        <v>20</v>
      </c>
      <c r="O670" s="2" t="s">
        <v>55</v>
      </c>
    </row>
    <row r="671" spans="3:15">
      <c r="C671" s="3" t="s">
        <v>1551</v>
      </c>
      <c r="D671" s="2" t="s">
        <v>369</v>
      </c>
      <c r="E671" s="3">
        <v>1</v>
      </c>
      <c r="F671" t="str">
        <f t="shared" si="10"/>
        <v>Child</v>
      </c>
      <c r="G671" s="3" t="s">
        <v>14</v>
      </c>
      <c r="H671" s="2" t="s">
        <v>85</v>
      </c>
      <c r="I671" s="2" t="s">
        <v>127</v>
      </c>
      <c r="J671" s="2" t="s">
        <v>48</v>
      </c>
      <c r="K671" s="11">
        <v>45566</v>
      </c>
      <c r="L671" s="11">
        <v>45322</v>
      </c>
      <c r="M671" s="3">
        <v>5000</v>
      </c>
      <c r="N671" s="3" t="s">
        <v>67</v>
      </c>
      <c r="O671" s="3" t="s">
        <v>55</v>
      </c>
    </row>
    <row r="672" spans="3:15">
      <c r="C672" s="2" t="s">
        <v>1553</v>
      </c>
      <c r="D672" s="2" t="s">
        <v>278</v>
      </c>
      <c r="E672" s="2">
        <v>43</v>
      </c>
      <c r="F672" t="str">
        <f t="shared" si="10"/>
        <v>Middle Age</v>
      </c>
      <c r="G672" s="2" t="s">
        <v>32</v>
      </c>
      <c r="H672" s="2" t="s">
        <v>70</v>
      </c>
      <c r="I672" s="2" t="s">
        <v>16</v>
      </c>
      <c r="J672" s="2" t="s">
        <v>17</v>
      </c>
      <c r="K672" s="11">
        <v>45342</v>
      </c>
      <c r="L672" s="11">
        <v>45361</v>
      </c>
      <c r="M672" s="2">
        <v>100000</v>
      </c>
      <c r="N672" s="2" t="s">
        <v>37</v>
      </c>
      <c r="O672" s="2" t="s">
        <v>21</v>
      </c>
    </row>
    <row r="673" spans="3:15">
      <c r="C673" s="3" t="s">
        <v>1555</v>
      </c>
      <c r="D673" s="2" t="s">
        <v>1549</v>
      </c>
      <c r="E673" s="3">
        <v>62</v>
      </c>
      <c r="F673" t="str">
        <f t="shared" si="10"/>
        <v>Senior</v>
      </c>
      <c r="G673" s="3" t="s">
        <v>14</v>
      </c>
      <c r="H673" s="2" t="s">
        <v>109</v>
      </c>
      <c r="I673" s="2" t="s">
        <v>132</v>
      </c>
      <c r="J673" s="2" t="s">
        <v>104</v>
      </c>
      <c r="K673" s="11">
        <v>45574</v>
      </c>
      <c r="L673" s="11">
        <v>45561</v>
      </c>
      <c r="M673" s="3">
        <v>100000</v>
      </c>
      <c r="N673" s="3" t="s">
        <v>29</v>
      </c>
      <c r="O673" s="3" t="s">
        <v>21</v>
      </c>
    </row>
    <row r="674" spans="3:15">
      <c r="C674" s="2" t="s">
        <v>1557</v>
      </c>
      <c r="D674" s="2" t="s">
        <v>1131</v>
      </c>
      <c r="E674" s="2">
        <v>42</v>
      </c>
      <c r="F674" t="str">
        <f t="shared" si="10"/>
        <v>Middle Age</v>
      </c>
      <c r="G674" s="2" t="s">
        <v>14</v>
      </c>
      <c r="H674" s="2" t="s">
        <v>70</v>
      </c>
      <c r="I674" s="2" t="s">
        <v>34</v>
      </c>
      <c r="J674" s="2" t="s">
        <v>99</v>
      </c>
      <c r="K674" s="11">
        <v>45448</v>
      </c>
      <c r="L674" s="11">
        <v>45422</v>
      </c>
      <c r="M674" s="2">
        <v>15000</v>
      </c>
      <c r="N674" s="2" t="s">
        <v>37</v>
      </c>
      <c r="O674" s="2" t="s">
        <v>38</v>
      </c>
    </row>
    <row r="675" spans="3:15">
      <c r="C675" s="3" t="s">
        <v>1558</v>
      </c>
      <c r="D675" s="2" t="s">
        <v>1552</v>
      </c>
      <c r="E675" s="3">
        <v>13</v>
      </c>
      <c r="F675" t="str">
        <f t="shared" si="10"/>
        <v>Child</v>
      </c>
      <c r="G675" s="3" t="s">
        <v>14</v>
      </c>
      <c r="H675" s="2" t="s">
        <v>85</v>
      </c>
      <c r="I675" s="2" t="s">
        <v>76</v>
      </c>
      <c r="J675" s="2" t="s">
        <v>35</v>
      </c>
      <c r="K675" s="11">
        <v>45572</v>
      </c>
      <c r="L675" s="11">
        <v>45509</v>
      </c>
      <c r="M675" s="3">
        <v>5000</v>
      </c>
      <c r="N675" s="3" t="s">
        <v>37</v>
      </c>
      <c r="O675" s="3" t="s">
        <v>55</v>
      </c>
    </row>
    <row r="676" spans="3:15">
      <c r="C676" s="2" t="s">
        <v>1559</v>
      </c>
      <c r="D676" s="2" t="s">
        <v>1554</v>
      </c>
      <c r="E676" s="2">
        <v>90</v>
      </c>
      <c r="F676" t="str">
        <f t="shared" si="10"/>
        <v>Senior</v>
      </c>
      <c r="G676" s="2" t="s">
        <v>32</v>
      </c>
      <c r="H676" s="2" t="s">
        <v>52</v>
      </c>
      <c r="I676" s="2" t="s">
        <v>76</v>
      </c>
      <c r="J676" s="2" t="s">
        <v>26</v>
      </c>
      <c r="K676" s="11">
        <v>45358</v>
      </c>
      <c r="L676" s="11">
        <v>45496</v>
      </c>
      <c r="M676" s="2">
        <v>75000</v>
      </c>
      <c r="N676" s="2" t="s">
        <v>37</v>
      </c>
      <c r="O676" s="2" t="s">
        <v>55</v>
      </c>
    </row>
    <row r="677" spans="3:15">
      <c r="C677" s="3" t="s">
        <v>1561</v>
      </c>
      <c r="D677" s="2" t="s">
        <v>1369</v>
      </c>
      <c r="E677" s="3">
        <v>47</v>
      </c>
      <c r="F677" t="str">
        <f t="shared" si="10"/>
        <v>Middle Age</v>
      </c>
      <c r="G677" s="3" t="s">
        <v>14</v>
      </c>
      <c r="H677" s="2" t="s">
        <v>33</v>
      </c>
      <c r="I677" s="2" t="s">
        <v>127</v>
      </c>
      <c r="J677" s="2" t="s">
        <v>48</v>
      </c>
      <c r="K677" s="11">
        <v>45396</v>
      </c>
      <c r="L677" s="11">
        <v>45416</v>
      </c>
      <c r="M677" s="3">
        <v>5000</v>
      </c>
      <c r="N677" s="3" t="s">
        <v>29</v>
      </c>
      <c r="O677" s="3" t="s">
        <v>55</v>
      </c>
    </row>
    <row r="678" spans="3:15">
      <c r="C678" s="2" t="s">
        <v>1562</v>
      </c>
      <c r="D678" s="2" t="s">
        <v>526</v>
      </c>
      <c r="E678" s="2">
        <v>40</v>
      </c>
      <c r="F678" t="str">
        <f t="shared" si="10"/>
        <v>Middle Age</v>
      </c>
      <c r="G678" s="2" t="s">
        <v>32</v>
      </c>
      <c r="H678" s="2" t="s">
        <v>109</v>
      </c>
      <c r="I678" s="2" t="s">
        <v>25</v>
      </c>
      <c r="J678" s="2" t="s">
        <v>35</v>
      </c>
      <c r="K678" s="11">
        <v>45356</v>
      </c>
      <c r="L678" s="11">
        <v>45418</v>
      </c>
      <c r="M678" s="2">
        <v>12000</v>
      </c>
      <c r="N678" s="2" t="s">
        <v>37</v>
      </c>
      <c r="O678" s="2" t="s">
        <v>21</v>
      </c>
    </row>
    <row r="679" spans="3:15">
      <c r="C679" s="3" t="s">
        <v>1564</v>
      </c>
      <c r="D679" s="2" t="s">
        <v>23</v>
      </c>
      <c r="E679" s="3">
        <v>45</v>
      </c>
      <c r="F679" t="str">
        <f t="shared" si="10"/>
        <v>Middle Age</v>
      </c>
      <c r="G679" s="3" t="s">
        <v>14</v>
      </c>
      <c r="H679" s="2" t="s">
        <v>109</v>
      </c>
      <c r="I679" s="2" t="s">
        <v>16</v>
      </c>
      <c r="J679" s="2" t="s">
        <v>99</v>
      </c>
      <c r="K679" s="11">
        <v>45366</v>
      </c>
      <c r="L679" s="11">
        <v>45385</v>
      </c>
      <c r="M679" s="3">
        <v>50000</v>
      </c>
      <c r="N679" s="3" t="s">
        <v>37</v>
      </c>
      <c r="O679" s="3" t="s">
        <v>87</v>
      </c>
    </row>
    <row r="680" spans="3:15">
      <c r="C680" s="2" t="s">
        <v>1565</v>
      </c>
      <c r="D680" s="2" t="s">
        <v>1560</v>
      </c>
      <c r="E680" s="2">
        <v>31</v>
      </c>
      <c r="F680" t="str">
        <f t="shared" si="10"/>
        <v>Young Adult</v>
      </c>
      <c r="G680" s="2" t="s">
        <v>14</v>
      </c>
      <c r="H680" s="2" t="s">
        <v>52</v>
      </c>
      <c r="I680" s="2" t="s">
        <v>76</v>
      </c>
      <c r="J680" s="2" t="s">
        <v>35</v>
      </c>
      <c r="K680" s="11">
        <v>45450</v>
      </c>
      <c r="L680" s="11">
        <v>45507</v>
      </c>
      <c r="M680" s="2">
        <v>15000</v>
      </c>
      <c r="N680" s="2" t="s">
        <v>29</v>
      </c>
      <c r="O680" s="2" t="s">
        <v>55</v>
      </c>
    </row>
    <row r="681" spans="3:15">
      <c r="C681" s="3" t="s">
        <v>1567</v>
      </c>
      <c r="D681" s="2" t="s">
        <v>642</v>
      </c>
      <c r="E681" s="3">
        <v>35</v>
      </c>
      <c r="F681" t="str">
        <f t="shared" si="10"/>
        <v>Young Adult</v>
      </c>
      <c r="G681" s="3" t="s">
        <v>14</v>
      </c>
      <c r="H681" s="2" t="s">
        <v>33</v>
      </c>
      <c r="I681" s="2" t="s">
        <v>127</v>
      </c>
      <c r="J681" s="2" t="s">
        <v>17</v>
      </c>
      <c r="K681" s="11">
        <v>45498</v>
      </c>
      <c r="L681" s="11">
        <v>45507</v>
      </c>
      <c r="M681" s="3">
        <v>25000</v>
      </c>
      <c r="N681" s="3" t="s">
        <v>20</v>
      </c>
      <c r="O681" s="3" t="s">
        <v>21</v>
      </c>
    </row>
    <row r="682" spans="3:15">
      <c r="C682" s="2" t="s">
        <v>1568</v>
      </c>
      <c r="D682" s="2" t="s">
        <v>1563</v>
      </c>
      <c r="E682" s="2">
        <v>38</v>
      </c>
      <c r="F682" t="str">
        <f t="shared" si="10"/>
        <v>Young Adult</v>
      </c>
      <c r="G682" s="2" t="s">
        <v>32</v>
      </c>
      <c r="H682" s="2" t="s">
        <v>15</v>
      </c>
      <c r="I682" s="2" t="s">
        <v>127</v>
      </c>
      <c r="J682" s="2" t="s">
        <v>26</v>
      </c>
      <c r="K682" s="11">
        <v>45478</v>
      </c>
      <c r="L682" s="11">
        <v>45424</v>
      </c>
      <c r="M682" s="2">
        <v>75000</v>
      </c>
      <c r="N682" s="2" t="s">
        <v>37</v>
      </c>
      <c r="O682" s="2" t="s">
        <v>21</v>
      </c>
    </row>
    <row r="683" spans="3:15">
      <c r="C683" s="3" t="s">
        <v>1570</v>
      </c>
      <c r="D683" s="2" t="s">
        <v>193</v>
      </c>
      <c r="E683" s="3">
        <v>81</v>
      </c>
      <c r="F683" t="str">
        <f t="shared" si="10"/>
        <v>Senior</v>
      </c>
      <c r="G683" s="3" t="s">
        <v>14</v>
      </c>
      <c r="H683" s="2" t="s">
        <v>70</v>
      </c>
      <c r="I683" s="2" t="s">
        <v>132</v>
      </c>
      <c r="J683" s="2" t="s">
        <v>99</v>
      </c>
      <c r="K683" s="11">
        <v>45447</v>
      </c>
      <c r="L683" s="11">
        <v>45416</v>
      </c>
      <c r="M683" s="3">
        <v>12000</v>
      </c>
      <c r="N683" s="3" t="s">
        <v>775</v>
      </c>
      <c r="O683" s="3" t="s">
        <v>87</v>
      </c>
    </row>
    <row r="684" spans="3:15">
      <c r="C684" s="2" t="s">
        <v>1572</v>
      </c>
      <c r="D684" s="2" t="s">
        <v>93</v>
      </c>
      <c r="E684" s="2">
        <v>5</v>
      </c>
      <c r="F684" t="str">
        <f t="shared" si="10"/>
        <v>Child</v>
      </c>
      <c r="G684" s="2" t="s">
        <v>14</v>
      </c>
      <c r="H684" s="2" t="s">
        <v>109</v>
      </c>
      <c r="I684" s="2" t="s">
        <v>127</v>
      </c>
      <c r="J684" s="2" t="s">
        <v>48</v>
      </c>
      <c r="K684" s="11">
        <v>45345</v>
      </c>
      <c r="L684" s="11">
        <v>45350</v>
      </c>
      <c r="M684" s="2">
        <v>5000</v>
      </c>
      <c r="N684" s="2" t="s">
        <v>29</v>
      </c>
      <c r="O684" s="2" t="s">
        <v>21</v>
      </c>
    </row>
    <row r="685" spans="3:15">
      <c r="C685" s="3" t="s">
        <v>1574</v>
      </c>
      <c r="D685" s="2" t="s">
        <v>982</v>
      </c>
      <c r="E685" s="3">
        <v>11</v>
      </c>
      <c r="F685" t="str">
        <f t="shared" si="10"/>
        <v>Child</v>
      </c>
      <c r="G685" s="3" t="s">
        <v>14</v>
      </c>
      <c r="H685" s="2" t="s">
        <v>52</v>
      </c>
      <c r="I685" s="2" t="s">
        <v>42</v>
      </c>
      <c r="J685" s="2" t="s">
        <v>26</v>
      </c>
      <c r="K685" s="11">
        <v>45293</v>
      </c>
      <c r="L685" s="11">
        <v>45346</v>
      </c>
      <c r="M685" s="3">
        <v>12000</v>
      </c>
      <c r="N685" s="3" t="s">
        <v>29</v>
      </c>
      <c r="O685" s="3" t="s">
        <v>38</v>
      </c>
    </row>
    <row r="686" spans="3:15">
      <c r="C686" s="2" t="s">
        <v>1576</v>
      </c>
      <c r="D686" s="2" t="s">
        <v>1569</v>
      </c>
      <c r="E686" s="2">
        <v>26</v>
      </c>
      <c r="F686" t="str">
        <f t="shared" si="10"/>
        <v>Young Adult</v>
      </c>
      <c r="G686" s="2" t="s">
        <v>32</v>
      </c>
      <c r="H686" s="2" t="s">
        <v>33</v>
      </c>
      <c r="I686" s="2" t="s">
        <v>42</v>
      </c>
      <c r="J686" s="2" t="s">
        <v>26</v>
      </c>
      <c r="K686" s="11">
        <v>45460</v>
      </c>
      <c r="L686" s="11">
        <v>45461</v>
      </c>
      <c r="M686" s="2">
        <v>15000</v>
      </c>
      <c r="N686" s="2" t="s">
        <v>67</v>
      </c>
      <c r="O686" s="2" t="s">
        <v>21</v>
      </c>
    </row>
    <row r="687" spans="3:15">
      <c r="C687" s="3" t="s">
        <v>1578</v>
      </c>
      <c r="D687" s="2" t="s">
        <v>1010</v>
      </c>
      <c r="E687" s="3">
        <v>39</v>
      </c>
      <c r="F687" t="str">
        <f t="shared" si="10"/>
        <v>Young Adult</v>
      </c>
      <c r="G687" s="3" t="s">
        <v>14</v>
      </c>
      <c r="H687" s="2" t="s">
        <v>70</v>
      </c>
      <c r="I687" s="2" t="s">
        <v>42</v>
      </c>
      <c r="J687" s="2" t="s">
        <v>17</v>
      </c>
      <c r="K687" s="11">
        <v>45388</v>
      </c>
      <c r="L687" s="11">
        <v>45416</v>
      </c>
      <c r="M687" s="3">
        <v>75000</v>
      </c>
      <c r="N687" s="3" t="s">
        <v>29</v>
      </c>
      <c r="O687" s="3" t="s">
        <v>38</v>
      </c>
    </row>
    <row r="688" spans="3:15">
      <c r="C688" s="2" t="s">
        <v>1580</v>
      </c>
      <c r="D688" s="2" t="s">
        <v>1257</v>
      </c>
      <c r="E688" s="2">
        <v>66</v>
      </c>
      <c r="F688" t="str">
        <f t="shared" si="10"/>
        <v>Senior</v>
      </c>
      <c r="G688" s="2" t="s">
        <v>14</v>
      </c>
      <c r="H688" s="2" t="s">
        <v>58</v>
      </c>
      <c r="I688" s="2" t="s">
        <v>34</v>
      </c>
      <c r="J688" s="2" t="s">
        <v>17</v>
      </c>
      <c r="K688" s="11">
        <v>45294</v>
      </c>
      <c r="L688" s="11">
        <v>45314</v>
      </c>
      <c r="M688" s="2">
        <v>15000</v>
      </c>
      <c r="N688" s="2" t="s">
        <v>67</v>
      </c>
      <c r="O688" s="2" t="s">
        <v>21</v>
      </c>
    </row>
    <row r="689" spans="3:15">
      <c r="C689" s="3" t="s">
        <v>1581</v>
      </c>
      <c r="D689" s="2" t="s">
        <v>1575</v>
      </c>
      <c r="E689" s="3">
        <v>29</v>
      </c>
      <c r="F689" t="str">
        <f t="shared" si="10"/>
        <v>Young Adult</v>
      </c>
      <c r="G689" s="3" t="s">
        <v>32</v>
      </c>
      <c r="H689" s="2" t="s">
        <v>70</v>
      </c>
      <c r="I689" s="2" t="s">
        <v>76</v>
      </c>
      <c r="J689" s="2" t="s">
        <v>26</v>
      </c>
      <c r="K689" s="11">
        <v>45459</v>
      </c>
      <c r="L689" s="11">
        <v>45470</v>
      </c>
      <c r="M689" s="3">
        <v>100000</v>
      </c>
      <c r="N689" s="3" t="s">
        <v>37</v>
      </c>
      <c r="O689" s="3" t="s">
        <v>87</v>
      </c>
    </row>
    <row r="690" spans="3:15">
      <c r="C690" s="2" t="s">
        <v>1582</v>
      </c>
      <c r="D690" s="2" t="s">
        <v>1577</v>
      </c>
      <c r="E690" s="2">
        <v>49</v>
      </c>
      <c r="F690" t="str">
        <f t="shared" si="10"/>
        <v>Middle Age</v>
      </c>
      <c r="G690" s="2" t="s">
        <v>14</v>
      </c>
      <c r="H690" s="2" t="s">
        <v>85</v>
      </c>
      <c r="I690" s="2" t="s">
        <v>76</v>
      </c>
      <c r="J690" s="2" t="s">
        <v>26</v>
      </c>
      <c r="K690" s="11">
        <v>45550</v>
      </c>
      <c r="L690" s="11">
        <v>45560</v>
      </c>
      <c r="M690" s="2">
        <v>100000</v>
      </c>
      <c r="N690" s="2" t="s">
        <v>67</v>
      </c>
      <c r="O690" s="2" t="s">
        <v>775</v>
      </c>
    </row>
    <row r="691" spans="3:15">
      <c r="C691" s="3" t="s">
        <v>1583</v>
      </c>
      <c r="D691" s="2" t="s">
        <v>1579</v>
      </c>
      <c r="E691" s="3" t="s">
        <v>775</v>
      </c>
      <c r="F691" t="str">
        <f t="shared" si="10"/>
        <v>Unknown</v>
      </c>
      <c r="G691" s="3" t="s">
        <v>287</v>
      </c>
      <c r="H691" s="2" t="s">
        <v>52</v>
      </c>
      <c r="I691" s="2" t="s">
        <v>127</v>
      </c>
      <c r="J691" s="2" t="s">
        <v>104</v>
      </c>
      <c r="K691" s="11">
        <v>45410</v>
      </c>
      <c r="L691" s="11">
        <v>45416</v>
      </c>
      <c r="M691" s="3">
        <v>100000</v>
      </c>
      <c r="N691" s="3" t="s">
        <v>20</v>
      </c>
      <c r="O691" s="3" t="s">
        <v>38</v>
      </c>
    </row>
    <row r="692" spans="3:15">
      <c r="C692" s="2" t="s">
        <v>1584</v>
      </c>
      <c r="D692" s="2" t="s">
        <v>540</v>
      </c>
      <c r="E692" s="2">
        <v>82</v>
      </c>
      <c r="F692" t="str">
        <f t="shared" si="10"/>
        <v>Senior</v>
      </c>
      <c r="G692" s="2" t="s">
        <v>32</v>
      </c>
      <c r="H692" s="2" t="s">
        <v>33</v>
      </c>
      <c r="I692" s="2" t="s">
        <v>127</v>
      </c>
      <c r="J692" s="2" t="s">
        <v>26</v>
      </c>
      <c r="K692" s="11">
        <v>45518</v>
      </c>
      <c r="L692" s="11">
        <v>45530</v>
      </c>
      <c r="M692" s="2">
        <v>25000</v>
      </c>
      <c r="N692" s="2" t="s">
        <v>37</v>
      </c>
      <c r="O692" s="2" t="s">
        <v>38</v>
      </c>
    </row>
    <row r="693" spans="3:15">
      <c r="C693" s="3" t="s">
        <v>1585</v>
      </c>
      <c r="D693" s="2" t="s">
        <v>214</v>
      </c>
      <c r="E693" s="3">
        <v>56</v>
      </c>
      <c r="F693" t="str">
        <f t="shared" si="10"/>
        <v>Middle Age</v>
      </c>
      <c r="G693" s="3" t="s">
        <v>14</v>
      </c>
      <c r="H693" s="2" t="s">
        <v>85</v>
      </c>
      <c r="I693" s="2" t="s">
        <v>132</v>
      </c>
      <c r="J693" s="2" t="s">
        <v>17</v>
      </c>
      <c r="K693" s="11">
        <v>45443</v>
      </c>
      <c r="L693" s="11">
        <v>45460</v>
      </c>
      <c r="M693" s="3">
        <v>15000</v>
      </c>
      <c r="N693" s="3" t="s">
        <v>37</v>
      </c>
      <c r="O693" s="3" t="s">
        <v>55</v>
      </c>
    </row>
    <row r="694" spans="3:15">
      <c r="C694" s="2" t="s">
        <v>1587</v>
      </c>
      <c r="D694" s="2" t="s">
        <v>996</v>
      </c>
      <c r="E694" s="2">
        <v>52</v>
      </c>
      <c r="F694" t="str">
        <f t="shared" si="10"/>
        <v>Middle Age</v>
      </c>
      <c r="G694" s="2" t="s">
        <v>32</v>
      </c>
      <c r="H694" s="2" t="s">
        <v>52</v>
      </c>
      <c r="I694" s="2" t="s">
        <v>132</v>
      </c>
      <c r="J694" s="2" t="s">
        <v>99</v>
      </c>
      <c r="K694" s="11">
        <v>45527</v>
      </c>
      <c r="L694" s="11">
        <v>45528</v>
      </c>
      <c r="M694" s="2">
        <v>0</v>
      </c>
      <c r="N694" s="2" t="s">
        <v>29</v>
      </c>
      <c r="O694" s="2" t="s">
        <v>21</v>
      </c>
    </row>
    <row r="695" spans="3:15">
      <c r="C695" s="3" t="s">
        <v>1589</v>
      </c>
      <c r="D695" s="2" t="s">
        <v>69</v>
      </c>
      <c r="E695" s="3">
        <v>52</v>
      </c>
      <c r="F695" t="str">
        <f t="shared" si="10"/>
        <v>Middle Age</v>
      </c>
      <c r="G695" s="3" t="s">
        <v>14</v>
      </c>
      <c r="H695" s="2" t="s">
        <v>85</v>
      </c>
      <c r="I695" s="2" t="s">
        <v>127</v>
      </c>
      <c r="J695" s="2" t="s">
        <v>26</v>
      </c>
      <c r="K695" s="11">
        <v>45388</v>
      </c>
      <c r="L695" s="11">
        <v>45453</v>
      </c>
      <c r="M695" s="3">
        <v>50000</v>
      </c>
      <c r="N695" s="3" t="s">
        <v>37</v>
      </c>
      <c r="O695" s="3" t="s">
        <v>87</v>
      </c>
    </row>
    <row r="696" spans="3:15">
      <c r="C696" s="3" t="s">
        <v>1591</v>
      </c>
      <c r="D696" s="2" t="s">
        <v>459</v>
      </c>
      <c r="E696" s="2">
        <v>70</v>
      </c>
      <c r="F696" t="str">
        <f t="shared" si="10"/>
        <v>Senior</v>
      </c>
      <c r="G696" s="2" t="s">
        <v>14</v>
      </c>
      <c r="H696" s="2" t="s">
        <v>70</v>
      </c>
      <c r="I696" s="2" t="s">
        <v>132</v>
      </c>
      <c r="J696" s="2" t="s">
        <v>104</v>
      </c>
      <c r="K696" s="11">
        <v>45377</v>
      </c>
      <c r="L696" s="11">
        <v>45391</v>
      </c>
      <c r="M696" s="2">
        <v>8000</v>
      </c>
      <c r="N696" s="2" t="s">
        <v>20</v>
      </c>
      <c r="O696" s="2" t="s">
        <v>87</v>
      </c>
    </row>
    <row r="697" spans="3:15">
      <c r="C697" s="2" t="s">
        <v>1592</v>
      </c>
      <c r="D697" s="2" t="s">
        <v>1586</v>
      </c>
      <c r="E697" s="3">
        <v>87</v>
      </c>
      <c r="F697" t="str">
        <f t="shared" si="10"/>
        <v>Senior</v>
      </c>
      <c r="G697" s="3" t="s">
        <v>14</v>
      </c>
      <c r="H697" s="2" t="s">
        <v>52</v>
      </c>
      <c r="I697" s="2" t="s">
        <v>25</v>
      </c>
      <c r="J697" s="2" t="s">
        <v>35</v>
      </c>
      <c r="K697" s="11">
        <v>45441</v>
      </c>
      <c r="L697" s="11">
        <v>45471</v>
      </c>
      <c r="M697" s="3">
        <v>20000</v>
      </c>
      <c r="N697" s="3" t="s">
        <v>67</v>
      </c>
      <c r="O697" s="3" t="s">
        <v>38</v>
      </c>
    </row>
    <row r="698" spans="3:15">
      <c r="C698" s="3" t="s">
        <v>1593</v>
      </c>
      <c r="D698" s="2" t="s">
        <v>1588</v>
      </c>
      <c r="E698" s="2">
        <v>25</v>
      </c>
      <c r="F698" t="str">
        <f t="shared" si="10"/>
        <v>Young Adult</v>
      </c>
      <c r="G698" s="2" t="s">
        <v>32</v>
      </c>
      <c r="H698" s="2" t="s">
        <v>15</v>
      </c>
      <c r="I698" s="2" t="s">
        <v>127</v>
      </c>
      <c r="J698" s="2" t="s">
        <v>104</v>
      </c>
      <c r="K698" s="11">
        <v>45384</v>
      </c>
      <c r="L698" s="11">
        <v>45345</v>
      </c>
      <c r="M698" s="2">
        <v>35000</v>
      </c>
      <c r="N698" s="2" t="s">
        <v>37</v>
      </c>
      <c r="O698" s="2" t="s">
        <v>55</v>
      </c>
    </row>
    <row r="699" spans="3:15">
      <c r="C699" s="2" t="s">
        <v>1594</v>
      </c>
      <c r="D699" s="2" t="s">
        <v>912</v>
      </c>
      <c r="E699" s="3">
        <v>14</v>
      </c>
      <c r="F699" t="str">
        <f t="shared" si="10"/>
        <v>Child</v>
      </c>
      <c r="G699" s="3" t="s">
        <v>32</v>
      </c>
      <c r="H699" s="2" t="s">
        <v>85</v>
      </c>
      <c r="I699" s="2" t="s">
        <v>34</v>
      </c>
      <c r="J699" s="2" t="s">
        <v>35</v>
      </c>
      <c r="K699" s="11">
        <v>45403</v>
      </c>
      <c r="L699" s="11">
        <v>45407</v>
      </c>
      <c r="M699" s="3">
        <v>5000</v>
      </c>
      <c r="N699" s="3" t="s">
        <v>37</v>
      </c>
      <c r="O699" s="3" t="s">
        <v>38</v>
      </c>
    </row>
    <row r="700" spans="3:15">
      <c r="C700" s="3" t="s">
        <v>1596</v>
      </c>
      <c r="D700" s="2" t="s">
        <v>912</v>
      </c>
      <c r="E700" s="2">
        <v>14</v>
      </c>
      <c r="F700" t="str">
        <f t="shared" si="10"/>
        <v>Child</v>
      </c>
      <c r="G700" s="2" t="s">
        <v>338</v>
      </c>
      <c r="H700" s="2" t="s">
        <v>85</v>
      </c>
      <c r="I700" s="2" t="s">
        <v>34</v>
      </c>
      <c r="J700" s="2" t="s">
        <v>35</v>
      </c>
      <c r="K700" s="11">
        <v>45403</v>
      </c>
      <c r="L700" s="11">
        <v>45407</v>
      </c>
      <c r="M700" s="2">
        <v>5000</v>
      </c>
      <c r="N700" s="2" t="s">
        <v>37</v>
      </c>
      <c r="O700" s="2" t="s">
        <v>38</v>
      </c>
    </row>
    <row r="701" spans="3:15">
      <c r="C701" s="2" t="s">
        <v>1598</v>
      </c>
      <c r="D701" s="2" t="s">
        <v>918</v>
      </c>
      <c r="E701" s="3">
        <v>83</v>
      </c>
      <c r="F701" t="str">
        <f t="shared" si="10"/>
        <v>Senior</v>
      </c>
      <c r="G701" s="3" t="s">
        <v>14</v>
      </c>
      <c r="H701" s="2" t="s">
        <v>85</v>
      </c>
      <c r="I701" s="2" t="s">
        <v>127</v>
      </c>
      <c r="J701" s="2" t="s">
        <v>99</v>
      </c>
      <c r="K701" s="11">
        <v>45488</v>
      </c>
      <c r="L701" s="11">
        <v>45505</v>
      </c>
      <c r="M701" s="3">
        <v>8000</v>
      </c>
      <c r="N701" s="3" t="s">
        <v>20</v>
      </c>
      <c r="O701" s="3" t="s">
        <v>55</v>
      </c>
    </row>
    <row r="702" spans="3:15">
      <c r="C702" s="3" t="s">
        <v>1599</v>
      </c>
      <c r="D702" s="2" t="s">
        <v>1334</v>
      </c>
      <c r="E702" s="2">
        <v>72</v>
      </c>
      <c r="F702" t="str">
        <f t="shared" si="10"/>
        <v>Senior</v>
      </c>
      <c r="G702" s="2" t="s">
        <v>775</v>
      </c>
      <c r="H702" s="2" t="s">
        <v>52</v>
      </c>
      <c r="I702" s="2" t="s">
        <v>42</v>
      </c>
      <c r="J702" s="2" t="s">
        <v>26</v>
      </c>
      <c r="K702" s="11">
        <v>45565</v>
      </c>
      <c r="L702" s="11">
        <v>45569</v>
      </c>
      <c r="M702" s="2">
        <v>5000</v>
      </c>
      <c r="N702" s="2" t="s">
        <v>67</v>
      </c>
      <c r="O702" s="2" t="s">
        <v>38</v>
      </c>
    </row>
    <row r="703" spans="3:15">
      <c r="C703" s="2" t="s">
        <v>1600</v>
      </c>
      <c r="D703" s="2" t="s">
        <v>693</v>
      </c>
      <c r="E703" s="3">
        <v>56</v>
      </c>
      <c r="F703" t="str">
        <f t="shared" si="10"/>
        <v>Middle Age</v>
      </c>
      <c r="G703" s="3" t="s">
        <v>32</v>
      </c>
      <c r="H703" s="2" t="s">
        <v>85</v>
      </c>
      <c r="I703" s="2" t="s">
        <v>127</v>
      </c>
      <c r="J703" s="2" t="s">
        <v>35</v>
      </c>
      <c r="K703" s="11">
        <v>45580</v>
      </c>
      <c r="L703" s="11">
        <v>45604</v>
      </c>
      <c r="M703" s="3">
        <v>100000</v>
      </c>
      <c r="N703" s="3" t="s">
        <v>20</v>
      </c>
      <c r="O703" s="3" t="s">
        <v>21</v>
      </c>
    </row>
    <row r="704" spans="3:15">
      <c r="C704" s="3" t="s">
        <v>1602</v>
      </c>
      <c r="D704" s="2" t="s">
        <v>1595</v>
      </c>
      <c r="E704" s="2">
        <v>37</v>
      </c>
      <c r="F704" t="str">
        <f t="shared" si="10"/>
        <v>Young Adult</v>
      </c>
      <c r="G704" s="2" t="s">
        <v>14</v>
      </c>
      <c r="H704" s="2" t="s">
        <v>85</v>
      </c>
      <c r="I704" s="2" t="s">
        <v>132</v>
      </c>
      <c r="J704" s="2" t="s">
        <v>99</v>
      </c>
      <c r="K704" s="11">
        <v>45399</v>
      </c>
      <c r="L704" s="11">
        <v>45411</v>
      </c>
      <c r="M704" s="2">
        <v>15000</v>
      </c>
      <c r="N704" s="2" t="s">
        <v>67</v>
      </c>
      <c r="O704" s="2" t="s">
        <v>38</v>
      </c>
    </row>
    <row r="705" spans="3:15">
      <c r="C705" s="2" t="s">
        <v>1604</v>
      </c>
      <c r="D705" s="2" t="s">
        <v>1597</v>
      </c>
      <c r="E705" s="3">
        <v>68</v>
      </c>
      <c r="F705" t="str">
        <f t="shared" si="10"/>
        <v>Senior</v>
      </c>
      <c r="G705" s="3" t="s">
        <v>32</v>
      </c>
      <c r="H705" s="2" t="s">
        <v>58</v>
      </c>
      <c r="I705" s="2" t="s">
        <v>42</v>
      </c>
      <c r="J705" s="2" t="s">
        <v>35</v>
      </c>
      <c r="K705" s="11">
        <v>45327</v>
      </c>
      <c r="L705" s="11">
        <v>45442</v>
      </c>
      <c r="M705" s="3">
        <v>15000</v>
      </c>
      <c r="N705" s="3" t="s">
        <v>37</v>
      </c>
      <c r="O705" s="3" t="s">
        <v>87</v>
      </c>
    </row>
    <row r="706" spans="3:15">
      <c r="C706" s="3" t="s">
        <v>1606</v>
      </c>
      <c r="D706" s="2" t="s">
        <v>150</v>
      </c>
      <c r="E706" s="2">
        <v>54</v>
      </c>
      <c r="F706" t="str">
        <f t="shared" si="10"/>
        <v>Middle Age</v>
      </c>
      <c r="G706" s="2" t="s">
        <v>32</v>
      </c>
      <c r="H706" s="2" t="s">
        <v>33</v>
      </c>
      <c r="I706" s="2" t="s">
        <v>132</v>
      </c>
      <c r="J706" s="2" t="s">
        <v>104</v>
      </c>
      <c r="K706" s="11">
        <v>45425</v>
      </c>
      <c r="L706" s="11">
        <v>45432</v>
      </c>
      <c r="M706" s="2">
        <v>5000</v>
      </c>
      <c r="N706" s="2" t="s">
        <v>29</v>
      </c>
      <c r="O706" s="2" t="s">
        <v>38</v>
      </c>
    </row>
    <row r="707" spans="3:15">
      <c r="C707" s="2" t="s">
        <v>1607</v>
      </c>
      <c r="D707" s="2" t="s">
        <v>1251</v>
      </c>
      <c r="E707" s="3">
        <v>80</v>
      </c>
      <c r="F707" t="str">
        <f t="shared" si="10"/>
        <v>Senior</v>
      </c>
      <c r="G707" s="3" t="s">
        <v>32</v>
      </c>
      <c r="H707" s="2" t="s">
        <v>33</v>
      </c>
      <c r="I707" s="2" t="s">
        <v>25</v>
      </c>
      <c r="J707" s="2" t="s">
        <v>17</v>
      </c>
      <c r="K707" s="11">
        <v>45386</v>
      </c>
      <c r="L707" s="11">
        <v>45394</v>
      </c>
      <c r="M707" s="3">
        <v>25000</v>
      </c>
      <c r="N707" s="3" t="s">
        <v>20</v>
      </c>
      <c r="O707" s="3" t="s">
        <v>38</v>
      </c>
    </row>
    <row r="708" spans="3:15">
      <c r="C708" s="3" t="s">
        <v>1609</v>
      </c>
      <c r="D708" s="2" t="s">
        <v>1601</v>
      </c>
      <c r="E708" s="2">
        <v>38</v>
      </c>
      <c r="F708" t="str">
        <f t="shared" si="10"/>
        <v>Young Adult</v>
      </c>
      <c r="G708" s="2" t="s">
        <v>14</v>
      </c>
      <c r="H708" s="2" t="s">
        <v>52</v>
      </c>
      <c r="I708" s="2" t="s">
        <v>16</v>
      </c>
      <c r="J708" s="2" t="s">
        <v>48</v>
      </c>
      <c r="K708" s="11">
        <v>45361</v>
      </c>
      <c r="L708" s="11">
        <v>45597</v>
      </c>
      <c r="M708" s="2">
        <v>20000</v>
      </c>
      <c r="N708" s="2" t="s">
        <v>20</v>
      </c>
      <c r="O708" s="2" t="s">
        <v>55</v>
      </c>
    </row>
    <row r="709" spans="3:15">
      <c r="C709" s="2" t="s">
        <v>1610</v>
      </c>
      <c r="D709" s="2" t="s">
        <v>1603</v>
      </c>
      <c r="E709" s="3">
        <v>89</v>
      </c>
      <c r="F709" t="str">
        <f t="shared" si="10"/>
        <v>Senior</v>
      </c>
      <c r="G709" s="3" t="s">
        <v>14</v>
      </c>
      <c r="H709" s="2" t="s">
        <v>70</v>
      </c>
      <c r="I709" s="2" t="s">
        <v>76</v>
      </c>
      <c r="J709" s="2" t="s">
        <v>99</v>
      </c>
      <c r="K709" s="11">
        <v>45389</v>
      </c>
      <c r="L709" s="11">
        <v>45498</v>
      </c>
      <c r="M709" s="3">
        <v>20000</v>
      </c>
      <c r="N709" s="3" t="s">
        <v>29</v>
      </c>
      <c r="O709" s="3" t="s">
        <v>21</v>
      </c>
    </row>
    <row r="710" spans="3:15">
      <c r="C710" s="3" t="s">
        <v>1613</v>
      </c>
      <c r="D710" s="2" t="s">
        <v>1605</v>
      </c>
      <c r="E710" s="2">
        <v>32</v>
      </c>
      <c r="F710" t="str">
        <f t="shared" si="10"/>
        <v>Young Adult</v>
      </c>
      <c r="G710" s="2" t="s">
        <v>32</v>
      </c>
      <c r="H710" s="2" t="s">
        <v>109</v>
      </c>
      <c r="I710" s="2" t="s">
        <v>25</v>
      </c>
      <c r="J710" s="2" t="s">
        <v>99</v>
      </c>
      <c r="K710" s="11">
        <v>45537</v>
      </c>
      <c r="L710" s="11">
        <v>45343</v>
      </c>
      <c r="M710" s="2">
        <v>5000</v>
      </c>
      <c r="N710" s="2" t="s">
        <v>67</v>
      </c>
      <c r="O710" s="2" t="s">
        <v>38</v>
      </c>
    </row>
    <row r="711" spans="3:15">
      <c r="C711" s="2" t="s">
        <v>1614</v>
      </c>
      <c r="D711" s="2" t="s">
        <v>733</v>
      </c>
      <c r="E711" s="3">
        <v>44</v>
      </c>
      <c r="F711" t="str">
        <f t="shared" si="10"/>
        <v>Middle Age</v>
      </c>
      <c r="G711" s="3" t="s">
        <v>32</v>
      </c>
      <c r="H711" s="2" t="s">
        <v>33</v>
      </c>
      <c r="I711" s="2" t="s">
        <v>127</v>
      </c>
      <c r="J711" s="2" t="s">
        <v>35</v>
      </c>
      <c r="K711" s="11">
        <v>45420</v>
      </c>
      <c r="L711" s="11">
        <v>45522</v>
      </c>
      <c r="M711" s="3">
        <v>15000</v>
      </c>
      <c r="N711" s="3" t="s">
        <v>20</v>
      </c>
      <c r="O711" s="3" t="s">
        <v>55</v>
      </c>
    </row>
    <row r="712" spans="3:15">
      <c r="C712" s="3" t="s">
        <v>1615</v>
      </c>
      <c r="D712" s="2" t="s">
        <v>481</v>
      </c>
      <c r="E712" s="2">
        <v>32</v>
      </c>
      <c r="F712" t="str">
        <f t="shared" si="10"/>
        <v>Young Adult</v>
      </c>
      <c r="G712" s="2" t="s">
        <v>14</v>
      </c>
      <c r="H712" s="2" t="s">
        <v>15</v>
      </c>
      <c r="I712" s="2" t="s">
        <v>42</v>
      </c>
      <c r="J712" s="2" t="s">
        <v>53</v>
      </c>
      <c r="K712" s="11">
        <v>45321</v>
      </c>
      <c r="L712" s="11">
        <v>45347</v>
      </c>
      <c r="M712" s="2">
        <v>75000</v>
      </c>
      <c r="N712" s="2" t="s">
        <v>20</v>
      </c>
      <c r="O712" s="2" t="s">
        <v>21</v>
      </c>
    </row>
    <row r="713" spans="3:15">
      <c r="C713" s="2" t="s">
        <v>1616</v>
      </c>
      <c r="D713" s="2" t="s">
        <v>509</v>
      </c>
      <c r="E713" s="3">
        <v>72</v>
      </c>
      <c r="F713" t="str">
        <f t="shared" si="10"/>
        <v>Senior</v>
      </c>
      <c r="G713" s="3" t="s">
        <v>14</v>
      </c>
      <c r="H713" s="2" t="s">
        <v>70</v>
      </c>
      <c r="I713" s="2" t="s">
        <v>132</v>
      </c>
      <c r="J713" s="2" t="s">
        <v>48</v>
      </c>
      <c r="K713" s="11">
        <v>45406</v>
      </c>
      <c r="L713" s="11">
        <v>45425</v>
      </c>
      <c r="M713" s="3">
        <v>5000</v>
      </c>
      <c r="N713" s="3" t="s">
        <v>67</v>
      </c>
      <c r="O713" s="3" t="s">
        <v>21</v>
      </c>
    </row>
    <row r="714" spans="3:15">
      <c r="C714" s="3" t="s">
        <v>1619</v>
      </c>
      <c r="D714" s="2" t="s">
        <v>1611</v>
      </c>
      <c r="E714" s="2">
        <v>41</v>
      </c>
      <c r="F714" t="str">
        <f t="shared" ref="F714:F777" si="11">IF(E714="Unknown","Unknown",IF(E714&lt;18,"Child",IF(E714&lt;40,"Young Adult",IF(E714&lt;60,"Middle Age","Senior"))))</f>
        <v>Middle Age</v>
      </c>
      <c r="G714" s="2" t="s">
        <v>14</v>
      </c>
      <c r="H714" s="2" t="s">
        <v>109</v>
      </c>
      <c r="I714" s="2" t="s">
        <v>132</v>
      </c>
      <c r="J714" s="2" t="s">
        <v>48</v>
      </c>
      <c r="K714" s="11">
        <v>45337</v>
      </c>
      <c r="L714" s="11">
        <v>45342</v>
      </c>
      <c r="M714" s="2">
        <v>50000</v>
      </c>
      <c r="N714" s="2" t="s">
        <v>29</v>
      </c>
      <c r="O714" s="2" t="s">
        <v>87</v>
      </c>
    </row>
    <row r="715" spans="3:15">
      <c r="C715" s="2" t="s">
        <v>1621</v>
      </c>
      <c r="D715" s="2" t="s">
        <v>783</v>
      </c>
      <c r="E715" s="3">
        <v>8</v>
      </c>
      <c r="F715" t="str">
        <f t="shared" si="11"/>
        <v>Child</v>
      </c>
      <c r="G715" s="3" t="s">
        <v>14</v>
      </c>
      <c r="H715" s="2" t="s">
        <v>58</v>
      </c>
      <c r="I715" s="2" t="s">
        <v>42</v>
      </c>
      <c r="J715" s="2" t="s">
        <v>99</v>
      </c>
      <c r="K715" s="11">
        <v>45470</v>
      </c>
      <c r="L715" s="11">
        <v>45477</v>
      </c>
      <c r="M715" s="3">
        <v>75000</v>
      </c>
      <c r="N715" s="3" t="s">
        <v>20</v>
      </c>
      <c r="O715" s="3" t="s">
        <v>87</v>
      </c>
    </row>
    <row r="716" spans="3:15">
      <c r="C716" s="3" t="s">
        <v>1622</v>
      </c>
      <c r="D716" s="2" t="s">
        <v>217</v>
      </c>
      <c r="E716" s="2">
        <v>73</v>
      </c>
      <c r="F716" t="str">
        <f t="shared" si="11"/>
        <v>Senior</v>
      </c>
      <c r="G716" s="2" t="s">
        <v>32</v>
      </c>
      <c r="H716" s="2" t="s">
        <v>58</v>
      </c>
      <c r="I716" s="2" t="s">
        <v>42</v>
      </c>
      <c r="J716" s="2" t="s">
        <v>35</v>
      </c>
      <c r="K716" s="11">
        <v>45410</v>
      </c>
      <c r="L716" s="11">
        <v>45418</v>
      </c>
      <c r="M716" s="2">
        <v>75000</v>
      </c>
      <c r="N716" s="2" t="s">
        <v>29</v>
      </c>
      <c r="O716" s="2" t="s">
        <v>87</v>
      </c>
    </row>
    <row r="717" spans="3:15">
      <c r="C717" s="2" t="s">
        <v>1623</v>
      </c>
      <c r="D717" s="2" t="s">
        <v>162</v>
      </c>
      <c r="E717" s="3">
        <v>90</v>
      </c>
      <c r="F717" t="str">
        <f t="shared" si="11"/>
        <v>Senior</v>
      </c>
      <c r="G717" s="3" t="s">
        <v>14</v>
      </c>
      <c r="H717" s="2" t="s">
        <v>109</v>
      </c>
      <c r="I717" s="2" t="s">
        <v>76</v>
      </c>
      <c r="J717" s="2" t="s">
        <v>26</v>
      </c>
      <c r="K717" s="11">
        <v>45366</v>
      </c>
      <c r="L717" s="11">
        <v>45372</v>
      </c>
      <c r="M717" s="3">
        <v>15000</v>
      </c>
      <c r="N717" s="3" t="s">
        <v>67</v>
      </c>
      <c r="O717" s="3" t="s">
        <v>55</v>
      </c>
    </row>
    <row r="718" spans="3:15">
      <c r="C718" s="3" t="s">
        <v>1625</v>
      </c>
      <c r="D718" s="2" t="s">
        <v>1617</v>
      </c>
      <c r="E718" s="2">
        <v>14</v>
      </c>
      <c r="F718" t="str">
        <f t="shared" si="11"/>
        <v>Child</v>
      </c>
      <c r="G718" s="2" t="s">
        <v>775</v>
      </c>
      <c r="H718" s="2" t="s">
        <v>52</v>
      </c>
      <c r="I718" s="2" t="s">
        <v>132</v>
      </c>
      <c r="J718" s="2" t="s">
        <v>104</v>
      </c>
      <c r="K718" s="11">
        <v>45386</v>
      </c>
      <c r="L718" s="11">
        <v>45393</v>
      </c>
      <c r="M718" s="2">
        <v>5000</v>
      </c>
      <c r="N718" s="2" t="s">
        <v>67</v>
      </c>
      <c r="O718" s="2" t="s">
        <v>87</v>
      </c>
    </row>
    <row r="719" spans="3:15">
      <c r="C719" s="2" t="s">
        <v>1627</v>
      </c>
      <c r="D719" s="2" t="s">
        <v>346</v>
      </c>
      <c r="E719" s="3">
        <v>86</v>
      </c>
      <c r="F719" t="str">
        <f t="shared" si="11"/>
        <v>Senior</v>
      </c>
      <c r="G719" s="3" t="s">
        <v>32</v>
      </c>
      <c r="H719" s="2" t="s">
        <v>58</v>
      </c>
      <c r="I719" s="2" t="s">
        <v>25</v>
      </c>
      <c r="J719" s="2" t="s">
        <v>104</v>
      </c>
      <c r="K719" s="11">
        <v>45316</v>
      </c>
      <c r="L719" s="11">
        <v>45336</v>
      </c>
      <c r="M719" s="3">
        <v>35000</v>
      </c>
      <c r="N719" s="3" t="s">
        <v>29</v>
      </c>
      <c r="O719" s="3" t="s">
        <v>38</v>
      </c>
    </row>
    <row r="720" spans="3:15">
      <c r="C720" s="3" t="s">
        <v>1628</v>
      </c>
      <c r="D720" s="2" t="s">
        <v>1588</v>
      </c>
      <c r="E720" s="2" t="s">
        <v>775</v>
      </c>
      <c r="F720" t="str">
        <f t="shared" si="11"/>
        <v>Unknown</v>
      </c>
      <c r="G720" s="2" t="s">
        <v>32</v>
      </c>
      <c r="H720" s="2" t="s">
        <v>58</v>
      </c>
      <c r="I720" s="2" t="s">
        <v>42</v>
      </c>
      <c r="J720" s="2" t="s">
        <v>99</v>
      </c>
      <c r="K720" s="11">
        <v>45459</v>
      </c>
      <c r="L720" s="11">
        <v>45483</v>
      </c>
      <c r="M720" s="2">
        <v>12000</v>
      </c>
      <c r="N720" s="2" t="s">
        <v>168</v>
      </c>
      <c r="O720" s="2" t="s">
        <v>87</v>
      </c>
    </row>
    <row r="721" spans="3:15">
      <c r="C721" s="2" t="s">
        <v>1629</v>
      </c>
      <c r="D721" s="2" t="s">
        <v>282</v>
      </c>
      <c r="E721" s="3">
        <v>65</v>
      </c>
      <c r="F721" t="str">
        <f t="shared" si="11"/>
        <v>Senior</v>
      </c>
      <c r="G721" s="3" t="s">
        <v>32</v>
      </c>
      <c r="H721" s="2" t="s">
        <v>85</v>
      </c>
      <c r="I721" s="2" t="s">
        <v>127</v>
      </c>
      <c r="J721" s="2" t="s">
        <v>35</v>
      </c>
      <c r="K721" s="11">
        <v>45418</v>
      </c>
      <c r="L721" s="11">
        <v>45473</v>
      </c>
      <c r="M721" s="3">
        <v>50000</v>
      </c>
      <c r="N721" s="3" t="s">
        <v>20</v>
      </c>
      <c r="O721" s="3" t="s">
        <v>87</v>
      </c>
    </row>
    <row r="722" spans="3:15">
      <c r="C722" s="3" t="s">
        <v>1630</v>
      </c>
      <c r="D722" s="2" t="s">
        <v>1624</v>
      </c>
      <c r="E722" s="2">
        <v>6</v>
      </c>
      <c r="F722" t="str">
        <f t="shared" si="11"/>
        <v>Child</v>
      </c>
      <c r="G722" s="2" t="s">
        <v>32</v>
      </c>
      <c r="H722" s="2" t="s">
        <v>58</v>
      </c>
      <c r="I722" s="2" t="s">
        <v>132</v>
      </c>
      <c r="J722" s="2" t="s">
        <v>48</v>
      </c>
      <c r="K722" s="11">
        <v>45504</v>
      </c>
      <c r="L722" s="11">
        <v>45520</v>
      </c>
      <c r="M722" s="2">
        <v>15000</v>
      </c>
      <c r="N722" s="2" t="s">
        <v>20</v>
      </c>
      <c r="O722" s="2" t="s">
        <v>21</v>
      </c>
    </row>
    <row r="723" spans="3:15">
      <c r="C723" s="2" t="s">
        <v>1632</v>
      </c>
      <c r="D723" s="2" t="s">
        <v>312</v>
      </c>
      <c r="E723" s="3">
        <v>60</v>
      </c>
      <c r="F723" t="str">
        <f t="shared" si="11"/>
        <v>Senior</v>
      </c>
      <c r="G723" s="3" t="s">
        <v>32</v>
      </c>
      <c r="H723" s="2" t="s">
        <v>70</v>
      </c>
      <c r="I723" s="2" t="s">
        <v>16</v>
      </c>
      <c r="J723" s="2" t="s">
        <v>35</v>
      </c>
      <c r="K723" s="11">
        <v>45488</v>
      </c>
      <c r="L723" s="11">
        <v>45492</v>
      </c>
      <c r="M723" s="3">
        <v>50000</v>
      </c>
      <c r="N723" s="3" t="s">
        <v>29</v>
      </c>
      <c r="O723" s="3" t="s">
        <v>21</v>
      </c>
    </row>
    <row r="724" spans="3:15">
      <c r="C724" s="3" t="s">
        <v>1634</v>
      </c>
      <c r="D724" s="2" t="s">
        <v>1560</v>
      </c>
      <c r="E724" s="2">
        <v>3</v>
      </c>
      <c r="F724" t="str">
        <f t="shared" si="11"/>
        <v>Child</v>
      </c>
      <c r="G724" s="2" t="s">
        <v>14</v>
      </c>
      <c r="H724" s="2" t="s">
        <v>15</v>
      </c>
      <c r="I724" s="2" t="s">
        <v>25</v>
      </c>
      <c r="J724" s="2" t="s">
        <v>99</v>
      </c>
      <c r="K724" s="11">
        <v>45544</v>
      </c>
      <c r="L724" s="11">
        <v>45549</v>
      </c>
      <c r="M724" s="2">
        <v>12000</v>
      </c>
      <c r="N724" s="2" t="s">
        <v>29</v>
      </c>
      <c r="O724" s="2" t="s">
        <v>21</v>
      </c>
    </row>
    <row r="725" spans="3:15">
      <c r="C725" s="2" t="s">
        <v>1635</v>
      </c>
      <c r="D725" s="2" t="s">
        <v>1050</v>
      </c>
      <c r="E725" s="3">
        <v>80</v>
      </c>
      <c r="F725" t="str">
        <f t="shared" si="11"/>
        <v>Senior</v>
      </c>
      <c r="G725" s="3" t="s">
        <v>14</v>
      </c>
      <c r="H725" s="2" t="s">
        <v>109</v>
      </c>
      <c r="I725" s="2" t="s">
        <v>127</v>
      </c>
      <c r="J725" s="2" t="s">
        <v>17</v>
      </c>
      <c r="K725" s="11">
        <v>45373</v>
      </c>
      <c r="L725" s="11">
        <v>45397</v>
      </c>
      <c r="M725" s="3">
        <v>8000</v>
      </c>
      <c r="N725" s="3" t="s">
        <v>37</v>
      </c>
      <c r="O725" s="3" t="s">
        <v>55</v>
      </c>
    </row>
    <row r="726" spans="3:15">
      <c r="C726" s="3" t="s">
        <v>1637</v>
      </c>
      <c r="D726" s="2" t="s">
        <v>1486</v>
      </c>
      <c r="E726" s="2">
        <v>17</v>
      </c>
      <c r="F726" t="str">
        <f t="shared" si="11"/>
        <v>Child</v>
      </c>
      <c r="G726" s="2" t="s">
        <v>32</v>
      </c>
      <c r="H726" s="2" t="s">
        <v>58</v>
      </c>
      <c r="I726" s="2" t="s">
        <v>76</v>
      </c>
      <c r="J726" s="2" t="s">
        <v>35</v>
      </c>
      <c r="K726" s="11">
        <v>45342</v>
      </c>
      <c r="L726" s="11">
        <v>45345</v>
      </c>
      <c r="M726" s="2">
        <v>5000</v>
      </c>
      <c r="N726" s="2" t="s">
        <v>20</v>
      </c>
      <c r="O726" s="2" t="s">
        <v>38</v>
      </c>
    </row>
    <row r="727" spans="3:15">
      <c r="C727" s="2" t="s">
        <v>1638</v>
      </c>
      <c r="D727" s="2" t="s">
        <v>883</v>
      </c>
      <c r="E727" s="3">
        <v>34</v>
      </c>
      <c r="F727" t="str">
        <f t="shared" si="11"/>
        <v>Young Adult</v>
      </c>
      <c r="G727" s="3" t="s">
        <v>32</v>
      </c>
      <c r="H727" s="2" t="s">
        <v>109</v>
      </c>
      <c r="I727" s="2" t="s">
        <v>42</v>
      </c>
      <c r="J727" s="2" t="s">
        <v>104</v>
      </c>
      <c r="K727" s="11">
        <v>45588</v>
      </c>
      <c r="L727" s="11">
        <v>45610</v>
      </c>
      <c r="M727" s="3">
        <v>100000</v>
      </c>
      <c r="N727" s="3" t="s">
        <v>20</v>
      </c>
      <c r="O727" s="3" t="s">
        <v>38</v>
      </c>
    </row>
    <row r="728" spans="3:15">
      <c r="C728" s="3" t="s">
        <v>1640</v>
      </c>
      <c r="D728" s="2" t="s">
        <v>1633</v>
      </c>
      <c r="E728" s="2">
        <v>49</v>
      </c>
      <c r="F728" t="str">
        <f t="shared" si="11"/>
        <v>Middle Age</v>
      </c>
      <c r="G728" s="2" t="s">
        <v>14</v>
      </c>
      <c r="H728" s="2" t="s">
        <v>775</v>
      </c>
      <c r="I728" s="2" t="s">
        <v>34</v>
      </c>
      <c r="J728" s="2" t="s">
        <v>17</v>
      </c>
      <c r="K728" s="11">
        <v>45538</v>
      </c>
      <c r="L728" s="11">
        <v>45388</v>
      </c>
      <c r="M728" s="2">
        <v>25000</v>
      </c>
      <c r="N728" s="2" t="s">
        <v>29</v>
      </c>
      <c r="O728" s="2" t="s">
        <v>55</v>
      </c>
    </row>
    <row r="729" spans="3:15">
      <c r="C729" s="2" t="s">
        <v>1642</v>
      </c>
      <c r="D729" s="2" t="s">
        <v>748</v>
      </c>
      <c r="E729" s="3">
        <v>17</v>
      </c>
      <c r="F729" t="str">
        <f t="shared" si="11"/>
        <v>Child</v>
      </c>
      <c r="G729" s="3" t="s">
        <v>14</v>
      </c>
      <c r="H729" s="2" t="s">
        <v>70</v>
      </c>
      <c r="I729" s="2" t="s">
        <v>16</v>
      </c>
      <c r="J729" s="2" t="s">
        <v>26</v>
      </c>
      <c r="K729" s="11">
        <v>45364</v>
      </c>
      <c r="L729" s="11">
        <v>45371</v>
      </c>
      <c r="M729" s="3">
        <v>35000</v>
      </c>
      <c r="N729" s="3" t="s">
        <v>20</v>
      </c>
      <c r="O729" s="3" t="s">
        <v>55</v>
      </c>
    </row>
    <row r="730" spans="3:15">
      <c r="C730" s="3" t="s">
        <v>1644</v>
      </c>
      <c r="D730" s="2" t="s">
        <v>889</v>
      </c>
      <c r="E730" s="2">
        <v>57</v>
      </c>
      <c r="F730" t="str">
        <f t="shared" si="11"/>
        <v>Middle Age</v>
      </c>
      <c r="G730" s="2" t="s">
        <v>32</v>
      </c>
      <c r="H730" s="2" t="s">
        <v>52</v>
      </c>
      <c r="I730" s="2" t="s">
        <v>25</v>
      </c>
      <c r="J730" s="2" t="s">
        <v>99</v>
      </c>
      <c r="K730" s="11">
        <v>45311</v>
      </c>
      <c r="L730" s="11">
        <v>45321</v>
      </c>
      <c r="M730" s="2">
        <v>100000</v>
      </c>
      <c r="N730" s="2" t="s">
        <v>29</v>
      </c>
      <c r="O730" s="2" t="s">
        <v>21</v>
      </c>
    </row>
    <row r="731" spans="3:15">
      <c r="C731" s="2" t="s">
        <v>1646</v>
      </c>
      <c r="D731" s="2" t="s">
        <v>365</v>
      </c>
      <c r="E731" s="3">
        <v>10</v>
      </c>
      <c r="F731" t="str">
        <f t="shared" si="11"/>
        <v>Child</v>
      </c>
      <c r="G731" s="3" t="s">
        <v>14</v>
      </c>
      <c r="H731" s="2" t="s">
        <v>85</v>
      </c>
      <c r="I731" s="2" t="s">
        <v>16</v>
      </c>
      <c r="J731" s="2" t="s">
        <v>48</v>
      </c>
      <c r="K731" s="11">
        <v>45510</v>
      </c>
      <c r="L731" s="11">
        <v>45481</v>
      </c>
      <c r="M731" s="3">
        <v>15000</v>
      </c>
      <c r="N731" s="3" t="s">
        <v>67</v>
      </c>
      <c r="O731" s="3" t="s">
        <v>38</v>
      </c>
    </row>
    <row r="732" spans="3:15">
      <c r="C732" s="3" t="s">
        <v>1647</v>
      </c>
      <c r="D732" s="2" t="s">
        <v>1639</v>
      </c>
      <c r="E732" s="2">
        <v>24</v>
      </c>
      <c r="F732" t="str">
        <f t="shared" si="11"/>
        <v>Young Adult</v>
      </c>
      <c r="G732" s="2" t="s">
        <v>32</v>
      </c>
      <c r="H732" s="2" t="s">
        <v>58</v>
      </c>
      <c r="I732" s="2" t="s">
        <v>132</v>
      </c>
      <c r="J732" s="2" t="s">
        <v>35</v>
      </c>
      <c r="K732" s="11">
        <v>45494</v>
      </c>
      <c r="L732" s="11">
        <v>45514</v>
      </c>
      <c r="M732" s="2">
        <v>100000</v>
      </c>
      <c r="N732" s="2" t="s">
        <v>37</v>
      </c>
      <c r="O732" s="2" t="s">
        <v>38</v>
      </c>
    </row>
    <row r="733" spans="3:15">
      <c r="C733" s="2" t="s">
        <v>1648</v>
      </c>
      <c r="D733" s="2" t="s">
        <v>1641</v>
      </c>
      <c r="E733" s="3">
        <v>14</v>
      </c>
      <c r="F733" t="str">
        <f t="shared" si="11"/>
        <v>Child</v>
      </c>
      <c r="G733" s="3" t="s">
        <v>32</v>
      </c>
      <c r="H733" s="2" t="s">
        <v>58</v>
      </c>
      <c r="I733" s="2" t="s">
        <v>34</v>
      </c>
      <c r="J733" s="2" t="s">
        <v>53</v>
      </c>
      <c r="K733" s="11">
        <v>45478</v>
      </c>
      <c r="L733" s="11">
        <v>45420</v>
      </c>
      <c r="M733" s="3">
        <v>25000</v>
      </c>
      <c r="N733" s="3" t="s">
        <v>20</v>
      </c>
      <c r="O733" s="3" t="s">
        <v>55</v>
      </c>
    </row>
    <row r="734" spans="3:15">
      <c r="C734" s="3" t="s">
        <v>1650</v>
      </c>
      <c r="D734" s="2" t="s">
        <v>1643</v>
      </c>
      <c r="E734" s="2">
        <v>51</v>
      </c>
      <c r="F734" t="str">
        <f t="shared" si="11"/>
        <v>Middle Age</v>
      </c>
      <c r="G734" s="2" t="s">
        <v>32</v>
      </c>
      <c r="H734" s="2" t="s">
        <v>70</v>
      </c>
      <c r="I734" s="2" t="s">
        <v>76</v>
      </c>
      <c r="J734" s="2" t="s">
        <v>35</v>
      </c>
      <c r="K734" s="11">
        <v>45429</v>
      </c>
      <c r="L734" s="11">
        <v>45434</v>
      </c>
      <c r="M734" s="2">
        <v>5000</v>
      </c>
      <c r="N734" s="2" t="s">
        <v>168</v>
      </c>
      <c r="O734" s="2" t="s">
        <v>87</v>
      </c>
    </row>
    <row r="735" spans="3:15">
      <c r="C735" s="2" t="s">
        <v>1652</v>
      </c>
      <c r="D735" s="2" t="s">
        <v>1645</v>
      </c>
      <c r="E735" s="3">
        <v>64</v>
      </c>
      <c r="F735" t="str">
        <f t="shared" si="11"/>
        <v>Senior</v>
      </c>
      <c r="G735" s="3" t="s">
        <v>32</v>
      </c>
      <c r="H735" s="2" t="s">
        <v>58</v>
      </c>
      <c r="I735" s="2" t="s">
        <v>34</v>
      </c>
      <c r="J735" s="2" t="s">
        <v>104</v>
      </c>
      <c r="K735" s="11">
        <v>45313</v>
      </c>
      <c r="L735" s="11">
        <v>45336</v>
      </c>
      <c r="M735" s="3">
        <v>25000</v>
      </c>
      <c r="N735" s="3" t="s">
        <v>37</v>
      </c>
      <c r="O735" s="3" t="s">
        <v>38</v>
      </c>
    </row>
    <row r="736" spans="3:15">
      <c r="C736" s="3" t="s">
        <v>1654</v>
      </c>
      <c r="D736" s="2" t="s">
        <v>1481</v>
      </c>
      <c r="E736" s="2">
        <v>1</v>
      </c>
      <c r="F736" t="str">
        <f t="shared" si="11"/>
        <v>Child</v>
      </c>
      <c r="G736" s="2" t="s">
        <v>32</v>
      </c>
      <c r="H736" s="2" t="s">
        <v>70</v>
      </c>
      <c r="I736" s="2" t="s">
        <v>16</v>
      </c>
      <c r="J736" s="2" t="s">
        <v>17</v>
      </c>
      <c r="K736" s="11">
        <v>45440</v>
      </c>
      <c r="L736" s="11">
        <v>45469</v>
      </c>
      <c r="M736" s="2">
        <v>15000</v>
      </c>
      <c r="N736" s="2" t="s">
        <v>37</v>
      </c>
      <c r="O736" s="2" t="s">
        <v>87</v>
      </c>
    </row>
    <row r="737" spans="3:15">
      <c r="C737" s="2" t="s">
        <v>1656</v>
      </c>
      <c r="D737" s="2" t="s">
        <v>477</v>
      </c>
      <c r="E737" s="3">
        <v>17</v>
      </c>
      <c r="F737" t="str">
        <f t="shared" si="11"/>
        <v>Child</v>
      </c>
      <c r="G737" s="3" t="s">
        <v>32</v>
      </c>
      <c r="H737" s="2" t="s">
        <v>52</v>
      </c>
      <c r="I737" s="2" t="s">
        <v>42</v>
      </c>
      <c r="J737" s="2" t="s">
        <v>48</v>
      </c>
      <c r="K737" s="11">
        <v>45307</v>
      </c>
      <c r="L737" s="11">
        <v>45315</v>
      </c>
      <c r="M737" s="3">
        <v>8000</v>
      </c>
      <c r="N737" s="3" t="s">
        <v>37</v>
      </c>
      <c r="O737" s="3" t="s">
        <v>38</v>
      </c>
    </row>
    <row r="738" spans="3:15">
      <c r="C738" s="3" t="s">
        <v>1658</v>
      </c>
      <c r="D738" s="2" t="s">
        <v>895</v>
      </c>
      <c r="E738" s="2">
        <v>43</v>
      </c>
      <c r="F738" t="str">
        <f t="shared" si="11"/>
        <v>Middle Age</v>
      </c>
      <c r="G738" s="2" t="s">
        <v>14</v>
      </c>
      <c r="H738" s="2" t="s">
        <v>70</v>
      </c>
      <c r="I738" s="2" t="s">
        <v>76</v>
      </c>
      <c r="J738" s="2" t="s">
        <v>48</v>
      </c>
      <c r="K738" s="11">
        <v>45474</v>
      </c>
      <c r="L738" s="11">
        <v>45303</v>
      </c>
      <c r="M738" s="2">
        <v>5000</v>
      </c>
      <c r="N738" s="2" t="s">
        <v>37</v>
      </c>
      <c r="O738" s="2" t="s">
        <v>21</v>
      </c>
    </row>
    <row r="739" spans="3:15">
      <c r="C739" s="2" t="s">
        <v>1659</v>
      </c>
      <c r="D739" s="2" t="s">
        <v>1651</v>
      </c>
      <c r="E739" s="3">
        <v>6</v>
      </c>
      <c r="F739" t="str">
        <f t="shared" si="11"/>
        <v>Child</v>
      </c>
      <c r="G739" s="3" t="s">
        <v>14</v>
      </c>
      <c r="H739" s="2" t="s">
        <v>85</v>
      </c>
      <c r="I739" s="2" t="s">
        <v>34</v>
      </c>
      <c r="J739" s="2" t="s">
        <v>35</v>
      </c>
      <c r="K739" s="11">
        <v>45414</v>
      </c>
      <c r="L739" s="11">
        <v>45350</v>
      </c>
      <c r="M739" s="3">
        <v>25000</v>
      </c>
      <c r="N739" s="3" t="s">
        <v>20</v>
      </c>
      <c r="O739" s="3" t="s">
        <v>55</v>
      </c>
    </row>
    <row r="740" spans="3:15">
      <c r="C740" s="3" t="s">
        <v>1660</v>
      </c>
      <c r="D740" s="2" t="s">
        <v>1653</v>
      </c>
      <c r="E740" s="2">
        <v>13</v>
      </c>
      <c r="F740" t="str">
        <f t="shared" si="11"/>
        <v>Child</v>
      </c>
      <c r="G740" s="2" t="s">
        <v>690</v>
      </c>
      <c r="H740" s="2" t="s">
        <v>58</v>
      </c>
      <c r="I740" s="2" t="s">
        <v>25</v>
      </c>
      <c r="J740" s="2" t="s">
        <v>35</v>
      </c>
      <c r="K740" s="11">
        <v>45322</v>
      </c>
      <c r="L740" s="11">
        <v>45345</v>
      </c>
      <c r="M740" s="2">
        <v>50000</v>
      </c>
      <c r="N740" s="2" t="s">
        <v>67</v>
      </c>
      <c r="O740" s="2" t="s">
        <v>21</v>
      </c>
    </row>
    <row r="741" spans="3:15">
      <c r="C741" s="2" t="s">
        <v>1661</v>
      </c>
      <c r="D741" s="2" t="s">
        <v>291</v>
      </c>
      <c r="E741" s="3">
        <v>84</v>
      </c>
      <c r="F741" t="str">
        <f t="shared" si="11"/>
        <v>Senior</v>
      </c>
      <c r="G741" s="3" t="s">
        <v>32</v>
      </c>
      <c r="H741" s="2" t="s">
        <v>109</v>
      </c>
      <c r="I741" s="2" t="s">
        <v>16</v>
      </c>
      <c r="J741" s="2" t="s">
        <v>53</v>
      </c>
      <c r="K741" s="11">
        <v>45527</v>
      </c>
      <c r="L741" s="11">
        <v>45553</v>
      </c>
      <c r="M741" s="3">
        <v>12000</v>
      </c>
      <c r="N741" s="3" t="s">
        <v>37</v>
      </c>
      <c r="O741" s="3" t="s">
        <v>21</v>
      </c>
    </row>
    <row r="742" spans="3:15">
      <c r="C742" s="3" t="s">
        <v>1663</v>
      </c>
      <c r="D742" s="2" t="s">
        <v>412</v>
      </c>
      <c r="E742" s="2">
        <v>35</v>
      </c>
      <c r="F742" t="str">
        <f t="shared" si="11"/>
        <v>Young Adult</v>
      </c>
      <c r="G742" s="2" t="s">
        <v>14</v>
      </c>
      <c r="H742" s="2" t="s">
        <v>52</v>
      </c>
      <c r="I742" s="2" t="s">
        <v>34</v>
      </c>
      <c r="J742" s="2" t="s">
        <v>35</v>
      </c>
      <c r="K742" s="11">
        <v>45505</v>
      </c>
      <c r="L742" s="11">
        <v>45317</v>
      </c>
      <c r="M742" s="2">
        <v>15000</v>
      </c>
      <c r="N742" s="2" t="s">
        <v>37</v>
      </c>
      <c r="O742" s="2" t="s">
        <v>38</v>
      </c>
    </row>
    <row r="743" spans="3:15">
      <c r="C743" s="2" t="s">
        <v>1664</v>
      </c>
      <c r="D743" s="2" t="s">
        <v>425</v>
      </c>
      <c r="E743" s="3">
        <v>84</v>
      </c>
      <c r="F743" t="str">
        <f t="shared" si="11"/>
        <v>Senior</v>
      </c>
      <c r="G743" s="3" t="s">
        <v>32</v>
      </c>
      <c r="H743" s="2" t="s">
        <v>85</v>
      </c>
      <c r="I743" s="2" t="s">
        <v>76</v>
      </c>
      <c r="J743" s="2" t="s">
        <v>99</v>
      </c>
      <c r="K743" s="11">
        <v>45435</v>
      </c>
      <c r="L743" s="11">
        <v>45450</v>
      </c>
      <c r="M743" s="3">
        <v>75000</v>
      </c>
      <c r="N743" s="3" t="s">
        <v>20</v>
      </c>
      <c r="O743" s="3" t="s">
        <v>55</v>
      </c>
    </row>
    <row r="744" spans="3:15">
      <c r="C744" s="3" t="s">
        <v>1665</v>
      </c>
      <c r="D744" s="2" t="s">
        <v>1257</v>
      </c>
      <c r="E744" s="2" t="s">
        <v>775</v>
      </c>
      <c r="F744" t="str">
        <f t="shared" si="11"/>
        <v>Unknown</v>
      </c>
      <c r="G744" s="2" t="s">
        <v>32</v>
      </c>
      <c r="H744" s="2" t="s">
        <v>52</v>
      </c>
      <c r="I744" s="2" t="s">
        <v>132</v>
      </c>
      <c r="J744" s="2" t="s">
        <v>99</v>
      </c>
      <c r="K744" s="11">
        <v>45633</v>
      </c>
      <c r="L744" s="11">
        <v>45496</v>
      </c>
      <c r="M744" s="2">
        <v>5000</v>
      </c>
      <c r="N744" s="2" t="s">
        <v>67</v>
      </c>
      <c r="O744" s="2" t="s">
        <v>38</v>
      </c>
    </row>
    <row r="745" spans="3:15">
      <c r="C745" s="2" t="s">
        <v>1666</v>
      </c>
      <c r="D745" s="2" t="s">
        <v>958</v>
      </c>
      <c r="E745" s="3">
        <v>1</v>
      </c>
      <c r="F745" t="str">
        <f t="shared" si="11"/>
        <v>Child</v>
      </c>
      <c r="G745" s="3" t="s">
        <v>14</v>
      </c>
      <c r="H745" s="2" t="s">
        <v>85</v>
      </c>
      <c r="I745" s="2" t="s">
        <v>76</v>
      </c>
      <c r="J745" s="2" t="s">
        <v>99</v>
      </c>
      <c r="K745" s="11">
        <v>45548</v>
      </c>
      <c r="L745" s="11">
        <v>45564</v>
      </c>
      <c r="M745" s="3">
        <v>8000</v>
      </c>
      <c r="N745" s="3" t="s">
        <v>29</v>
      </c>
      <c r="O745" s="3" t="s">
        <v>21</v>
      </c>
    </row>
    <row r="746" spans="3:15">
      <c r="C746" s="3" t="s">
        <v>1667</v>
      </c>
      <c r="D746" s="2" t="s">
        <v>1240</v>
      </c>
      <c r="E746" s="2">
        <v>70</v>
      </c>
      <c r="F746" t="str">
        <f t="shared" si="11"/>
        <v>Senior</v>
      </c>
      <c r="G746" s="2" t="s">
        <v>32</v>
      </c>
      <c r="H746" s="2" t="s">
        <v>33</v>
      </c>
      <c r="I746" s="2" t="s">
        <v>16</v>
      </c>
      <c r="J746" s="2" t="s">
        <v>104</v>
      </c>
      <c r="K746" s="11">
        <v>45375</v>
      </c>
      <c r="L746" s="11">
        <v>45393</v>
      </c>
      <c r="M746" s="2">
        <v>20000</v>
      </c>
      <c r="N746" s="2" t="s">
        <v>20</v>
      </c>
      <c r="O746" s="2" t="s">
        <v>55</v>
      </c>
    </row>
    <row r="747" spans="3:15">
      <c r="C747" s="2" t="s">
        <v>1668</v>
      </c>
      <c r="D747" s="2" t="s">
        <v>897</v>
      </c>
      <c r="E747" s="3">
        <v>46</v>
      </c>
      <c r="F747" t="str">
        <f t="shared" si="11"/>
        <v>Middle Age</v>
      </c>
      <c r="G747" s="3" t="s">
        <v>32</v>
      </c>
      <c r="H747" s="2" t="s">
        <v>109</v>
      </c>
      <c r="I747" s="2" t="s">
        <v>127</v>
      </c>
      <c r="J747" s="2" t="s">
        <v>35</v>
      </c>
      <c r="K747" s="11">
        <v>45545</v>
      </c>
      <c r="L747" s="11">
        <v>45599</v>
      </c>
      <c r="M747" s="3">
        <v>20000</v>
      </c>
      <c r="N747" s="3" t="s">
        <v>37</v>
      </c>
      <c r="O747" s="3" t="s">
        <v>38</v>
      </c>
    </row>
    <row r="748" spans="3:15">
      <c r="C748" s="3" t="s">
        <v>1669</v>
      </c>
      <c r="D748" s="2" t="s">
        <v>1141</v>
      </c>
      <c r="E748" s="2">
        <v>78</v>
      </c>
      <c r="F748" t="str">
        <f t="shared" si="11"/>
        <v>Senior</v>
      </c>
      <c r="G748" s="2" t="s">
        <v>14</v>
      </c>
      <c r="H748" s="2" t="s">
        <v>33</v>
      </c>
      <c r="I748" s="2" t="s">
        <v>16</v>
      </c>
      <c r="J748" s="2" t="s">
        <v>104</v>
      </c>
      <c r="K748" s="11">
        <v>45374</v>
      </c>
      <c r="L748" s="11">
        <v>45397</v>
      </c>
      <c r="M748" s="2">
        <v>50000</v>
      </c>
      <c r="N748" s="2" t="s">
        <v>37</v>
      </c>
      <c r="O748" s="2" t="s">
        <v>55</v>
      </c>
    </row>
    <row r="749" spans="3:15">
      <c r="C749" s="2" t="s">
        <v>1671</v>
      </c>
      <c r="D749" s="2" t="s">
        <v>1478</v>
      </c>
      <c r="E749" s="3">
        <v>12</v>
      </c>
      <c r="F749" t="str">
        <f t="shared" si="11"/>
        <v>Child</v>
      </c>
      <c r="G749" s="3" t="s">
        <v>14</v>
      </c>
      <c r="H749" s="2" t="s">
        <v>33</v>
      </c>
      <c r="I749" s="2" t="s">
        <v>42</v>
      </c>
      <c r="J749" s="2" t="s">
        <v>17</v>
      </c>
      <c r="K749" s="11">
        <v>45501</v>
      </c>
      <c r="L749" s="11">
        <v>45516</v>
      </c>
      <c r="M749" s="3">
        <v>15000</v>
      </c>
      <c r="N749" s="3" t="s">
        <v>20</v>
      </c>
      <c r="O749" s="3" t="s">
        <v>87</v>
      </c>
    </row>
    <row r="750" spans="3:15">
      <c r="C750" s="3" t="s">
        <v>1672</v>
      </c>
      <c r="D750" s="2" t="s">
        <v>1360</v>
      </c>
      <c r="E750" s="2">
        <v>80</v>
      </c>
      <c r="F750" t="str">
        <f t="shared" si="11"/>
        <v>Senior</v>
      </c>
      <c r="G750" s="2" t="s">
        <v>14</v>
      </c>
      <c r="H750" s="2" t="s">
        <v>109</v>
      </c>
      <c r="I750" s="2" t="s">
        <v>42</v>
      </c>
      <c r="J750" s="2" t="s">
        <v>104</v>
      </c>
      <c r="K750" s="11">
        <v>45495</v>
      </c>
      <c r="L750" s="11">
        <v>45496</v>
      </c>
      <c r="M750" s="2">
        <v>5000</v>
      </c>
      <c r="N750" s="2" t="s">
        <v>29</v>
      </c>
      <c r="O750" s="2" t="s">
        <v>38</v>
      </c>
    </row>
    <row r="751" spans="3:15">
      <c r="C751" s="2" t="s">
        <v>1673</v>
      </c>
      <c r="D751" s="2" t="s">
        <v>740</v>
      </c>
      <c r="E751" s="3">
        <v>1</v>
      </c>
      <c r="F751" t="str">
        <f t="shared" si="11"/>
        <v>Child</v>
      </c>
      <c r="G751" s="3" t="s">
        <v>14</v>
      </c>
      <c r="H751" s="2" t="s">
        <v>15</v>
      </c>
      <c r="I751" s="2" t="s">
        <v>25</v>
      </c>
      <c r="J751" s="2" t="s">
        <v>48</v>
      </c>
      <c r="K751" s="11">
        <v>45524</v>
      </c>
      <c r="L751" s="11">
        <v>45554</v>
      </c>
      <c r="M751" s="3">
        <v>35000</v>
      </c>
      <c r="N751" s="3" t="s">
        <v>20</v>
      </c>
      <c r="O751" s="3" t="s">
        <v>87</v>
      </c>
    </row>
    <row r="752" spans="3:15">
      <c r="C752" s="3" t="s">
        <v>1674</v>
      </c>
      <c r="D752" s="2" t="s">
        <v>1267</v>
      </c>
      <c r="E752" s="2" t="s">
        <v>775</v>
      </c>
      <c r="F752" t="str">
        <f t="shared" si="11"/>
        <v>Unknown</v>
      </c>
      <c r="G752" s="2" t="s">
        <v>32</v>
      </c>
      <c r="H752" s="2" t="s">
        <v>109</v>
      </c>
      <c r="I752" s="2" t="s">
        <v>132</v>
      </c>
      <c r="J752" s="2" t="s">
        <v>104</v>
      </c>
      <c r="K752" s="11">
        <v>45389</v>
      </c>
      <c r="L752" s="11">
        <v>45481</v>
      </c>
      <c r="M752" s="2">
        <v>12000</v>
      </c>
      <c r="N752" s="2" t="s">
        <v>168</v>
      </c>
      <c r="O752" s="2" t="s">
        <v>87</v>
      </c>
    </row>
    <row r="753" spans="3:15">
      <c r="C753" s="2" t="s">
        <v>1676</v>
      </c>
      <c r="D753" s="2" t="s">
        <v>1670</v>
      </c>
      <c r="E753" s="3">
        <v>31</v>
      </c>
      <c r="F753" t="str">
        <f t="shared" si="11"/>
        <v>Young Adult</v>
      </c>
      <c r="G753" s="3" t="s">
        <v>32</v>
      </c>
      <c r="H753" s="2" t="s">
        <v>15</v>
      </c>
      <c r="I753" s="2" t="s">
        <v>16</v>
      </c>
      <c r="J753" s="2" t="s">
        <v>99</v>
      </c>
      <c r="K753" s="11">
        <v>45488</v>
      </c>
      <c r="L753" s="11">
        <v>45508</v>
      </c>
      <c r="M753" s="3">
        <v>8000</v>
      </c>
      <c r="N753" s="3" t="s">
        <v>67</v>
      </c>
      <c r="O753" s="3" t="s">
        <v>87</v>
      </c>
    </row>
    <row r="754" spans="3:15">
      <c r="C754" s="3" t="s">
        <v>1677</v>
      </c>
      <c r="D754" s="2" t="s">
        <v>1369</v>
      </c>
      <c r="E754" s="2">
        <v>46</v>
      </c>
      <c r="F754" t="str">
        <f t="shared" si="11"/>
        <v>Middle Age</v>
      </c>
      <c r="G754" s="2" t="s">
        <v>14</v>
      </c>
      <c r="H754" s="2" t="s">
        <v>33</v>
      </c>
      <c r="I754" s="2" t="s">
        <v>42</v>
      </c>
      <c r="J754" s="2" t="s">
        <v>53</v>
      </c>
      <c r="K754" s="11">
        <v>45466</v>
      </c>
      <c r="L754" s="11">
        <v>45495</v>
      </c>
      <c r="M754" s="2">
        <v>20000</v>
      </c>
      <c r="N754" s="2" t="s">
        <v>20</v>
      </c>
      <c r="O754" s="2" t="s">
        <v>55</v>
      </c>
    </row>
    <row r="755" spans="3:15">
      <c r="C755" s="2" t="s">
        <v>1678</v>
      </c>
      <c r="D755" s="2" t="s">
        <v>432</v>
      </c>
      <c r="E755" s="3">
        <v>47</v>
      </c>
      <c r="F755" t="str">
        <f t="shared" si="11"/>
        <v>Middle Age</v>
      </c>
      <c r="G755" s="3" t="s">
        <v>14</v>
      </c>
      <c r="H755" s="2" t="s">
        <v>52</v>
      </c>
      <c r="I755" s="2" t="s">
        <v>42</v>
      </c>
      <c r="J755" s="2" t="s">
        <v>53</v>
      </c>
      <c r="K755" s="11">
        <v>45629</v>
      </c>
      <c r="L755" s="11">
        <v>45381</v>
      </c>
      <c r="M755" s="3">
        <v>35000</v>
      </c>
      <c r="N755" s="3" t="s">
        <v>37</v>
      </c>
      <c r="O755" s="3" t="s">
        <v>55</v>
      </c>
    </row>
    <row r="756" spans="3:15">
      <c r="C756" s="3" t="s">
        <v>1679</v>
      </c>
      <c r="D756" s="2" t="s">
        <v>193</v>
      </c>
      <c r="E756" s="2">
        <v>39</v>
      </c>
      <c r="F756" t="str">
        <f t="shared" si="11"/>
        <v>Young Adult</v>
      </c>
      <c r="G756" s="2" t="s">
        <v>32</v>
      </c>
      <c r="H756" s="2" t="s">
        <v>70</v>
      </c>
      <c r="I756" s="2" t="s">
        <v>16</v>
      </c>
      <c r="J756" s="2" t="s">
        <v>104</v>
      </c>
      <c r="K756" s="11">
        <v>45431</v>
      </c>
      <c r="L756" s="11">
        <v>45436</v>
      </c>
      <c r="M756" s="2">
        <v>25000</v>
      </c>
      <c r="N756" s="2" t="s">
        <v>29</v>
      </c>
      <c r="O756" s="2" t="s">
        <v>87</v>
      </c>
    </row>
    <row r="757" spans="3:15">
      <c r="C757" s="2" t="s">
        <v>1681</v>
      </c>
      <c r="D757" s="2" t="s">
        <v>2043</v>
      </c>
      <c r="E757" s="3">
        <v>37</v>
      </c>
      <c r="F757" t="str">
        <f t="shared" si="11"/>
        <v>Young Adult</v>
      </c>
      <c r="G757" s="3" t="s">
        <v>14</v>
      </c>
      <c r="H757" s="2" t="s">
        <v>58</v>
      </c>
      <c r="I757" s="2" t="s">
        <v>34</v>
      </c>
      <c r="J757" s="2" t="s">
        <v>104</v>
      </c>
      <c r="K757" s="11">
        <v>45433</v>
      </c>
      <c r="L757" s="11">
        <v>45440</v>
      </c>
      <c r="M757" s="3">
        <v>50000</v>
      </c>
      <c r="N757" s="3" t="s">
        <v>20</v>
      </c>
      <c r="O757" s="3" t="s">
        <v>55</v>
      </c>
    </row>
    <row r="758" spans="3:15">
      <c r="C758" s="3" t="s">
        <v>1682</v>
      </c>
      <c r="D758" s="2" t="s">
        <v>1151</v>
      </c>
      <c r="E758" s="2">
        <v>26</v>
      </c>
      <c r="F758" t="str">
        <f t="shared" si="11"/>
        <v>Young Adult</v>
      </c>
      <c r="G758" s="2" t="s">
        <v>32</v>
      </c>
      <c r="H758" s="2" t="s">
        <v>33</v>
      </c>
      <c r="I758" s="2" t="s">
        <v>34</v>
      </c>
      <c r="J758" s="2" t="s">
        <v>17</v>
      </c>
      <c r="K758" s="11">
        <v>45569</v>
      </c>
      <c r="L758" s="11">
        <v>45415</v>
      </c>
      <c r="M758" s="2">
        <v>50000</v>
      </c>
      <c r="N758" s="2" t="s">
        <v>29</v>
      </c>
      <c r="O758" s="2" t="s">
        <v>21</v>
      </c>
    </row>
    <row r="759" spans="3:15">
      <c r="C759" s="2" t="s">
        <v>1684</v>
      </c>
      <c r="D759" s="2" t="s">
        <v>1474</v>
      </c>
      <c r="E759" s="3">
        <v>51</v>
      </c>
      <c r="F759" t="str">
        <f t="shared" si="11"/>
        <v>Middle Age</v>
      </c>
      <c r="G759" s="3" t="s">
        <v>14</v>
      </c>
      <c r="H759" s="2" t="s">
        <v>85</v>
      </c>
      <c r="I759" s="2" t="s">
        <v>25</v>
      </c>
      <c r="J759" s="2" t="s">
        <v>17</v>
      </c>
      <c r="K759" s="11">
        <v>45413</v>
      </c>
      <c r="L759" s="11">
        <v>45302</v>
      </c>
      <c r="M759" s="3">
        <v>75000</v>
      </c>
      <c r="N759" s="3" t="s">
        <v>20</v>
      </c>
      <c r="O759" s="3" t="s">
        <v>21</v>
      </c>
    </row>
    <row r="760" spans="3:15">
      <c r="C760" s="3" t="s">
        <v>1685</v>
      </c>
      <c r="D760" s="2" t="s">
        <v>1003</v>
      </c>
      <c r="E760" s="2">
        <v>85</v>
      </c>
      <c r="F760" t="str">
        <f t="shared" si="11"/>
        <v>Senior</v>
      </c>
      <c r="G760" s="2" t="s">
        <v>32</v>
      </c>
      <c r="H760" s="2" t="s">
        <v>109</v>
      </c>
      <c r="I760" s="2" t="s">
        <v>76</v>
      </c>
      <c r="J760" s="2" t="s">
        <v>35</v>
      </c>
      <c r="K760" s="11">
        <v>45297</v>
      </c>
      <c r="L760" s="11">
        <v>45468</v>
      </c>
      <c r="M760" s="2">
        <v>5000</v>
      </c>
      <c r="N760" s="2" t="s">
        <v>20</v>
      </c>
      <c r="O760" s="2" t="s">
        <v>38</v>
      </c>
    </row>
    <row r="761" spans="3:15">
      <c r="C761" s="2" t="s">
        <v>1686</v>
      </c>
      <c r="D761" s="2" t="s">
        <v>1680</v>
      </c>
      <c r="E761" s="3">
        <v>30</v>
      </c>
      <c r="F761" t="str">
        <f t="shared" si="11"/>
        <v>Young Adult</v>
      </c>
      <c r="G761" s="3" t="s">
        <v>32</v>
      </c>
      <c r="H761" s="2" t="s">
        <v>85</v>
      </c>
      <c r="I761" s="2" t="s">
        <v>16</v>
      </c>
      <c r="J761" s="2" t="s">
        <v>35</v>
      </c>
      <c r="K761" s="11">
        <v>45604</v>
      </c>
      <c r="L761" s="11">
        <v>45523</v>
      </c>
      <c r="M761" s="3">
        <v>35000</v>
      </c>
      <c r="N761" s="3" t="s">
        <v>37</v>
      </c>
      <c r="O761" s="3" t="s">
        <v>55</v>
      </c>
    </row>
    <row r="762" spans="3:15">
      <c r="C762" s="3" t="s">
        <v>1688</v>
      </c>
      <c r="D762" s="2" t="s">
        <v>700</v>
      </c>
      <c r="E762" s="2">
        <v>88</v>
      </c>
      <c r="F762" t="str">
        <f t="shared" si="11"/>
        <v>Senior</v>
      </c>
      <c r="G762" s="2" t="s">
        <v>32</v>
      </c>
      <c r="H762" s="2" t="s">
        <v>70</v>
      </c>
      <c r="I762" s="2" t="s">
        <v>25</v>
      </c>
      <c r="J762" s="2" t="s">
        <v>99</v>
      </c>
      <c r="K762" s="11">
        <v>45475</v>
      </c>
      <c r="L762" s="11">
        <v>45341</v>
      </c>
      <c r="M762" s="2">
        <v>20000</v>
      </c>
      <c r="N762" s="2" t="s">
        <v>29</v>
      </c>
      <c r="O762" s="2" t="s">
        <v>55</v>
      </c>
    </row>
    <row r="763" spans="3:15">
      <c r="C763" s="2" t="s">
        <v>1689</v>
      </c>
      <c r="D763" s="2" t="s">
        <v>1683</v>
      </c>
      <c r="E763" s="3">
        <v>33</v>
      </c>
      <c r="F763" t="str">
        <f t="shared" si="11"/>
        <v>Young Adult</v>
      </c>
      <c r="G763" s="3" t="s">
        <v>14</v>
      </c>
      <c r="H763" s="2" t="s">
        <v>109</v>
      </c>
      <c r="I763" s="2" t="s">
        <v>132</v>
      </c>
      <c r="J763" s="2" t="s">
        <v>17</v>
      </c>
      <c r="K763" s="11">
        <v>45304</v>
      </c>
      <c r="L763" s="11">
        <v>45334</v>
      </c>
      <c r="M763" s="3">
        <v>25000</v>
      </c>
      <c r="N763" s="3" t="s">
        <v>67</v>
      </c>
      <c r="O763" s="3" t="s">
        <v>55</v>
      </c>
    </row>
    <row r="764" spans="3:15">
      <c r="C764" s="3" t="s">
        <v>1690</v>
      </c>
      <c r="D764" s="2" t="s">
        <v>582</v>
      </c>
      <c r="E764" s="2">
        <v>22</v>
      </c>
      <c r="F764" t="str">
        <f t="shared" si="11"/>
        <v>Young Adult</v>
      </c>
      <c r="G764" s="2" t="s">
        <v>338</v>
      </c>
      <c r="H764" s="2" t="s">
        <v>70</v>
      </c>
      <c r="I764" s="2" t="s">
        <v>34</v>
      </c>
      <c r="J764" s="2" t="s">
        <v>53</v>
      </c>
      <c r="K764" s="11">
        <v>45397</v>
      </c>
      <c r="L764" s="11">
        <v>45422</v>
      </c>
      <c r="M764" s="2">
        <v>25000</v>
      </c>
      <c r="N764" s="2" t="s">
        <v>29</v>
      </c>
      <c r="O764" s="2" t="s">
        <v>21</v>
      </c>
    </row>
    <row r="765" spans="3:15">
      <c r="C765" s="2" t="s">
        <v>1691</v>
      </c>
      <c r="D765" s="2" t="s">
        <v>494</v>
      </c>
      <c r="E765" s="3">
        <v>20</v>
      </c>
      <c r="F765" t="str">
        <f t="shared" si="11"/>
        <v>Young Adult</v>
      </c>
      <c r="G765" s="3" t="s">
        <v>32</v>
      </c>
      <c r="H765" s="2" t="s">
        <v>109</v>
      </c>
      <c r="I765" s="2" t="s">
        <v>25</v>
      </c>
      <c r="J765" s="2" t="s">
        <v>53</v>
      </c>
      <c r="K765" s="11">
        <v>45508</v>
      </c>
      <c r="L765" s="11">
        <v>45391</v>
      </c>
      <c r="M765" s="3">
        <v>75000</v>
      </c>
      <c r="N765" s="3" t="s">
        <v>37</v>
      </c>
      <c r="O765" s="3" t="s">
        <v>38</v>
      </c>
    </row>
    <row r="766" spans="3:15">
      <c r="C766" s="3" t="s">
        <v>1694</v>
      </c>
      <c r="D766" s="2" t="s">
        <v>1448</v>
      </c>
      <c r="E766" s="2">
        <v>21</v>
      </c>
      <c r="F766" t="str">
        <f t="shared" si="11"/>
        <v>Young Adult</v>
      </c>
      <c r="G766" s="2" t="s">
        <v>14</v>
      </c>
      <c r="H766" s="2" t="s">
        <v>33</v>
      </c>
      <c r="I766" s="2" t="s">
        <v>42</v>
      </c>
      <c r="J766" s="2" t="s">
        <v>17</v>
      </c>
      <c r="K766" s="11">
        <v>45578</v>
      </c>
      <c r="L766" s="11">
        <v>45602</v>
      </c>
      <c r="M766" s="2">
        <v>35000</v>
      </c>
      <c r="N766" s="2" t="s">
        <v>20</v>
      </c>
      <c r="O766" s="2" t="s">
        <v>55</v>
      </c>
    </row>
    <row r="767" spans="3:15">
      <c r="C767" s="2" t="s">
        <v>1695</v>
      </c>
      <c r="D767" s="2" t="s">
        <v>609</v>
      </c>
      <c r="E767" s="3">
        <v>63</v>
      </c>
      <c r="F767" t="str">
        <f t="shared" si="11"/>
        <v>Senior</v>
      </c>
      <c r="G767" s="3" t="s">
        <v>14</v>
      </c>
      <c r="H767" s="2" t="s">
        <v>52</v>
      </c>
      <c r="I767" s="2" t="s">
        <v>127</v>
      </c>
      <c r="J767" s="2" t="s">
        <v>26</v>
      </c>
      <c r="K767" s="11">
        <v>45361</v>
      </c>
      <c r="L767" s="11">
        <v>45574</v>
      </c>
      <c r="M767" s="3">
        <v>20000</v>
      </c>
      <c r="N767" s="3" t="s">
        <v>37</v>
      </c>
      <c r="O767" s="3" t="s">
        <v>87</v>
      </c>
    </row>
    <row r="768" spans="3:15">
      <c r="C768" s="3" t="s">
        <v>1697</v>
      </c>
      <c r="D768" s="2" t="s">
        <v>1314</v>
      </c>
      <c r="E768" s="2">
        <v>9</v>
      </c>
      <c r="F768" t="str">
        <f t="shared" si="11"/>
        <v>Child</v>
      </c>
      <c r="G768" s="2" t="s">
        <v>32</v>
      </c>
      <c r="H768" s="2" t="s">
        <v>52</v>
      </c>
      <c r="I768" s="2" t="s">
        <v>42</v>
      </c>
      <c r="J768" s="2" t="s">
        <v>104</v>
      </c>
      <c r="K768" s="11">
        <v>45557</v>
      </c>
      <c r="L768" s="11">
        <v>45563</v>
      </c>
      <c r="M768" s="2">
        <v>8000</v>
      </c>
      <c r="N768" s="2" t="s">
        <v>37</v>
      </c>
      <c r="O768" s="2" t="s">
        <v>87</v>
      </c>
    </row>
    <row r="769" spans="3:15">
      <c r="C769" s="2" t="s">
        <v>1698</v>
      </c>
      <c r="D769" s="2" t="s">
        <v>369</v>
      </c>
      <c r="E769" s="3">
        <v>67</v>
      </c>
      <c r="F769" t="str">
        <f t="shared" si="11"/>
        <v>Senior</v>
      </c>
      <c r="G769" s="3" t="s">
        <v>14</v>
      </c>
      <c r="H769" s="2" t="s">
        <v>15</v>
      </c>
      <c r="I769" s="2" t="s">
        <v>132</v>
      </c>
      <c r="J769" s="2" t="s">
        <v>26</v>
      </c>
      <c r="K769" s="11">
        <v>45350</v>
      </c>
      <c r="L769" s="11">
        <v>45366</v>
      </c>
      <c r="M769" s="3">
        <v>100000</v>
      </c>
      <c r="N769" s="3" t="s">
        <v>67</v>
      </c>
      <c r="O769" s="3" t="s">
        <v>55</v>
      </c>
    </row>
    <row r="770" spans="3:15">
      <c r="C770" s="3" t="s">
        <v>1700</v>
      </c>
      <c r="D770" s="2" t="s">
        <v>1692</v>
      </c>
      <c r="E770" s="2">
        <v>10</v>
      </c>
      <c r="F770" t="str">
        <f t="shared" si="11"/>
        <v>Child</v>
      </c>
      <c r="G770" s="2" t="s">
        <v>14</v>
      </c>
      <c r="H770" s="2" t="s">
        <v>109</v>
      </c>
      <c r="I770" s="2" t="s">
        <v>16</v>
      </c>
      <c r="J770" s="2" t="s">
        <v>53</v>
      </c>
      <c r="K770" s="11">
        <v>45323</v>
      </c>
      <c r="L770" s="11">
        <v>45352</v>
      </c>
      <c r="M770" s="2">
        <v>15000</v>
      </c>
      <c r="N770" s="2" t="s">
        <v>20</v>
      </c>
      <c r="O770" s="2" t="s">
        <v>87</v>
      </c>
    </row>
    <row r="771" spans="3:15">
      <c r="C771" s="3" t="s">
        <v>1701</v>
      </c>
      <c r="D771" s="2" t="s">
        <v>883</v>
      </c>
      <c r="E771" s="3">
        <v>15</v>
      </c>
      <c r="F771" t="str">
        <f t="shared" si="11"/>
        <v>Child</v>
      </c>
      <c r="G771" s="3" t="s">
        <v>14</v>
      </c>
      <c r="H771" s="2" t="s">
        <v>109</v>
      </c>
      <c r="I771" s="2" t="s">
        <v>34</v>
      </c>
      <c r="J771" s="2" t="s">
        <v>48</v>
      </c>
      <c r="K771" s="11">
        <v>45329</v>
      </c>
      <c r="L771" s="11">
        <v>45477</v>
      </c>
      <c r="M771" s="3">
        <v>35000</v>
      </c>
      <c r="N771" s="3" t="s">
        <v>20</v>
      </c>
      <c r="O771" s="3" t="s">
        <v>87</v>
      </c>
    </row>
    <row r="772" spans="3:15">
      <c r="C772" s="2" t="s">
        <v>1702</v>
      </c>
      <c r="D772" s="2" t="s">
        <v>1696</v>
      </c>
      <c r="E772" s="2">
        <v>70</v>
      </c>
      <c r="F772" t="str">
        <f t="shared" si="11"/>
        <v>Senior</v>
      </c>
      <c r="G772" s="2" t="s">
        <v>32</v>
      </c>
      <c r="H772" s="2" t="s">
        <v>70</v>
      </c>
      <c r="I772" s="2" t="s">
        <v>16</v>
      </c>
      <c r="J772" s="2" t="s">
        <v>53</v>
      </c>
      <c r="K772" s="11">
        <v>45628</v>
      </c>
      <c r="L772" s="11">
        <v>45348</v>
      </c>
      <c r="M772" s="2">
        <v>15000</v>
      </c>
      <c r="N772" s="2" t="s">
        <v>67</v>
      </c>
      <c r="O772" s="2" t="s">
        <v>87</v>
      </c>
    </row>
    <row r="773" spans="3:15">
      <c r="C773" s="3" t="s">
        <v>1703</v>
      </c>
      <c r="D773" s="2" t="s">
        <v>711</v>
      </c>
      <c r="E773" s="3">
        <v>15</v>
      </c>
      <c r="F773" t="str">
        <f t="shared" si="11"/>
        <v>Child</v>
      </c>
      <c r="G773" s="3" t="s">
        <v>14</v>
      </c>
      <c r="H773" s="2" t="s">
        <v>109</v>
      </c>
      <c r="I773" s="2" t="s">
        <v>42</v>
      </c>
      <c r="J773" s="2" t="s">
        <v>17</v>
      </c>
      <c r="K773" s="11">
        <v>45305</v>
      </c>
      <c r="L773" s="11">
        <v>45311</v>
      </c>
      <c r="M773" s="3">
        <v>50000</v>
      </c>
      <c r="N773" s="3" t="s">
        <v>37</v>
      </c>
      <c r="O773" s="3" t="s">
        <v>87</v>
      </c>
    </row>
    <row r="774" spans="3:15">
      <c r="C774" s="2" t="s">
        <v>1704</v>
      </c>
      <c r="D774" s="2" t="s">
        <v>1699</v>
      </c>
      <c r="E774" s="2">
        <v>86</v>
      </c>
      <c r="F774" t="str">
        <f t="shared" si="11"/>
        <v>Senior</v>
      </c>
      <c r="G774" s="2" t="s">
        <v>32</v>
      </c>
      <c r="H774" s="2" t="s">
        <v>70</v>
      </c>
      <c r="I774" s="2" t="s">
        <v>132</v>
      </c>
      <c r="J774" s="2" t="s">
        <v>53</v>
      </c>
      <c r="K774" s="11">
        <v>45602</v>
      </c>
      <c r="L774" s="11">
        <v>45483</v>
      </c>
      <c r="M774" s="2">
        <v>35000</v>
      </c>
      <c r="N774" s="2" t="s">
        <v>20</v>
      </c>
      <c r="O774" s="2" t="s">
        <v>87</v>
      </c>
    </row>
    <row r="775" spans="3:15">
      <c r="C775" s="3" t="s">
        <v>1705</v>
      </c>
      <c r="D775" s="2" t="s">
        <v>1639</v>
      </c>
      <c r="E775" s="3">
        <v>9</v>
      </c>
      <c r="F775" t="str">
        <f t="shared" si="11"/>
        <v>Child</v>
      </c>
      <c r="G775" s="3" t="s">
        <v>32</v>
      </c>
      <c r="H775" s="2" t="s">
        <v>70</v>
      </c>
      <c r="I775" s="2" t="s">
        <v>16</v>
      </c>
      <c r="J775" s="2" t="s">
        <v>26</v>
      </c>
      <c r="K775" s="11">
        <v>45405</v>
      </c>
      <c r="L775" s="11">
        <v>45410</v>
      </c>
      <c r="M775" s="3">
        <v>20000</v>
      </c>
      <c r="N775" s="3" t="s">
        <v>37</v>
      </c>
      <c r="O775" s="3" t="s">
        <v>55</v>
      </c>
    </row>
    <row r="776" spans="3:15">
      <c r="C776" s="2" t="s">
        <v>1708</v>
      </c>
      <c r="D776" s="2" t="s">
        <v>1001</v>
      </c>
      <c r="E776" s="3">
        <v>71</v>
      </c>
      <c r="F776" t="str">
        <f t="shared" si="11"/>
        <v>Senior</v>
      </c>
      <c r="G776" s="3" t="s">
        <v>32</v>
      </c>
      <c r="H776" s="2" t="s">
        <v>52</v>
      </c>
      <c r="I776" s="2" t="s">
        <v>25</v>
      </c>
      <c r="J776" s="2" t="s">
        <v>53</v>
      </c>
      <c r="K776" s="11">
        <v>45603</v>
      </c>
      <c r="L776" s="11">
        <v>45513</v>
      </c>
      <c r="M776" s="3">
        <v>15000</v>
      </c>
      <c r="N776" s="3" t="s">
        <v>37</v>
      </c>
      <c r="O776" s="3" t="s">
        <v>21</v>
      </c>
    </row>
    <row r="777" spans="3:15">
      <c r="C777" s="3" t="s">
        <v>1709</v>
      </c>
      <c r="D777" s="2" t="s">
        <v>633</v>
      </c>
      <c r="E777" s="2" t="s">
        <v>775</v>
      </c>
      <c r="F777" t="str">
        <f t="shared" si="11"/>
        <v>Unknown</v>
      </c>
      <c r="G777" s="2" t="s">
        <v>14</v>
      </c>
      <c r="H777" s="2" t="s">
        <v>15</v>
      </c>
      <c r="I777" s="2" t="s">
        <v>25</v>
      </c>
      <c r="J777" s="2" t="s">
        <v>99</v>
      </c>
      <c r="K777" s="11">
        <v>45512</v>
      </c>
      <c r="L777" s="11">
        <v>45536</v>
      </c>
      <c r="M777" s="2">
        <v>15000</v>
      </c>
      <c r="N777" s="2" t="s">
        <v>37</v>
      </c>
      <c r="O777" s="2" t="s">
        <v>21</v>
      </c>
    </row>
    <row r="778" spans="3:15">
      <c r="C778" s="2" t="s">
        <v>1711</v>
      </c>
      <c r="D778" s="2" t="s">
        <v>282</v>
      </c>
      <c r="E778" s="3">
        <v>3</v>
      </c>
      <c r="F778" t="str">
        <f t="shared" ref="F778:F841" si="12">IF(E778="Unknown","Unknown",IF(E778&lt;18,"Child",IF(E778&lt;40,"Young Adult",IF(E778&lt;60,"Middle Age","Senior"))))</f>
        <v>Child</v>
      </c>
      <c r="G778" s="3" t="s">
        <v>32</v>
      </c>
      <c r="H778" s="2" t="s">
        <v>109</v>
      </c>
      <c r="I778" s="2" t="s">
        <v>16</v>
      </c>
      <c r="J778" s="2" t="s">
        <v>35</v>
      </c>
      <c r="K778" s="11">
        <v>45599</v>
      </c>
      <c r="L778" s="11">
        <v>45380</v>
      </c>
      <c r="M778" s="3">
        <v>15000</v>
      </c>
      <c r="N778" s="3" t="s">
        <v>37</v>
      </c>
      <c r="O778" s="3" t="s">
        <v>55</v>
      </c>
    </row>
    <row r="779" spans="3:15">
      <c r="C779" s="3" t="s">
        <v>1713</v>
      </c>
      <c r="D779" s="2" t="s">
        <v>1586</v>
      </c>
      <c r="E779" s="2">
        <v>76</v>
      </c>
      <c r="F779" t="str">
        <f t="shared" si="12"/>
        <v>Senior</v>
      </c>
      <c r="G779" s="2" t="s">
        <v>14</v>
      </c>
      <c r="H779" s="2" t="s">
        <v>58</v>
      </c>
      <c r="I779" s="2" t="s">
        <v>25</v>
      </c>
      <c r="J779" s="2" t="s">
        <v>48</v>
      </c>
      <c r="K779" s="11">
        <v>45412</v>
      </c>
      <c r="L779" s="11">
        <v>45414</v>
      </c>
      <c r="M779" s="2">
        <v>8000</v>
      </c>
      <c r="N779" s="2" t="s">
        <v>20</v>
      </c>
      <c r="O779" s="2" t="s">
        <v>38</v>
      </c>
    </row>
    <row r="780" spans="3:15">
      <c r="C780" s="2" t="s">
        <v>1714</v>
      </c>
      <c r="D780" s="2" t="s">
        <v>537</v>
      </c>
      <c r="E780" s="3">
        <v>42</v>
      </c>
      <c r="F780" t="str">
        <f t="shared" si="12"/>
        <v>Middle Age</v>
      </c>
      <c r="G780" s="3" t="s">
        <v>14</v>
      </c>
      <c r="H780" s="2" t="s">
        <v>109</v>
      </c>
      <c r="I780" s="2" t="s">
        <v>16</v>
      </c>
      <c r="J780" s="2" t="s">
        <v>53</v>
      </c>
      <c r="K780" s="11">
        <v>45450</v>
      </c>
      <c r="L780" s="11">
        <v>45456</v>
      </c>
      <c r="M780" s="3">
        <v>5000</v>
      </c>
      <c r="N780" s="3" t="s">
        <v>29</v>
      </c>
      <c r="O780" s="3" t="s">
        <v>55</v>
      </c>
    </row>
    <row r="781" spans="3:15">
      <c r="C781" s="3" t="s">
        <v>1715</v>
      </c>
      <c r="D781" s="2" t="s">
        <v>637</v>
      </c>
      <c r="E781" s="2">
        <v>20</v>
      </c>
      <c r="F781" t="str">
        <f t="shared" si="12"/>
        <v>Young Adult</v>
      </c>
      <c r="G781" s="2" t="s">
        <v>14</v>
      </c>
      <c r="H781" s="2" t="s">
        <v>70</v>
      </c>
      <c r="I781" s="2" t="s">
        <v>42</v>
      </c>
      <c r="J781" s="2" t="s">
        <v>53</v>
      </c>
      <c r="K781" s="11">
        <v>45314</v>
      </c>
      <c r="L781" s="11">
        <v>45329</v>
      </c>
      <c r="M781" s="2">
        <v>25000</v>
      </c>
      <c r="N781" s="2" t="s">
        <v>29</v>
      </c>
      <c r="O781" s="2" t="s">
        <v>55</v>
      </c>
    </row>
    <row r="782" spans="3:15">
      <c r="C782" s="2" t="s">
        <v>1716</v>
      </c>
      <c r="D782" s="2" t="s">
        <v>1710</v>
      </c>
      <c r="E782" s="3">
        <v>5</v>
      </c>
      <c r="F782" t="str">
        <f t="shared" si="12"/>
        <v>Child</v>
      </c>
      <c r="G782" s="3" t="s">
        <v>14</v>
      </c>
      <c r="H782" s="2" t="s">
        <v>58</v>
      </c>
      <c r="I782" s="2" t="s">
        <v>42</v>
      </c>
      <c r="J782" s="2" t="s">
        <v>17</v>
      </c>
      <c r="K782" s="11">
        <v>45504</v>
      </c>
      <c r="L782" s="11">
        <v>45520</v>
      </c>
      <c r="M782" s="3">
        <v>25000</v>
      </c>
      <c r="N782" s="3" t="s">
        <v>20</v>
      </c>
      <c r="O782" s="3" t="s">
        <v>38</v>
      </c>
    </row>
    <row r="783" spans="3:15">
      <c r="C783" s="3" t="s">
        <v>1717</v>
      </c>
      <c r="D783" s="2" t="s">
        <v>1712</v>
      </c>
      <c r="E783" s="2" t="s">
        <v>775</v>
      </c>
      <c r="F783" t="str">
        <f t="shared" si="12"/>
        <v>Unknown</v>
      </c>
      <c r="G783" s="2" t="s">
        <v>14</v>
      </c>
      <c r="H783" s="2" t="s">
        <v>109</v>
      </c>
      <c r="I783" s="2" t="s">
        <v>127</v>
      </c>
      <c r="J783" s="2" t="s">
        <v>99</v>
      </c>
      <c r="K783" s="11">
        <v>45412</v>
      </c>
      <c r="L783" s="11">
        <v>45419</v>
      </c>
      <c r="M783" s="2">
        <v>35000</v>
      </c>
      <c r="N783" s="2" t="s">
        <v>20</v>
      </c>
      <c r="O783" s="2" t="s">
        <v>55</v>
      </c>
    </row>
    <row r="784" spans="3:15">
      <c r="C784" s="2" t="s">
        <v>1719</v>
      </c>
      <c r="D784" s="2" t="s">
        <v>501</v>
      </c>
      <c r="E784" s="3">
        <v>10</v>
      </c>
      <c r="F784" t="str">
        <f t="shared" si="12"/>
        <v>Child</v>
      </c>
      <c r="G784" s="3" t="s">
        <v>14</v>
      </c>
      <c r="H784" s="2" t="s">
        <v>109</v>
      </c>
      <c r="I784" s="2" t="s">
        <v>127</v>
      </c>
      <c r="J784" s="2" t="s">
        <v>48</v>
      </c>
      <c r="K784" s="11">
        <v>45475</v>
      </c>
      <c r="L784" s="11">
        <v>45330</v>
      </c>
      <c r="M784" s="3">
        <v>50000</v>
      </c>
      <c r="N784" s="3" t="s">
        <v>67</v>
      </c>
      <c r="O784" s="3" t="s">
        <v>21</v>
      </c>
    </row>
    <row r="785" spans="3:15">
      <c r="C785" s="3" t="s">
        <v>1720</v>
      </c>
      <c r="D785" s="2" t="s">
        <v>1064</v>
      </c>
      <c r="E785" s="2">
        <v>11</v>
      </c>
      <c r="F785" t="str">
        <f t="shared" si="12"/>
        <v>Child</v>
      </c>
      <c r="G785" s="2" t="s">
        <v>14</v>
      </c>
      <c r="H785" s="2" t="s">
        <v>58</v>
      </c>
      <c r="I785" s="2" t="s">
        <v>34</v>
      </c>
      <c r="J785" s="2" t="s">
        <v>17</v>
      </c>
      <c r="K785" s="11">
        <v>45331</v>
      </c>
      <c r="L785" s="11">
        <v>45547</v>
      </c>
      <c r="M785" s="2">
        <v>25000</v>
      </c>
      <c r="N785" s="2" t="s">
        <v>29</v>
      </c>
      <c r="O785" s="2" t="s">
        <v>775</v>
      </c>
    </row>
    <row r="786" spans="3:15">
      <c r="C786" s="2" t="s">
        <v>1721</v>
      </c>
      <c r="D786" s="2" t="s">
        <v>914</v>
      </c>
      <c r="E786" s="3">
        <v>76</v>
      </c>
      <c r="F786" t="str">
        <f t="shared" si="12"/>
        <v>Senior</v>
      </c>
      <c r="G786" s="3" t="s">
        <v>14</v>
      </c>
      <c r="H786" s="2" t="s">
        <v>109</v>
      </c>
      <c r="I786" s="2" t="s">
        <v>34</v>
      </c>
      <c r="J786" s="2" t="s">
        <v>99</v>
      </c>
      <c r="K786" s="11">
        <v>45399</v>
      </c>
      <c r="L786" s="11">
        <v>45428</v>
      </c>
      <c r="M786" s="3">
        <v>35000</v>
      </c>
      <c r="N786" s="3" t="s">
        <v>29</v>
      </c>
      <c r="O786" s="3" t="s">
        <v>87</v>
      </c>
    </row>
    <row r="787" spans="3:15">
      <c r="C787" s="3" t="s">
        <v>1722</v>
      </c>
      <c r="D787" s="2" t="s">
        <v>698</v>
      </c>
      <c r="E787" s="2">
        <v>17</v>
      </c>
      <c r="F787" t="str">
        <f t="shared" si="12"/>
        <v>Child</v>
      </c>
      <c r="G787" s="2" t="s">
        <v>14</v>
      </c>
      <c r="H787" s="2" t="s">
        <v>15</v>
      </c>
      <c r="I787" s="2" t="s">
        <v>127</v>
      </c>
      <c r="J787" s="2" t="s">
        <v>17</v>
      </c>
      <c r="K787" s="11">
        <v>45341</v>
      </c>
      <c r="L787" s="11">
        <v>45344</v>
      </c>
      <c r="M787" s="2">
        <v>25000</v>
      </c>
      <c r="N787" s="2" t="s">
        <v>29</v>
      </c>
      <c r="O787" s="2" t="s">
        <v>21</v>
      </c>
    </row>
    <row r="788" spans="3:15">
      <c r="C788" s="2" t="s">
        <v>1724</v>
      </c>
      <c r="D788" s="2" t="s">
        <v>1303</v>
      </c>
      <c r="E788" s="3">
        <v>83</v>
      </c>
      <c r="F788" t="str">
        <f t="shared" si="12"/>
        <v>Senior</v>
      </c>
      <c r="G788" s="3" t="s">
        <v>14</v>
      </c>
      <c r="H788" s="2" t="s">
        <v>33</v>
      </c>
      <c r="I788" s="2" t="s">
        <v>34</v>
      </c>
      <c r="J788" s="2" t="s">
        <v>48</v>
      </c>
      <c r="K788" s="11">
        <v>45296</v>
      </c>
      <c r="L788" s="11">
        <v>45421</v>
      </c>
      <c r="M788" s="3">
        <v>20000</v>
      </c>
      <c r="N788" s="3" t="s">
        <v>37</v>
      </c>
      <c r="O788" s="3" t="s">
        <v>87</v>
      </c>
    </row>
    <row r="789" spans="3:15">
      <c r="C789" s="3" t="s">
        <v>1725</v>
      </c>
      <c r="D789" s="2" t="s">
        <v>1601</v>
      </c>
      <c r="E789" s="2">
        <v>34</v>
      </c>
      <c r="F789" t="str">
        <f t="shared" si="12"/>
        <v>Young Adult</v>
      </c>
      <c r="G789" s="2" t="s">
        <v>32</v>
      </c>
      <c r="H789" s="2" t="s">
        <v>109</v>
      </c>
      <c r="I789" s="2" t="s">
        <v>25</v>
      </c>
      <c r="J789" s="2" t="s">
        <v>53</v>
      </c>
      <c r="K789" s="11">
        <v>45480</v>
      </c>
      <c r="L789" s="11">
        <v>45488</v>
      </c>
      <c r="M789" s="2">
        <v>50000</v>
      </c>
      <c r="N789" s="2" t="s">
        <v>37</v>
      </c>
      <c r="O789" s="2" t="s">
        <v>87</v>
      </c>
    </row>
    <row r="790" spans="3:15">
      <c r="C790" s="2" t="s">
        <v>1727</v>
      </c>
      <c r="D790" s="2" t="s">
        <v>637</v>
      </c>
      <c r="E790" s="3">
        <v>33</v>
      </c>
      <c r="F790" t="str">
        <f t="shared" si="12"/>
        <v>Young Adult</v>
      </c>
      <c r="G790" s="3" t="s">
        <v>338</v>
      </c>
      <c r="H790" s="2" t="s">
        <v>70</v>
      </c>
      <c r="I790" s="2" t="s">
        <v>127</v>
      </c>
      <c r="J790" s="2" t="s">
        <v>104</v>
      </c>
      <c r="K790" s="11">
        <v>45598</v>
      </c>
      <c r="L790" s="11">
        <v>45345</v>
      </c>
      <c r="M790" s="3">
        <v>15000</v>
      </c>
      <c r="N790" s="3" t="s">
        <v>37</v>
      </c>
      <c r="O790" s="3" t="s">
        <v>87</v>
      </c>
    </row>
    <row r="791" spans="3:15">
      <c r="C791" s="3" t="s">
        <v>1728</v>
      </c>
      <c r="D791" s="2" t="s">
        <v>1137</v>
      </c>
      <c r="E791" s="2">
        <v>85</v>
      </c>
      <c r="F791" t="str">
        <f t="shared" si="12"/>
        <v>Senior</v>
      </c>
      <c r="G791" s="2" t="s">
        <v>32</v>
      </c>
      <c r="H791" s="2" t="s">
        <v>33</v>
      </c>
      <c r="I791" s="2" t="s">
        <v>76</v>
      </c>
      <c r="J791" s="2" t="s">
        <v>26</v>
      </c>
      <c r="K791" s="11">
        <v>45480</v>
      </c>
      <c r="L791" s="11">
        <v>45494</v>
      </c>
      <c r="M791" s="2">
        <v>5000</v>
      </c>
      <c r="N791" s="2" t="s">
        <v>37</v>
      </c>
      <c r="O791" s="2" t="s">
        <v>55</v>
      </c>
    </row>
    <row r="792" spans="3:15">
      <c r="C792" s="2" t="s">
        <v>1730</v>
      </c>
      <c r="D792" s="2" t="s">
        <v>1723</v>
      </c>
      <c r="E792" s="3">
        <v>52</v>
      </c>
      <c r="F792" t="str">
        <f t="shared" si="12"/>
        <v>Middle Age</v>
      </c>
      <c r="G792" s="3" t="s">
        <v>14</v>
      </c>
      <c r="H792" s="2" t="s">
        <v>52</v>
      </c>
      <c r="I792" s="2" t="s">
        <v>127</v>
      </c>
      <c r="J792" s="2" t="s">
        <v>104</v>
      </c>
      <c r="K792" s="11">
        <v>45385</v>
      </c>
      <c r="L792" s="11">
        <v>45378</v>
      </c>
      <c r="M792" s="3">
        <v>35000</v>
      </c>
      <c r="N792" s="3" t="s">
        <v>37</v>
      </c>
      <c r="O792" s="3" t="s">
        <v>55</v>
      </c>
    </row>
    <row r="793" spans="3:15">
      <c r="C793" s="3" t="s">
        <v>1732</v>
      </c>
      <c r="D793" s="2" t="s">
        <v>1560</v>
      </c>
      <c r="E793" s="2">
        <v>73</v>
      </c>
      <c r="F793" t="str">
        <f t="shared" si="12"/>
        <v>Senior</v>
      </c>
      <c r="G793" s="2" t="s">
        <v>32</v>
      </c>
      <c r="H793" s="2" t="s">
        <v>52</v>
      </c>
      <c r="I793" s="2" t="s">
        <v>42</v>
      </c>
      <c r="J793" s="2" t="s">
        <v>17</v>
      </c>
      <c r="K793" s="11">
        <v>45569</v>
      </c>
      <c r="L793" s="11">
        <v>45412</v>
      </c>
      <c r="M793" s="2">
        <v>50000</v>
      </c>
      <c r="N793" s="2" t="s">
        <v>29</v>
      </c>
      <c r="O793" s="2" t="s">
        <v>87</v>
      </c>
    </row>
    <row r="794" spans="3:15">
      <c r="C794" s="2" t="s">
        <v>1733</v>
      </c>
      <c r="D794" s="2" t="s">
        <v>1726</v>
      </c>
      <c r="E794" s="3">
        <v>42</v>
      </c>
      <c r="F794" t="str">
        <f t="shared" si="12"/>
        <v>Middle Age</v>
      </c>
      <c r="G794" s="3" t="s">
        <v>14</v>
      </c>
      <c r="H794" s="2" t="s">
        <v>52</v>
      </c>
      <c r="I794" s="2" t="s">
        <v>25</v>
      </c>
      <c r="J794" s="2" t="s">
        <v>99</v>
      </c>
      <c r="K794" s="11">
        <v>45475</v>
      </c>
      <c r="L794" s="11">
        <v>45358</v>
      </c>
      <c r="M794" s="3">
        <v>12000</v>
      </c>
      <c r="N794" s="3" t="s">
        <v>20</v>
      </c>
      <c r="O794" s="3" t="s">
        <v>87</v>
      </c>
    </row>
    <row r="795" spans="3:15">
      <c r="C795" s="3" t="s">
        <v>1734</v>
      </c>
      <c r="D795" s="2" t="s">
        <v>365</v>
      </c>
      <c r="E795" s="2">
        <v>78</v>
      </c>
      <c r="F795" t="str">
        <f t="shared" si="12"/>
        <v>Senior</v>
      </c>
      <c r="G795" s="2" t="s">
        <v>690</v>
      </c>
      <c r="H795" s="2" t="s">
        <v>15</v>
      </c>
      <c r="I795" s="2" t="s">
        <v>25</v>
      </c>
      <c r="J795" s="2" t="s">
        <v>17</v>
      </c>
      <c r="K795" s="11">
        <v>45578</v>
      </c>
      <c r="L795" s="11">
        <v>45599</v>
      </c>
      <c r="M795" s="2">
        <v>100000</v>
      </c>
      <c r="N795" s="2" t="s">
        <v>37</v>
      </c>
      <c r="O795" s="2" t="s">
        <v>55</v>
      </c>
    </row>
    <row r="796" spans="3:15">
      <c r="C796" s="2" t="s">
        <v>1735</v>
      </c>
      <c r="D796" s="2" t="s">
        <v>1729</v>
      </c>
      <c r="E796" s="3">
        <v>22</v>
      </c>
      <c r="F796" t="str">
        <f t="shared" si="12"/>
        <v>Young Adult</v>
      </c>
      <c r="G796" s="3" t="s">
        <v>32</v>
      </c>
      <c r="H796" s="2" t="s">
        <v>58</v>
      </c>
      <c r="I796" s="2" t="s">
        <v>34</v>
      </c>
      <c r="J796" s="2" t="s">
        <v>35</v>
      </c>
      <c r="K796" s="11">
        <v>45573</v>
      </c>
      <c r="L796" s="11">
        <v>45519</v>
      </c>
      <c r="M796" s="3">
        <v>75000</v>
      </c>
      <c r="N796" s="3" t="s">
        <v>29</v>
      </c>
      <c r="O796" s="3" t="s">
        <v>87</v>
      </c>
    </row>
    <row r="797" spans="3:15">
      <c r="C797" s="3" t="s">
        <v>1736</v>
      </c>
      <c r="D797" s="2" t="s">
        <v>1731</v>
      </c>
      <c r="E797" s="2">
        <v>50</v>
      </c>
      <c r="F797" t="str">
        <f t="shared" si="12"/>
        <v>Middle Age</v>
      </c>
      <c r="G797" s="2" t="s">
        <v>775</v>
      </c>
      <c r="H797" s="2" t="s">
        <v>58</v>
      </c>
      <c r="I797" s="2" t="s">
        <v>16</v>
      </c>
      <c r="J797" s="2" t="s">
        <v>104</v>
      </c>
      <c r="K797" s="11">
        <v>45525</v>
      </c>
      <c r="L797" s="11">
        <v>45542</v>
      </c>
      <c r="M797" s="2">
        <v>20000</v>
      </c>
      <c r="N797" s="2" t="s">
        <v>20</v>
      </c>
      <c r="O797" s="2" t="s">
        <v>87</v>
      </c>
    </row>
    <row r="798" spans="3:15">
      <c r="C798" s="2" t="s">
        <v>1738</v>
      </c>
      <c r="D798" s="2" t="s">
        <v>1639</v>
      </c>
      <c r="E798" s="3">
        <v>70</v>
      </c>
      <c r="F798" t="str">
        <f t="shared" si="12"/>
        <v>Senior</v>
      </c>
      <c r="G798" s="3" t="s">
        <v>32</v>
      </c>
      <c r="H798" s="2" t="s">
        <v>58</v>
      </c>
      <c r="I798" s="2" t="s">
        <v>42</v>
      </c>
      <c r="J798" s="2" t="s">
        <v>99</v>
      </c>
      <c r="K798" s="11">
        <v>45541</v>
      </c>
      <c r="L798" s="11">
        <v>45460</v>
      </c>
      <c r="M798" s="3">
        <v>0</v>
      </c>
      <c r="N798" s="3" t="s">
        <v>20</v>
      </c>
      <c r="O798" s="3" t="s">
        <v>38</v>
      </c>
    </row>
    <row r="799" spans="3:15">
      <c r="C799" s="3" t="s">
        <v>1739</v>
      </c>
      <c r="D799" s="2" t="s">
        <v>217</v>
      </c>
      <c r="E799" s="2">
        <v>78</v>
      </c>
      <c r="F799" t="str">
        <f t="shared" si="12"/>
        <v>Senior</v>
      </c>
      <c r="G799" s="2" t="s">
        <v>14</v>
      </c>
      <c r="H799" s="2" t="s">
        <v>52</v>
      </c>
      <c r="I799" s="2" t="s">
        <v>132</v>
      </c>
      <c r="J799" s="2" t="s">
        <v>26</v>
      </c>
      <c r="K799" s="11">
        <v>45542</v>
      </c>
      <c r="L799" s="11">
        <v>45496</v>
      </c>
      <c r="M799" s="2">
        <v>25000</v>
      </c>
      <c r="N799" s="2" t="s">
        <v>20</v>
      </c>
      <c r="O799" s="2" t="s">
        <v>38</v>
      </c>
    </row>
    <row r="800" spans="3:15">
      <c r="C800" s="2" t="s">
        <v>1740</v>
      </c>
      <c r="D800" s="2" t="s">
        <v>1366</v>
      </c>
      <c r="E800" s="3">
        <v>29</v>
      </c>
      <c r="F800" t="str">
        <f t="shared" si="12"/>
        <v>Young Adult</v>
      </c>
      <c r="G800" s="3" t="s">
        <v>14</v>
      </c>
      <c r="H800" s="2" t="s">
        <v>70</v>
      </c>
      <c r="I800" s="2" t="s">
        <v>127</v>
      </c>
      <c r="J800" s="2" t="s">
        <v>53</v>
      </c>
      <c r="K800" s="11">
        <v>45426</v>
      </c>
      <c r="L800" s="11">
        <v>45428</v>
      </c>
      <c r="M800" s="3">
        <v>35000</v>
      </c>
      <c r="N800" s="3" t="s">
        <v>67</v>
      </c>
      <c r="O800" s="3" t="s">
        <v>55</v>
      </c>
    </row>
    <row r="801" spans="3:15">
      <c r="C801" s="3" t="s">
        <v>1741</v>
      </c>
      <c r="D801" s="2" t="s">
        <v>103</v>
      </c>
      <c r="E801" s="2">
        <v>88</v>
      </c>
      <c r="F801" t="str">
        <f t="shared" si="12"/>
        <v>Senior</v>
      </c>
      <c r="G801" s="2" t="s">
        <v>32</v>
      </c>
      <c r="H801" s="2" t="s">
        <v>52</v>
      </c>
      <c r="I801" s="2" t="s">
        <v>34</v>
      </c>
      <c r="J801" s="2" t="s">
        <v>17</v>
      </c>
      <c r="K801" s="11">
        <v>45368</v>
      </c>
      <c r="L801" s="11">
        <v>45386</v>
      </c>
      <c r="M801" s="2">
        <v>75000</v>
      </c>
      <c r="N801" s="2" t="s">
        <v>37</v>
      </c>
      <c r="O801" s="2" t="s">
        <v>55</v>
      </c>
    </row>
    <row r="802" spans="3:15">
      <c r="C802" s="2" t="s">
        <v>1743</v>
      </c>
      <c r="D802" s="2" t="s">
        <v>1737</v>
      </c>
      <c r="E802" s="3">
        <v>75</v>
      </c>
      <c r="F802" t="str">
        <f t="shared" si="12"/>
        <v>Senior</v>
      </c>
      <c r="G802" s="3" t="s">
        <v>32</v>
      </c>
      <c r="H802" s="2" t="s">
        <v>15</v>
      </c>
      <c r="I802" s="2" t="s">
        <v>34</v>
      </c>
      <c r="J802" s="2" t="s">
        <v>35</v>
      </c>
      <c r="K802" s="11">
        <v>45456</v>
      </c>
      <c r="L802" s="11">
        <v>45458</v>
      </c>
      <c r="M802" s="3">
        <v>15000</v>
      </c>
      <c r="N802" s="3" t="s">
        <v>67</v>
      </c>
      <c r="O802" s="3" t="s">
        <v>38</v>
      </c>
    </row>
    <row r="803" spans="3:15">
      <c r="C803" s="3" t="s">
        <v>1746</v>
      </c>
      <c r="D803" s="2" t="s">
        <v>516</v>
      </c>
      <c r="E803" s="2">
        <v>9</v>
      </c>
      <c r="F803" t="str">
        <f t="shared" si="12"/>
        <v>Child</v>
      </c>
      <c r="G803" s="2" t="s">
        <v>14</v>
      </c>
      <c r="H803" s="2" t="s">
        <v>58</v>
      </c>
      <c r="I803" s="2" t="s">
        <v>132</v>
      </c>
      <c r="J803" s="2" t="s">
        <v>35</v>
      </c>
      <c r="K803" s="11">
        <v>45539</v>
      </c>
      <c r="L803" s="11">
        <v>45410</v>
      </c>
      <c r="M803" s="2">
        <v>50000</v>
      </c>
      <c r="N803" s="2" t="s">
        <v>67</v>
      </c>
      <c r="O803" s="2" t="s">
        <v>55</v>
      </c>
    </row>
    <row r="804" spans="3:15">
      <c r="C804" s="2" t="s">
        <v>1748</v>
      </c>
      <c r="D804" s="2" t="s">
        <v>1505</v>
      </c>
      <c r="E804" s="3">
        <v>82</v>
      </c>
      <c r="F804" t="str">
        <f t="shared" si="12"/>
        <v>Senior</v>
      </c>
      <c r="G804" s="3" t="s">
        <v>32</v>
      </c>
      <c r="H804" s="2" t="s">
        <v>15</v>
      </c>
      <c r="I804" s="2" t="s">
        <v>127</v>
      </c>
      <c r="J804" s="2" t="s">
        <v>53</v>
      </c>
      <c r="K804" s="11">
        <v>45601</v>
      </c>
      <c r="L804" s="11">
        <v>45442</v>
      </c>
      <c r="M804" s="3">
        <v>35000</v>
      </c>
      <c r="N804" s="3" t="s">
        <v>37</v>
      </c>
      <c r="O804" s="3" t="s">
        <v>55</v>
      </c>
    </row>
    <row r="805" spans="3:15">
      <c r="C805" s="3" t="s">
        <v>1749</v>
      </c>
      <c r="D805" s="2" t="s">
        <v>46</v>
      </c>
      <c r="E805" s="2" t="s">
        <v>775</v>
      </c>
      <c r="F805" t="str">
        <f t="shared" si="12"/>
        <v>Unknown</v>
      </c>
      <c r="G805" s="2" t="s">
        <v>14</v>
      </c>
      <c r="H805" s="2" t="s">
        <v>70</v>
      </c>
      <c r="I805" s="2" t="s">
        <v>127</v>
      </c>
      <c r="J805" s="2" t="s">
        <v>17</v>
      </c>
      <c r="K805" s="11">
        <v>45517</v>
      </c>
      <c r="L805" s="11">
        <v>45543</v>
      </c>
      <c r="M805" s="2">
        <v>12000</v>
      </c>
      <c r="N805" s="2" t="s">
        <v>67</v>
      </c>
      <c r="O805" s="2" t="s">
        <v>87</v>
      </c>
    </row>
    <row r="806" spans="3:15">
      <c r="C806" s="2" t="s">
        <v>1751</v>
      </c>
      <c r="D806" s="2" t="s">
        <v>1742</v>
      </c>
      <c r="E806" s="3">
        <v>89</v>
      </c>
      <c r="F806" t="str">
        <f t="shared" si="12"/>
        <v>Senior</v>
      </c>
      <c r="G806" s="3" t="s">
        <v>14</v>
      </c>
      <c r="H806" s="2" t="s">
        <v>70</v>
      </c>
      <c r="I806" s="2" t="s">
        <v>76</v>
      </c>
      <c r="J806" s="2" t="s">
        <v>104</v>
      </c>
      <c r="K806" s="11">
        <v>45412</v>
      </c>
      <c r="L806" s="11">
        <v>45439</v>
      </c>
      <c r="M806" s="3">
        <v>25000</v>
      </c>
      <c r="N806" s="3" t="s">
        <v>37</v>
      </c>
      <c r="O806" s="3" t="s">
        <v>87</v>
      </c>
    </row>
    <row r="807" spans="3:15">
      <c r="C807" s="3" t="s">
        <v>1752</v>
      </c>
      <c r="D807" s="2" t="s">
        <v>1744</v>
      </c>
      <c r="E807" s="2">
        <v>46</v>
      </c>
      <c r="F807" t="str">
        <f t="shared" si="12"/>
        <v>Middle Age</v>
      </c>
      <c r="G807" s="2" t="s">
        <v>14</v>
      </c>
      <c r="H807" s="2" t="s">
        <v>52</v>
      </c>
      <c r="I807" s="2" t="s">
        <v>132</v>
      </c>
      <c r="J807" s="2" t="s">
        <v>35</v>
      </c>
      <c r="K807" s="11">
        <v>45572</v>
      </c>
      <c r="L807" s="11">
        <v>45601</v>
      </c>
      <c r="M807" s="2">
        <v>50000</v>
      </c>
      <c r="N807" s="2" t="s">
        <v>20</v>
      </c>
      <c r="O807" s="2" t="s">
        <v>55</v>
      </c>
    </row>
    <row r="808" spans="3:15">
      <c r="C808" s="2" t="s">
        <v>1753</v>
      </c>
      <c r="D808" s="2" t="s">
        <v>1747</v>
      </c>
      <c r="E808" s="3">
        <v>16</v>
      </c>
      <c r="F808" t="str">
        <f t="shared" si="12"/>
        <v>Child</v>
      </c>
      <c r="G808" s="3" t="s">
        <v>32</v>
      </c>
      <c r="H808" s="2" t="s">
        <v>58</v>
      </c>
      <c r="I808" s="2" t="s">
        <v>127</v>
      </c>
      <c r="J808" s="2" t="s">
        <v>99</v>
      </c>
      <c r="K808" s="11">
        <v>45549</v>
      </c>
      <c r="L808" s="11">
        <v>45574</v>
      </c>
      <c r="M808" s="3">
        <v>15000</v>
      </c>
      <c r="N808" s="3" t="s">
        <v>67</v>
      </c>
      <c r="O808" s="3" t="s">
        <v>21</v>
      </c>
    </row>
    <row r="809" spans="3:15">
      <c r="C809" s="3" t="s">
        <v>1754</v>
      </c>
      <c r="D809" s="2" t="s">
        <v>121</v>
      </c>
      <c r="E809" s="2">
        <v>67</v>
      </c>
      <c r="F809" t="str">
        <f t="shared" si="12"/>
        <v>Senior</v>
      </c>
      <c r="G809" s="2" t="s">
        <v>32</v>
      </c>
      <c r="H809" s="2" t="s">
        <v>85</v>
      </c>
      <c r="I809" s="2" t="s">
        <v>76</v>
      </c>
      <c r="J809" s="2" t="s">
        <v>104</v>
      </c>
      <c r="K809" s="11">
        <v>45470</v>
      </c>
      <c r="L809" s="11">
        <v>45472</v>
      </c>
      <c r="M809" s="2">
        <v>12000</v>
      </c>
      <c r="N809" s="2" t="s">
        <v>37</v>
      </c>
      <c r="O809" s="2" t="s">
        <v>21</v>
      </c>
    </row>
    <row r="810" spans="3:15">
      <c r="C810" s="2" t="s">
        <v>1755</v>
      </c>
      <c r="D810" s="2" t="s">
        <v>1750</v>
      </c>
      <c r="E810" s="3">
        <v>40</v>
      </c>
      <c r="F810" t="str">
        <f t="shared" si="12"/>
        <v>Middle Age</v>
      </c>
      <c r="G810" s="3" t="s">
        <v>14</v>
      </c>
      <c r="H810" s="2" t="s">
        <v>70</v>
      </c>
      <c r="I810" s="2" t="s">
        <v>42</v>
      </c>
      <c r="J810" s="2" t="s">
        <v>104</v>
      </c>
      <c r="K810" s="11">
        <v>45518</v>
      </c>
      <c r="L810" s="11">
        <v>45532</v>
      </c>
      <c r="M810" s="3">
        <v>20000</v>
      </c>
      <c r="N810" s="3" t="s">
        <v>20</v>
      </c>
      <c r="O810" s="3" t="s">
        <v>21</v>
      </c>
    </row>
    <row r="811" spans="3:15">
      <c r="C811" s="3" t="s">
        <v>1756</v>
      </c>
      <c r="D811" s="2" t="s">
        <v>187</v>
      </c>
      <c r="E811" s="2">
        <v>26</v>
      </c>
      <c r="F811" t="str">
        <f t="shared" si="12"/>
        <v>Young Adult</v>
      </c>
      <c r="G811" s="2" t="s">
        <v>14</v>
      </c>
      <c r="H811" s="2" t="s">
        <v>33</v>
      </c>
      <c r="I811" s="2" t="s">
        <v>16</v>
      </c>
      <c r="J811" s="2" t="s">
        <v>17</v>
      </c>
      <c r="K811" s="11">
        <v>45293</v>
      </c>
      <c r="L811" s="11">
        <v>45343</v>
      </c>
      <c r="M811" s="2">
        <v>12000</v>
      </c>
      <c r="N811" s="2" t="s">
        <v>67</v>
      </c>
      <c r="O811" s="2" t="s">
        <v>87</v>
      </c>
    </row>
    <row r="812" spans="3:15">
      <c r="C812" s="2" t="s">
        <v>1758</v>
      </c>
      <c r="D812" s="2" t="s">
        <v>1376</v>
      </c>
      <c r="E812" s="3">
        <v>79</v>
      </c>
      <c r="F812" t="str">
        <f t="shared" si="12"/>
        <v>Senior</v>
      </c>
      <c r="G812" s="3" t="s">
        <v>14</v>
      </c>
      <c r="H812" s="2" t="s">
        <v>15</v>
      </c>
      <c r="I812" s="2" t="s">
        <v>16</v>
      </c>
      <c r="J812" s="2" t="s">
        <v>53</v>
      </c>
      <c r="K812" s="11">
        <v>45299</v>
      </c>
      <c r="L812" s="11">
        <v>45506</v>
      </c>
      <c r="M812" s="3">
        <v>75000</v>
      </c>
      <c r="N812" s="3" t="s">
        <v>67</v>
      </c>
      <c r="O812" s="3" t="s">
        <v>55</v>
      </c>
    </row>
    <row r="813" spans="3:15">
      <c r="C813" s="3" t="s">
        <v>1759</v>
      </c>
      <c r="D813" s="2" t="s">
        <v>1617</v>
      </c>
      <c r="E813" s="2">
        <v>20</v>
      </c>
      <c r="F813" t="str">
        <f t="shared" si="12"/>
        <v>Young Adult</v>
      </c>
      <c r="G813" s="2" t="s">
        <v>14</v>
      </c>
      <c r="H813" s="2" t="s">
        <v>33</v>
      </c>
      <c r="I813" s="2" t="s">
        <v>34</v>
      </c>
      <c r="J813" s="2" t="s">
        <v>35</v>
      </c>
      <c r="K813" s="11">
        <v>45314</v>
      </c>
      <c r="L813" s="11">
        <v>45340</v>
      </c>
      <c r="M813" s="2">
        <v>8000</v>
      </c>
      <c r="N813" s="2" t="s">
        <v>20</v>
      </c>
      <c r="O813" s="2" t="s">
        <v>38</v>
      </c>
    </row>
    <row r="814" spans="3:15">
      <c r="C814" s="2" t="s">
        <v>1760</v>
      </c>
      <c r="D814" s="2" t="s">
        <v>791</v>
      </c>
      <c r="E814" s="3">
        <v>5</v>
      </c>
      <c r="F814" t="str">
        <f t="shared" si="12"/>
        <v>Child</v>
      </c>
      <c r="G814" s="3" t="s">
        <v>32</v>
      </c>
      <c r="H814" s="2" t="s">
        <v>33</v>
      </c>
      <c r="I814" s="2" t="s">
        <v>42</v>
      </c>
      <c r="J814" s="2" t="s">
        <v>53</v>
      </c>
      <c r="K814" s="11">
        <v>45589</v>
      </c>
      <c r="L814" s="11">
        <v>45598</v>
      </c>
      <c r="M814" s="3">
        <v>50000</v>
      </c>
      <c r="N814" s="3" t="s">
        <v>29</v>
      </c>
      <c r="O814" s="3" t="s">
        <v>87</v>
      </c>
    </row>
    <row r="815" spans="3:15">
      <c r="C815" s="3" t="s">
        <v>1761</v>
      </c>
      <c r="D815" s="2" t="s">
        <v>626</v>
      </c>
      <c r="E815" s="2">
        <v>23</v>
      </c>
      <c r="F815" t="str">
        <f t="shared" si="12"/>
        <v>Young Adult</v>
      </c>
      <c r="G815" s="2" t="s">
        <v>14</v>
      </c>
      <c r="H815" s="2" t="s">
        <v>58</v>
      </c>
      <c r="I815" s="2" t="s">
        <v>16</v>
      </c>
      <c r="J815" s="2" t="s">
        <v>48</v>
      </c>
      <c r="K815" s="11">
        <v>45604</v>
      </c>
      <c r="L815" s="11">
        <v>45536</v>
      </c>
      <c r="M815" s="2">
        <v>50000</v>
      </c>
      <c r="N815" s="2" t="s">
        <v>37</v>
      </c>
      <c r="O815" s="2" t="s">
        <v>87</v>
      </c>
    </row>
    <row r="816" spans="3:15">
      <c r="C816" s="2" t="s">
        <v>1763</v>
      </c>
      <c r="D816" s="2" t="s">
        <v>212</v>
      </c>
      <c r="E816" s="3">
        <v>82</v>
      </c>
      <c r="F816" t="str">
        <f t="shared" si="12"/>
        <v>Senior</v>
      </c>
      <c r="G816" s="3" t="s">
        <v>14</v>
      </c>
      <c r="H816" s="2" t="s">
        <v>58</v>
      </c>
      <c r="I816" s="2" t="s">
        <v>16</v>
      </c>
      <c r="J816" s="2" t="s">
        <v>35</v>
      </c>
      <c r="K816" s="11">
        <v>45440</v>
      </c>
      <c r="L816" s="11">
        <v>45442</v>
      </c>
      <c r="M816" s="3">
        <v>8000</v>
      </c>
      <c r="N816" s="3" t="s">
        <v>20</v>
      </c>
      <c r="O816" s="3" t="s">
        <v>55</v>
      </c>
    </row>
    <row r="817" spans="3:15">
      <c r="C817" s="3" t="s">
        <v>1764</v>
      </c>
      <c r="D817" s="2" t="s">
        <v>1054</v>
      </c>
      <c r="E817" s="2">
        <v>90</v>
      </c>
      <c r="F817" t="str">
        <f t="shared" si="12"/>
        <v>Senior</v>
      </c>
      <c r="G817" s="2" t="s">
        <v>14</v>
      </c>
      <c r="H817" s="2" t="s">
        <v>85</v>
      </c>
      <c r="I817" s="2" t="s">
        <v>16</v>
      </c>
      <c r="J817" s="2" t="s">
        <v>48</v>
      </c>
      <c r="K817" s="11">
        <v>45525</v>
      </c>
      <c r="L817" s="11">
        <v>45543</v>
      </c>
      <c r="M817" s="2">
        <v>8000</v>
      </c>
      <c r="N817" s="2" t="s">
        <v>67</v>
      </c>
      <c r="O817" s="2" t="s">
        <v>55</v>
      </c>
    </row>
    <row r="818" spans="3:15">
      <c r="C818" s="2" t="s">
        <v>1766</v>
      </c>
      <c r="D818" s="2" t="s">
        <v>385</v>
      </c>
      <c r="E818" s="3">
        <v>19</v>
      </c>
      <c r="F818" t="str">
        <f t="shared" si="12"/>
        <v>Young Adult</v>
      </c>
      <c r="G818" s="3" t="s">
        <v>14</v>
      </c>
      <c r="H818" s="2" t="s">
        <v>58</v>
      </c>
      <c r="I818" s="2" t="s">
        <v>76</v>
      </c>
      <c r="J818" s="2" t="s">
        <v>35</v>
      </c>
      <c r="K818" s="11">
        <v>45371</v>
      </c>
      <c r="L818" s="11">
        <v>45392</v>
      </c>
      <c r="M818" s="3">
        <v>75000</v>
      </c>
      <c r="N818" s="3" t="s">
        <v>67</v>
      </c>
      <c r="O818" s="3" t="s">
        <v>38</v>
      </c>
    </row>
    <row r="819" spans="3:15">
      <c r="C819" s="3" t="s">
        <v>1768</v>
      </c>
      <c r="D819" s="2" t="s">
        <v>396</v>
      </c>
      <c r="E819" s="2">
        <v>82</v>
      </c>
      <c r="F819" t="str">
        <f t="shared" si="12"/>
        <v>Senior</v>
      </c>
      <c r="G819" s="2" t="s">
        <v>41</v>
      </c>
      <c r="H819" s="2" t="s">
        <v>70</v>
      </c>
      <c r="I819" s="2" t="s">
        <v>25</v>
      </c>
      <c r="J819" s="2" t="s">
        <v>48</v>
      </c>
      <c r="K819" s="11">
        <v>45545</v>
      </c>
      <c r="L819" s="11">
        <v>45603</v>
      </c>
      <c r="M819" s="2">
        <v>20000</v>
      </c>
      <c r="N819" s="2" t="s">
        <v>775</v>
      </c>
      <c r="O819" s="2" t="s">
        <v>21</v>
      </c>
    </row>
    <row r="820" spans="3:15">
      <c r="C820" s="2" t="s">
        <v>1769</v>
      </c>
      <c r="D820" s="2" t="s">
        <v>1762</v>
      </c>
      <c r="E820" s="3">
        <v>79</v>
      </c>
      <c r="F820" t="str">
        <f t="shared" si="12"/>
        <v>Senior</v>
      </c>
      <c r="G820" s="3" t="s">
        <v>32</v>
      </c>
      <c r="H820" s="2" t="s">
        <v>15</v>
      </c>
      <c r="I820" s="2" t="s">
        <v>127</v>
      </c>
      <c r="J820" s="2" t="s">
        <v>35</v>
      </c>
      <c r="K820" s="11">
        <v>45365</v>
      </c>
      <c r="L820" s="11">
        <v>45377</v>
      </c>
      <c r="M820" s="3">
        <v>50000</v>
      </c>
      <c r="N820" s="3" t="s">
        <v>67</v>
      </c>
      <c r="O820" s="3" t="s">
        <v>21</v>
      </c>
    </row>
    <row r="821" spans="3:15">
      <c r="C821" s="3" t="s">
        <v>1770</v>
      </c>
      <c r="D821" s="2" t="s">
        <v>286</v>
      </c>
      <c r="E821" s="2">
        <v>25</v>
      </c>
      <c r="F821" t="str">
        <f t="shared" si="12"/>
        <v>Young Adult</v>
      </c>
      <c r="G821" s="2" t="s">
        <v>14</v>
      </c>
      <c r="H821" s="2" t="s">
        <v>15</v>
      </c>
      <c r="I821" s="2" t="s">
        <v>25</v>
      </c>
      <c r="J821" s="2" t="s">
        <v>35</v>
      </c>
      <c r="K821" s="11">
        <v>45586</v>
      </c>
      <c r="L821" s="11">
        <v>45602</v>
      </c>
      <c r="M821" s="2">
        <v>100000</v>
      </c>
      <c r="N821" s="2" t="s">
        <v>168</v>
      </c>
      <c r="O821" s="2" t="s">
        <v>21</v>
      </c>
    </row>
    <row r="822" spans="3:15">
      <c r="C822" s="2" t="s">
        <v>1771</v>
      </c>
      <c r="D822" s="2" t="s">
        <v>1765</v>
      </c>
      <c r="E822" s="3">
        <v>46</v>
      </c>
      <c r="F822" t="str">
        <f t="shared" si="12"/>
        <v>Middle Age</v>
      </c>
      <c r="G822" s="3" t="s">
        <v>14</v>
      </c>
      <c r="H822" s="2" t="s">
        <v>15</v>
      </c>
      <c r="I822" s="2" t="s">
        <v>76</v>
      </c>
      <c r="J822" s="2" t="s">
        <v>48</v>
      </c>
      <c r="K822" s="11">
        <v>45468</v>
      </c>
      <c r="L822" s="11">
        <v>45490</v>
      </c>
      <c r="M822" s="3">
        <v>100000</v>
      </c>
      <c r="N822" s="3" t="s">
        <v>67</v>
      </c>
      <c r="O822" s="3" t="s">
        <v>38</v>
      </c>
    </row>
    <row r="823" spans="3:15">
      <c r="C823" s="3" t="s">
        <v>1773</v>
      </c>
      <c r="D823" s="2" t="s">
        <v>1767</v>
      </c>
      <c r="E823" s="2">
        <v>6</v>
      </c>
      <c r="F823" t="str">
        <f t="shared" si="12"/>
        <v>Child</v>
      </c>
      <c r="G823" s="2" t="s">
        <v>14</v>
      </c>
      <c r="H823" s="2" t="s">
        <v>15</v>
      </c>
      <c r="I823" s="2" t="s">
        <v>42</v>
      </c>
      <c r="J823" s="2" t="s">
        <v>53</v>
      </c>
      <c r="K823" s="11">
        <v>45400</v>
      </c>
      <c r="L823" s="11">
        <v>45418</v>
      </c>
      <c r="M823" s="2">
        <v>100000</v>
      </c>
      <c r="N823" s="2" t="s">
        <v>29</v>
      </c>
      <c r="O823" s="2" t="s">
        <v>21</v>
      </c>
    </row>
    <row r="824" spans="3:15">
      <c r="C824" s="2" t="s">
        <v>1775</v>
      </c>
      <c r="D824" s="2" t="s">
        <v>1091</v>
      </c>
      <c r="E824" s="3">
        <v>13</v>
      </c>
      <c r="F824" t="str">
        <f t="shared" si="12"/>
        <v>Child</v>
      </c>
      <c r="G824" s="3" t="s">
        <v>14</v>
      </c>
      <c r="H824" s="2" t="s">
        <v>109</v>
      </c>
      <c r="I824" s="2" t="s">
        <v>42</v>
      </c>
      <c r="J824" s="2" t="s">
        <v>35</v>
      </c>
      <c r="K824" s="11">
        <v>45559</v>
      </c>
      <c r="L824" s="11">
        <v>45587</v>
      </c>
      <c r="M824" s="3">
        <v>12000</v>
      </c>
      <c r="N824" s="3" t="s">
        <v>67</v>
      </c>
      <c r="O824" s="3" t="s">
        <v>21</v>
      </c>
    </row>
    <row r="825" spans="3:15">
      <c r="C825" s="3" t="s">
        <v>1776</v>
      </c>
      <c r="D825" s="2" t="s">
        <v>1177</v>
      </c>
      <c r="E825" s="2">
        <v>21</v>
      </c>
      <c r="F825" t="str">
        <f t="shared" si="12"/>
        <v>Young Adult</v>
      </c>
      <c r="G825" s="2" t="s">
        <v>14</v>
      </c>
      <c r="H825" s="2" t="s">
        <v>85</v>
      </c>
      <c r="I825" s="2" t="s">
        <v>25</v>
      </c>
      <c r="J825" s="2" t="s">
        <v>53</v>
      </c>
      <c r="K825" s="11">
        <v>45427</v>
      </c>
      <c r="L825" s="11">
        <v>45431</v>
      </c>
      <c r="M825" s="2">
        <v>25000</v>
      </c>
      <c r="N825" s="2" t="s">
        <v>37</v>
      </c>
      <c r="O825" s="2" t="s">
        <v>21</v>
      </c>
    </row>
    <row r="826" spans="3:15">
      <c r="C826" s="2" t="s">
        <v>1778</v>
      </c>
      <c r="D826" s="2" t="s">
        <v>678</v>
      </c>
      <c r="E826" s="3">
        <v>9</v>
      </c>
      <c r="F826" t="str">
        <f t="shared" si="12"/>
        <v>Child</v>
      </c>
      <c r="G826" s="3" t="s">
        <v>32</v>
      </c>
      <c r="H826" s="2" t="s">
        <v>58</v>
      </c>
      <c r="I826" s="2" t="s">
        <v>25</v>
      </c>
      <c r="J826" s="2" t="s">
        <v>26</v>
      </c>
      <c r="K826" s="11">
        <v>45510</v>
      </c>
      <c r="L826" s="11">
        <v>45456</v>
      </c>
      <c r="M826" s="3">
        <v>8000</v>
      </c>
      <c r="N826" s="3" t="s">
        <v>67</v>
      </c>
      <c r="O826" s="3" t="s">
        <v>21</v>
      </c>
    </row>
    <row r="827" spans="3:15">
      <c r="C827" s="3" t="s">
        <v>1781</v>
      </c>
      <c r="D827" s="2" t="s">
        <v>1772</v>
      </c>
      <c r="E827" s="2">
        <v>79</v>
      </c>
      <c r="F827" t="str">
        <f t="shared" si="12"/>
        <v>Senior</v>
      </c>
      <c r="G827" s="2" t="s">
        <v>14</v>
      </c>
      <c r="H827" s="2" t="s">
        <v>52</v>
      </c>
      <c r="I827" s="2" t="s">
        <v>16</v>
      </c>
      <c r="J827" s="2" t="s">
        <v>35</v>
      </c>
      <c r="K827" s="11">
        <v>45568</v>
      </c>
      <c r="L827" s="11">
        <v>45362</v>
      </c>
      <c r="M827" s="2">
        <v>5000</v>
      </c>
      <c r="N827" s="2" t="s">
        <v>20</v>
      </c>
      <c r="O827" s="2" t="s">
        <v>87</v>
      </c>
    </row>
    <row r="828" spans="3:15">
      <c r="C828" s="2" t="s">
        <v>1782</v>
      </c>
      <c r="D828" s="2" t="s">
        <v>1774</v>
      </c>
      <c r="E828" s="3">
        <v>11</v>
      </c>
      <c r="F828" t="str">
        <f t="shared" si="12"/>
        <v>Child</v>
      </c>
      <c r="G828" s="3" t="s">
        <v>32</v>
      </c>
      <c r="H828" s="2" t="s">
        <v>58</v>
      </c>
      <c r="I828" s="2" t="s">
        <v>127</v>
      </c>
      <c r="J828" s="2" t="s">
        <v>104</v>
      </c>
      <c r="K828" s="11">
        <v>45433</v>
      </c>
      <c r="L828" s="11">
        <v>45447</v>
      </c>
      <c r="M828" s="3">
        <v>50000</v>
      </c>
      <c r="N828" s="3" t="s">
        <v>37</v>
      </c>
      <c r="O828" s="3" t="s">
        <v>55</v>
      </c>
    </row>
    <row r="829" spans="3:15">
      <c r="C829" s="3" t="s">
        <v>1783</v>
      </c>
      <c r="D829" s="2" t="s">
        <v>337</v>
      </c>
      <c r="E829" s="2">
        <v>69</v>
      </c>
      <c r="F829" t="str">
        <f t="shared" si="12"/>
        <v>Senior</v>
      </c>
      <c r="G829" s="2" t="s">
        <v>32</v>
      </c>
      <c r="H829" s="2" t="s">
        <v>33</v>
      </c>
      <c r="I829" s="2" t="s">
        <v>34</v>
      </c>
      <c r="J829" s="2" t="s">
        <v>53</v>
      </c>
      <c r="K829" s="11">
        <v>45489</v>
      </c>
      <c r="L829" s="11">
        <v>45506</v>
      </c>
      <c r="M829" s="2">
        <v>20000</v>
      </c>
      <c r="N829" s="2" t="s">
        <v>29</v>
      </c>
      <c r="O829" s="2" t="s">
        <v>55</v>
      </c>
    </row>
    <row r="830" spans="3:15">
      <c r="C830" s="2" t="s">
        <v>1784</v>
      </c>
      <c r="D830" s="2" t="s">
        <v>1777</v>
      </c>
      <c r="E830" s="3">
        <v>10</v>
      </c>
      <c r="F830" t="str">
        <f t="shared" si="12"/>
        <v>Child</v>
      </c>
      <c r="G830" s="3" t="s">
        <v>14</v>
      </c>
      <c r="H830" s="2" t="s">
        <v>70</v>
      </c>
      <c r="I830" s="2" t="s">
        <v>34</v>
      </c>
      <c r="J830" s="2" t="s">
        <v>53</v>
      </c>
      <c r="K830" s="11">
        <v>45468</v>
      </c>
      <c r="L830" s="11">
        <v>45479</v>
      </c>
      <c r="M830" s="3">
        <v>75000</v>
      </c>
      <c r="N830" s="3" t="s">
        <v>37</v>
      </c>
      <c r="O830" s="3" t="s">
        <v>21</v>
      </c>
    </row>
    <row r="831" spans="3:15">
      <c r="C831" s="3" t="s">
        <v>1785</v>
      </c>
      <c r="D831" s="2" t="s">
        <v>1779</v>
      </c>
      <c r="E831" s="2">
        <v>88</v>
      </c>
      <c r="F831" t="str">
        <f t="shared" si="12"/>
        <v>Senior</v>
      </c>
      <c r="G831" s="2" t="s">
        <v>14</v>
      </c>
      <c r="H831" s="2" t="s">
        <v>33</v>
      </c>
      <c r="I831" s="2" t="s">
        <v>25</v>
      </c>
      <c r="J831" s="2" t="s">
        <v>17</v>
      </c>
      <c r="K831" s="11">
        <v>45576</v>
      </c>
      <c r="L831" s="11">
        <v>45585</v>
      </c>
      <c r="M831" s="2">
        <v>12000</v>
      </c>
      <c r="N831" s="2" t="s">
        <v>20</v>
      </c>
      <c r="O831" s="2" t="s">
        <v>55</v>
      </c>
    </row>
    <row r="832" spans="3:15">
      <c r="C832" s="2" t="s">
        <v>1787</v>
      </c>
      <c r="D832" s="2" t="s">
        <v>781</v>
      </c>
      <c r="E832" s="3">
        <v>1</v>
      </c>
      <c r="F832" t="str">
        <f t="shared" si="12"/>
        <v>Child</v>
      </c>
      <c r="G832" s="3" t="s">
        <v>14</v>
      </c>
      <c r="H832" s="2" t="s">
        <v>33</v>
      </c>
      <c r="I832" s="2" t="s">
        <v>42</v>
      </c>
      <c r="J832" s="2" t="s">
        <v>48</v>
      </c>
      <c r="K832" s="11">
        <v>45530</v>
      </c>
      <c r="L832" s="11">
        <v>45547</v>
      </c>
      <c r="M832" s="3">
        <v>0</v>
      </c>
      <c r="N832" s="3" t="s">
        <v>20</v>
      </c>
      <c r="O832" s="3" t="s">
        <v>55</v>
      </c>
    </row>
    <row r="833" spans="3:15">
      <c r="C833" s="3" t="s">
        <v>1789</v>
      </c>
      <c r="D833" s="2" t="s">
        <v>870</v>
      </c>
      <c r="E833" s="2">
        <v>51</v>
      </c>
      <c r="F833" t="str">
        <f t="shared" si="12"/>
        <v>Middle Age</v>
      </c>
      <c r="G833" s="2" t="s">
        <v>32</v>
      </c>
      <c r="H833" s="2" t="s">
        <v>58</v>
      </c>
      <c r="I833" s="2" t="s">
        <v>16</v>
      </c>
      <c r="J833" s="2" t="s">
        <v>53</v>
      </c>
      <c r="K833" s="11">
        <v>45346</v>
      </c>
      <c r="L833" s="11">
        <v>45358</v>
      </c>
      <c r="M833" s="2">
        <v>12000</v>
      </c>
      <c r="N833" s="2" t="s">
        <v>37</v>
      </c>
      <c r="O833" s="2" t="s">
        <v>21</v>
      </c>
    </row>
    <row r="834" spans="3:15">
      <c r="C834" s="2" t="s">
        <v>1791</v>
      </c>
      <c r="D834" s="2" t="s">
        <v>1549</v>
      </c>
      <c r="E834" s="3">
        <v>56</v>
      </c>
      <c r="F834" t="str">
        <f t="shared" si="12"/>
        <v>Middle Age</v>
      </c>
      <c r="G834" s="3" t="s">
        <v>32</v>
      </c>
      <c r="H834" s="2" t="s">
        <v>52</v>
      </c>
      <c r="I834" s="2" t="s">
        <v>132</v>
      </c>
      <c r="J834" s="2" t="s">
        <v>53</v>
      </c>
      <c r="K834" s="11">
        <v>45309</v>
      </c>
      <c r="L834" s="11">
        <v>45318</v>
      </c>
      <c r="M834" s="3">
        <v>5000</v>
      </c>
      <c r="N834" s="3" t="s">
        <v>37</v>
      </c>
      <c r="O834" s="3" t="s">
        <v>87</v>
      </c>
    </row>
    <row r="835" spans="3:15">
      <c r="C835" s="3" t="s">
        <v>1792</v>
      </c>
      <c r="D835" s="2" t="s">
        <v>153</v>
      </c>
      <c r="E835" s="2" t="s">
        <v>775</v>
      </c>
      <c r="F835" t="str">
        <f t="shared" si="12"/>
        <v>Unknown</v>
      </c>
      <c r="G835" s="2" t="s">
        <v>32</v>
      </c>
      <c r="H835" s="2" t="s">
        <v>33</v>
      </c>
      <c r="I835" s="2" t="s">
        <v>34</v>
      </c>
      <c r="J835" s="2" t="s">
        <v>17</v>
      </c>
      <c r="K835" s="11">
        <v>45438</v>
      </c>
      <c r="L835" s="11">
        <v>45444</v>
      </c>
      <c r="M835" s="2">
        <v>75000</v>
      </c>
      <c r="N835" s="2" t="s">
        <v>67</v>
      </c>
      <c r="O835" s="2" t="s">
        <v>38</v>
      </c>
    </row>
    <row r="836" spans="3:15">
      <c r="C836" s="2" t="s">
        <v>1793</v>
      </c>
      <c r="D836" s="2" t="s">
        <v>380</v>
      </c>
      <c r="E836" s="3">
        <v>23</v>
      </c>
      <c r="F836" t="str">
        <f t="shared" si="12"/>
        <v>Young Adult</v>
      </c>
      <c r="G836" s="3" t="s">
        <v>32</v>
      </c>
      <c r="H836" s="2" t="s">
        <v>85</v>
      </c>
      <c r="I836" s="2" t="s">
        <v>127</v>
      </c>
      <c r="J836" s="2" t="s">
        <v>48</v>
      </c>
      <c r="K836" s="11">
        <v>45330</v>
      </c>
      <c r="L836" s="11">
        <v>45335</v>
      </c>
      <c r="M836" s="3">
        <v>25000</v>
      </c>
      <c r="N836" s="3" t="s">
        <v>37</v>
      </c>
      <c r="O836" s="3" t="s">
        <v>38</v>
      </c>
    </row>
    <row r="837" spans="3:15">
      <c r="C837" s="3" t="s">
        <v>1795</v>
      </c>
      <c r="D837" s="2" t="s">
        <v>1788</v>
      </c>
      <c r="E837" s="2">
        <v>11</v>
      </c>
      <c r="F837" t="str">
        <f t="shared" si="12"/>
        <v>Child</v>
      </c>
      <c r="G837" s="2" t="s">
        <v>775</v>
      </c>
      <c r="H837" s="2" t="s">
        <v>109</v>
      </c>
      <c r="I837" s="2" t="s">
        <v>34</v>
      </c>
      <c r="J837" s="2" t="s">
        <v>48</v>
      </c>
      <c r="K837" s="11">
        <v>45434</v>
      </c>
      <c r="L837" s="11">
        <v>45436</v>
      </c>
      <c r="M837" s="2">
        <v>12000</v>
      </c>
      <c r="N837" s="2" t="s">
        <v>20</v>
      </c>
      <c r="O837" s="2" t="s">
        <v>21</v>
      </c>
    </row>
    <row r="838" spans="3:15">
      <c r="C838" s="2" t="s">
        <v>1797</v>
      </c>
      <c r="D838" s="2" t="s">
        <v>1790</v>
      </c>
      <c r="E838" s="3" t="s">
        <v>775</v>
      </c>
      <c r="F838" t="str">
        <f t="shared" si="12"/>
        <v>Unknown</v>
      </c>
      <c r="G838" s="3" t="s">
        <v>14</v>
      </c>
      <c r="H838" s="2" t="s">
        <v>52</v>
      </c>
      <c r="I838" s="2" t="s">
        <v>16</v>
      </c>
      <c r="J838" s="2" t="s">
        <v>99</v>
      </c>
      <c r="K838" s="11">
        <v>45313</v>
      </c>
      <c r="L838" s="11">
        <v>45327</v>
      </c>
      <c r="M838" s="3">
        <v>12000</v>
      </c>
      <c r="N838" s="3" t="s">
        <v>20</v>
      </c>
      <c r="O838" s="3" t="s">
        <v>38</v>
      </c>
    </row>
    <row r="839" spans="3:15">
      <c r="C839" s="3" t="s">
        <v>1798</v>
      </c>
      <c r="D839" s="2" t="s">
        <v>1012</v>
      </c>
      <c r="E839" s="2">
        <v>74</v>
      </c>
      <c r="F839" t="str">
        <f t="shared" si="12"/>
        <v>Senior</v>
      </c>
      <c r="G839" s="2" t="s">
        <v>14</v>
      </c>
      <c r="H839" s="2" t="s">
        <v>58</v>
      </c>
      <c r="I839" s="2" t="s">
        <v>76</v>
      </c>
      <c r="J839" s="2" t="s">
        <v>104</v>
      </c>
      <c r="K839" s="11">
        <v>45450</v>
      </c>
      <c r="L839" s="11">
        <v>45474</v>
      </c>
      <c r="M839" s="2">
        <v>35000</v>
      </c>
      <c r="N839" s="2" t="s">
        <v>67</v>
      </c>
      <c r="O839" s="2" t="s">
        <v>21</v>
      </c>
    </row>
    <row r="840" spans="3:15">
      <c r="C840" s="2" t="s">
        <v>1799</v>
      </c>
      <c r="D840" s="2" t="s">
        <v>1271</v>
      </c>
      <c r="E840" s="3">
        <v>71</v>
      </c>
      <c r="F840" t="str">
        <f t="shared" si="12"/>
        <v>Senior</v>
      </c>
      <c r="G840" s="3" t="s">
        <v>32</v>
      </c>
      <c r="H840" s="2" t="s">
        <v>33</v>
      </c>
      <c r="I840" s="2" t="s">
        <v>42</v>
      </c>
      <c r="J840" s="2" t="s">
        <v>53</v>
      </c>
      <c r="K840" s="11">
        <v>45632</v>
      </c>
      <c r="L840" s="11">
        <v>45475</v>
      </c>
      <c r="M840" s="3">
        <v>12000</v>
      </c>
      <c r="N840" s="3" t="s">
        <v>29</v>
      </c>
      <c r="O840" s="3" t="s">
        <v>87</v>
      </c>
    </row>
    <row r="841" spans="3:15">
      <c r="C841" s="3" t="s">
        <v>1800</v>
      </c>
      <c r="D841" s="2" t="s">
        <v>1543</v>
      </c>
      <c r="E841" s="2">
        <v>60</v>
      </c>
      <c r="F841" t="str">
        <f t="shared" si="12"/>
        <v>Senior</v>
      </c>
      <c r="G841" s="2" t="s">
        <v>32</v>
      </c>
      <c r="H841" s="2" t="s">
        <v>33</v>
      </c>
      <c r="I841" s="2" t="s">
        <v>25</v>
      </c>
      <c r="J841" s="2" t="s">
        <v>53</v>
      </c>
      <c r="K841" s="11">
        <v>45360</v>
      </c>
      <c r="L841" s="11">
        <v>45365</v>
      </c>
      <c r="M841" s="2">
        <v>35000</v>
      </c>
      <c r="N841" s="2" t="s">
        <v>67</v>
      </c>
      <c r="O841" s="2" t="s">
        <v>38</v>
      </c>
    </row>
    <row r="842" spans="3:15">
      <c r="C842" s="2" t="s">
        <v>1802</v>
      </c>
      <c r="D842" s="2" t="s">
        <v>1796</v>
      </c>
      <c r="E842" s="3">
        <v>56</v>
      </c>
      <c r="F842" t="str">
        <f t="shared" ref="F842:F905" si="13">IF(E842="Unknown","Unknown",IF(E842&lt;18,"Child",IF(E842&lt;40,"Young Adult",IF(E842&lt;60,"Middle Age","Senior"))))</f>
        <v>Middle Age</v>
      </c>
      <c r="G842" s="3" t="s">
        <v>14</v>
      </c>
      <c r="H842" s="2" t="s">
        <v>70</v>
      </c>
      <c r="I842" s="2" t="s">
        <v>25</v>
      </c>
      <c r="J842" s="2" t="s">
        <v>53</v>
      </c>
      <c r="K842" s="11">
        <v>45330</v>
      </c>
      <c r="L842" s="11">
        <v>45524</v>
      </c>
      <c r="M842" s="3">
        <v>20000</v>
      </c>
      <c r="N842" s="3" t="s">
        <v>37</v>
      </c>
      <c r="O842" s="3" t="s">
        <v>87</v>
      </c>
    </row>
    <row r="843" spans="3:15">
      <c r="C843" s="3" t="s">
        <v>1803</v>
      </c>
      <c r="D843" s="2" t="s">
        <v>875</v>
      </c>
      <c r="E843" s="2">
        <v>28</v>
      </c>
      <c r="F843" t="str">
        <f t="shared" si="13"/>
        <v>Young Adult</v>
      </c>
      <c r="G843" s="2" t="s">
        <v>32</v>
      </c>
      <c r="H843" s="2" t="s">
        <v>70</v>
      </c>
      <c r="I843" s="2" t="s">
        <v>132</v>
      </c>
      <c r="J843" s="2" t="s">
        <v>99</v>
      </c>
      <c r="K843" s="11">
        <v>45465</v>
      </c>
      <c r="L843" s="11">
        <v>45492</v>
      </c>
      <c r="M843" s="2">
        <v>12000</v>
      </c>
      <c r="N843" s="2" t="s">
        <v>29</v>
      </c>
      <c r="O843" s="2" t="s">
        <v>55</v>
      </c>
    </row>
    <row r="844" spans="3:15">
      <c r="C844" s="2" t="s">
        <v>1804</v>
      </c>
      <c r="D844" s="2" t="s">
        <v>875</v>
      </c>
      <c r="E844" s="3">
        <v>27</v>
      </c>
      <c r="F844" t="str">
        <f t="shared" si="13"/>
        <v>Young Adult</v>
      </c>
      <c r="G844" s="3" t="s">
        <v>775</v>
      </c>
      <c r="H844" s="2" t="s">
        <v>52</v>
      </c>
      <c r="I844" s="2" t="s">
        <v>42</v>
      </c>
      <c r="J844" s="2" t="s">
        <v>48</v>
      </c>
      <c r="K844" s="11">
        <v>45369</v>
      </c>
      <c r="L844" s="11">
        <v>45396</v>
      </c>
      <c r="M844" s="3">
        <v>8000</v>
      </c>
      <c r="N844" s="3" t="s">
        <v>67</v>
      </c>
      <c r="O844" s="3" t="s">
        <v>87</v>
      </c>
    </row>
    <row r="845" spans="3:15">
      <c r="C845" s="3" t="s">
        <v>1805</v>
      </c>
      <c r="D845" s="2" t="s">
        <v>549</v>
      </c>
      <c r="E845" s="2">
        <v>10</v>
      </c>
      <c r="F845" t="str">
        <f t="shared" si="13"/>
        <v>Child</v>
      </c>
      <c r="G845" s="2" t="s">
        <v>32</v>
      </c>
      <c r="H845" s="2" t="s">
        <v>52</v>
      </c>
      <c r="I845" s="2" t="s">
        <v>76</v>
      </c>
      <c r="J845" s="2" t="s">
        <v>35</v>
      </c>
      <c r="K845" s="11">
        <v>45446</v>
      </c>
      <c r="L845" s="11">
        <v>45384</v>
      </c>
      <c r="M845" s="2">
        <v>50000</v>
      </c>
      <c r="N845" s="2" t="s">
        <v>37</v>
      </c>
      <c r="O845" s="2" t="s">
        <v>38</v>
      </c>
    </row>
    <row r="846" spans="3:15">
      <c r="C846" s="2" t="s">
        <v>1806</v>
      </c>
      <c r="D846" s="2" t="s">
        <v>509</v>
      </c>
      <c r="E846" s="3">
        <v>2</v>
      </c>
      <c r="F846" t="str">
        <f t="shared" si="13"/>
        <v>Child</v>
      </c>
      <c r="G846" s="3" t="s">
        <v>14</v>
      </c>
      <c r="H846" s="2" t="s">
        <v>70</v>
      </c>
      <c r="I846" s="2" t="s">
        <v>34</v>
      </c>
      <c r="J846" s="2" t="s">
        <v>53</v>
      </c>
      <c r="K846" s="11">
        <v>45532</v>
      </c>
      <c r="L846" s="11">
        <v>45552</v>
      </c>
      <c r="M846" s="3">
        <v>100000</v>
      </c>
      <c r="N846" s="3" t="s">
        <v>67</v>
      </c>
      <c r="O846" s="3" t="s">
        <v>38</v>
      </c>
    </row>
    <row r="847" spans="3:15">
      <c r="C847" s="3" t="s">
        <v>1808</v>
      </c>
      <c r="D847" s="2" t="s">
        <v>1472</v>
      </c>
      <c r="E847" s="2">
        <v>26</v>
      </c>
      <c r="F847" t="str">
        <f t="shared" si="13"/>
        <v>Young Adult</v>
      </c>
      <c r="G847" s="2" t="s">
        <v>32</v>
      </c>
      <c r="H847" s="2" t="s">
        <v>85</v>
      </c>
      <c r="I847" s="2" t="s">
        <v>76</v>
      </c>
      <c r="J847" s="2" t="s">
        <v>17</v>
      </c>
      <c r="K847" s="11">
        <v>45519</v>
      </c>
      <c r="L847" s="11">
        <v>45521</v>
      </c>
      <c r="M847" s="2">
        <v>75000</v>
      </c>
      <c r="N847" s="2" t="s">
        <v>349</v>
      </c>
      <c r="O847" s="2" t="s">
        <v>87</v>
      </c>
    </row>
    <row r="848" spans="3:15">
      <c r="C848" s="2" t="s">
        <v>1810</v>
      </c>
      <c r="D848" s="2" t="s">
        <v>1169</v>
      </c>
      <c r="E848" s="3">
        <v>19</v>
      </c>
      <c r="F848" t="str">
        <f t="shared" si="13"/>
        <v>Young Adult</v>
      </c>
      <c r="G848" s="3" t="s">
        <v>14</v>
      </c>
      <c r="H848" s="2" t="s">
        <v>15</v>
      </c>
      <c r="I848" s="2" t="s">
        <v>127</v>
      </c>
      <c r="J848" s="2" t="s">
        <v>17</v>
      </c>
      <c r="K848" s="11">
        <v>45508</v>
      </c>
      <c r="L848" s="11">
        <v>45399</v>
      </c>
      <c r="M848" s="3">
        <v>75000</v>
      </c>
      <c r="N848" s="3" t="s">
        <v>37</v>
      </c>
      <c r="O848" s="3" t="s">
        <v>38</v>
      </c>
    </row>
    <row r="849" spans="3:15">
      <c r="C849" s="3" t="s">
        <v>1811</v>
      </c>
      <c r="D849" s="2" t="s">
        <v>298</v>
      </c>
      <c r="E849" s="2">
        <v>42</v>
      </c>
      <c r="F849" t="str">
        <f t="shared" si="13"/>
        <v>Middle Age</v>
      </c>
      <c r="G849" s="2" t="s">
        <v>14</v>
      </c>
      <c r="H849" s="2" t="s">
        <v>58</v>
      </c>
      <c r="I849" s="2" t="s">
        <v>16</v>
      </c>
      <c r="J849" s="2" t="s">
        <v>35</v>
      </c>
      <c r="K849" s="11">
        <v>45582</v>
      </c>
      <c r="L849" s="11">
        <v>45589</v>
      </c>
      <c r="M849" s="2">
        <v>75000</v>
      </c>
      <c r="N849" s="2" t="s">
        <v>20</v>
      </c>
      <c r="O849" s="2" t="s">
        <v>87</v>
      </c>
    </row>
    <row r="850" spans="3:15">
      <c r="C850" s="2" t="s">
        <v>1812</v>
      </c>
      <c r="D850" s="2" t="s">
        <v>1262</v>
      </c>
      <c r="E850" s="3">
        <v>86</v>
      </c>
      <c r="F850" t="str">
        <f t="shared" si="13"/>
        <v>Senior</v>
      </c>
      <c r="G850" s="3" t="s">
        <v>32</v>
      </c>
      <c r="H850" s="2" t="s">
        <v>15</v>
      </c>
      <c r="I850" s="2" t="s">
        <v>34</v>
      </c>
      <c r="J850" s="2" t="s">
        <v>17</v>
      </c>
      <c r="K850" s="11">
        <v>45489</v>
      </c>
      <c r="L850" s="11">
        <v>45510</v>
      </c>
      <c r="M850" s="3">
        <v>12000</v>
      </c>
      <c r="N850" s="3" t="s">
        <v>20</v>
      </c>
      <c r="O850" s="3" t="s">
        <v>21</v>
      </c>
    </row>
    <row r="851" spans="3:15">
      <c r="C851" s="3" t="s">
        <v>1813</v>
      </c>
      <c r="D851" s="2" t="s">
        <v>2032</v>
      </c>
      <c r="E851" s="2">
        <v>2</v>
      </c>
      <c r="F851" t="str">
        <f t="shared" si="13"/>
        <v>Child</v>
      </c>
      <c r="G851" s="2" t="s">
        <v>14</v>
      </c>
      <c r="H851" s="2" t="s">
        <v>58</v>
      </c>
      <c r="I851" s="2" t="s">
        <v>42</v>
      </c>
      <c r="J851" s="2" t="s">
        <v>99</v>
      </c>
      <c r="K851" s="11">
        <v>45505</v>
      </c>
      <c r="L851" s="11">
        <v>45312</v>
      </c>
      <c r="M851" s="2">
        <v>100000</v>
      </c>
      <c r="N851" s="2" t="s">
        <v>67</v>
      </c>
      <c r="O851" s="2" t="s">
        <v>87</v>
      </c>
    </row>
    <row r="852" spans="3:15">
      <c r="C852" s="2" t="s">
        <v>1814</v>
      </c>
      <c r="D852" s="2" t="s">
        <v>1809</v>
      </c>
      <c r="E852" s="3">
        <v>73</v>
      </c>
      <c r="F852" t="str">
        <f t="shared" si="13"/>
        <v>Senior</v>
      </c>
      <c r="G852" s="3" t="s">
        <v>14</v>
      </c>
      <c r="H852" s="2" t="s">
        <v>33</v>
      </c>
      <c r="I852" s="2" t="s">
        <v>25</v>
      </c>
      <c r="J852" s="2" t="s">
        <v>48</v>
      </c>
      <c r="K852" s="11">
        <v>45560</v>
      </c>
      <c r="L852" s="11">
        <v>45572</v>
      </c>
      <c r="M852" s="3">
        <v>12000</v>
      </c>
      <c r="N852" s="3" t="s">
        <v>67</v>
      </c>
      <c r="O852" s="3" t="s">
        <v>87</v>
      </c>
    </row>
    <row r="853" spans="3:15">
      <c r="C853" s="3" t="s">
        <v>1816</v>
      </c>
      <c r="D853" s="2" t="s">
        <v>1024</v>
      </c>
      <c r="E853" s="2">
        <v>37</v>
      </c>
      <c r="F853" t="str">
        <f t="shared" si="13"/>
        <v>Young Adult</v>
      </c>
      <c r="G853" s="2" t="s">
        <v>32</v>
      </c>
      <c r="H853" s="2" t="s">
        <v>85</v>
      </c>
      <c r="I853" s="2" t="s">
        <v>132</v>
      </c>
      <c r="J853" s="2" t="s">
        <v>17</v>
      </c>
      <c r="K853" s="11">
        <v>45448</v>
      </c>
      <c r="L853" s="11">
        <v>45420</v>
      </c>
      <c r="M853" s="2">
        <v>20000</v>
      </c>
      <c r="N853" s="2" t="s">
        <v>37</v>
      </c>
      <c r="O853" s="2" t="s">
        <v>21</v>
      </c>
    </row>
    <row r="854" spans="3:15">
      <c r="C854" s="2" t="s">
        <v>1817</v>
      </c>
      <c r="D854" s="2" t="s">
        <v>1744</v>
      </c>
      <c r="E854" s="3">
        <v>37</v>
      </c>
      <c r="F854" t="str">
        <f t="shared" si="13"/>
        <v>Young Adult</v>
      </c>
      <c r="G854" s="3" t="s">
        <v>14</v>
      </c>
      <c r="H854" s="2" t="s">
        <v>70</v>
      </c>
      <c r="I854" s="2" t="s">
        <v>132</v>
      </c>
      <c r="J854" s="2" t="s">
        <v>26</v>
      </c>
      <c r="K854" s="11">
        <v>45491</v>
      </c>
      <c r="L854" s="11">
        <v>45495</v>
      </c>
      <c r="M854" s="3">
        <v>75000</v>
      </c>
      <c r="N854" s="3" t="s">
        <v>67</v>
      </c>
      <c r="O854" s="3" t="s">
        <v>87</v>
      </c>
    </row>
    <row r="855" spans="3:15">
      <c r="C855" s="3" t="s">
        <v>1818</v>
      </c>
      <c r="D855" s="2" t="s">
        <v>89</v>
      </c>
      <c r="E855" s="2">
        <v>65</v>
      </c>
      <c r="F855" t="str">
        <f t="shared" si="13"/>
        <v>Senior</v>
      </c>
      <c r="G855" s="2" t="s">
        <v>32</v>
      </c>
      <c r="H855" s="2" t="s">
        <v>70</v>
      </c>
      <c r="I855" s="2" t="s">
        <v>34</v>
      </c>
      <c r="J855" s="2" t="s">
        <v>104</v>
      </c>
      <c r="K855" s="11">
        <v>45498</v>
      </c>
      <c r="L855" s="11">
        <v>45518</v>
      </c>
      <c r="M855" s="2">
        <v>25000</v>
      </c>
      <c r="N855" s="2" t="s">
        <v>29</v>
      </c>
      <c r="O855" s="2" t="s">
        <v>55</v>
      </c>
    </row>
    <row r="856" spans="3:15">
      <c r="C856" s="2" t="s">
        <v>1820</v>
      </c>
      <c r="D856" s="2" t="s">
        <v>1505</v>
      </c>
      <c r="E856" s="3">
        <v>18</v>
      </c>
      <c r="F856" t="str">
        <f t="shared" si="13"/>
        <v>Young Adult</v>
      </c>
      <c r="G856" s="3" t="s">
        <v>32</v>
      </c>
      <c r="H856" s="2" t="s">
        <v>58</v>
      </c>
      <c r="I856" s="2" t="s">
        <v>42</v>
      </c>
      <c r="J856" s="2" t="s">
        <v>35</v>
      </c>
      <c r="K856" s="11">
        <v>45343</v>
      </c>
      <c r="L856" s="11">
        <v>45372</v>
      </c>
      <c r="M856" s="3">
        <v>50000</v>
      </c>
      <c r="N856" s="3" t="s">
        <v>20</v>
      </c>
      <c r="O856" s="3" t="s">
        <v>21</v>
      </c>
    </row>
    <row r="857" spans="3:15">
      <c r="C857" s="3" t="s">
        <v>1821</v>
      </c>
      <c r="D857" s="2" t="s">
        <v>1815</v>
      </c>
      <c r="E857" s="2">
        <v>55</v>
      </c>
      <c r="F857" t="str">
        <f t="shared" si="13"/>
        <v>Middle Age</v>
      </c>
      <c r="G857" s="2" t="s">
        <v>32</v>
      </c>
      <c r="H857" s="2" t="s">
        <v>58</v>
      </c>
      <c r="I857" s="2" t="s">
        <v>132</v>
      </c>
      <c r="J857" s="2" t="s">
        <v>26</v>
      </c>
      <c r="K857" s="11">
        <v>45590</v>
      </c>
      <c r="L857" s="11">
        <v>45597</v>
      </c>
      <c r="M857" s="2">
        <v>100000</v>
      </c>
      <c r="N857" s="2" t="s">
        <v>67</v>
      </c>
      <c r="O857" s="2" t="s">
        <v>38</v>
      </c>
    </row>
    <row r="858" spans="3:15">
      <c r="C858" s="2" t="s">
        <v>1822</v>
      </c>
      <c r="D858" s="2" t="s">
        <v>1520</v>
      </c>
      <c r="E858" s="3">
        <v>18</v>
      </c>
      <c r="F858" t="str">
        <f t="shared" si="13"/>
        <v>Young Adult</v>
      </c>
      <c r="G858" s="3" t="s">
        <v>690</v>
      </c>
      <c r="H858" s="2" t="s">
        <v>70</v>
      </c>
      <c r="I858" s="2" t="s">
        <v>42</v>
      </c>
      <c r="J858" s="2" t="s">
        <v>99</v>
      </c>
      <c r="K858" s="11">
        <v>45444</v>
      </c>
      <c r="L858" s="11">
        <v>45467</v>
      </c>
      <c r="M858" s="3">
        <v>20000</v>
      </c>
      <c r="N858" s="3" t="s">
        <v>20</v>
      </c>
      <c r="O858" s="3" t="s">
        <v>21</v>
      </c>
    </row>
    <row r="859" spans="3:15">
      <c r="C859" s="3" t="s">
        <v>1823</v>
      </c>
      <c r="D859" s="2" t="s">
        <v>1242</v>
      </c>
      <c r="E859" s="2">
        <v>37</v>
      </c>
      <c r="F859" t="str">
        <f t="shared" si="13"/>
        <v>Young Adult</v>
      </c>
      <c r="G859" s="2" t="s">
        <v>14</v>
      </c>
      <c r="H859" s="2" t="s">
        <v>33</v>
      </c>
      <c r="I859" s="2" t="s">
        <v>132</v>
      </c>
      <c r="J859" s="2" t="s">
        <v>104</v>
      </c>
      <c r="K859" s="11">
        <v>45631</v>
      </c>
      <c r="L859" s="11">
        <v>45432</v>
      </c>
      <c r="M859" s="2">
        <v>8000</v>
      </c>
      <c r="N859" s="2" t="s">
        <v>20</v>
      </c>
      <c r="O859" s="2" t="s">
        <v>55</v>
      </c>
    </row>
    <row r="860" spans="3:15">
      <c r="C860" s="2" t="s">
        <v>1824</v>
      </c>
      <c r="D860" s="2" t="s">
        <v>1819</v>
      </c>
      <c r="E860" s="3">
        <v>62</v>
      </c>
      <c r="F860" t="str">
        <f t="shared" si="13"/>
        <v>Senior</v>
      </c>
      <c r="G860" s="3" t="s">
        <v>14</v>
      </c>
      <c r="H860" s="2" t="s">
        <v>58</v>
      </c>
      <c r="I860" s="2" t="s">
        <v>76</v>
      </c>
      <c r="J860" s="2" t="s">
        <v>35</v>
      </c>
      <c r="K860" s="11">
        <v>45486</v>
      </c>
      <c r="L860" s="11">
        <v>45516</v>
      </c>
      <c r="M860" s="3">
        <v>5000</v>
      </c>
      <c r="N860" s="3" t="s">
        <v>67</v>
      </c>
      <c r="O860" s="3" t="s">
        <v>38</v>
      </c>
    </row>
    <row r="861" spans="3:15">
      <c r="C861" s="3" t="s">
        <v>1825</v>
      </c>
      <c r="D861" s="2" t="s">
        <v>1651</v>
      </c>
      <c r="E861" s="2">
        <v>35</v>
      </c>
      <c r="F861" t="str">
        <f t="shared" si="13"/>
        <v>Young Adult</v>
      </c>
      <c r="G861" s="2" t="s">
        <v>32</v>
      </c>
      <c r="H861" s="2" t="s">
        <v>109</v>
      </c>
      <c r="I861" s="4" t="s">
        <v>16</v>
      </c>
      <c r="J861" s="2" t="s">
        <v>48</v>
      </c>
      <c r="K861" s="11">
        <v>45540</v>
      </c>
      <c r="L861" s="11">
        <v>45435</v>
      </c>
      <c r="M861" s="2">
        <v>5000</v>
      </c>
      <c r="N861" s="2" t="s">
        <v>20</v>
      </c>
      <c r="O861" s="2" t="s">
        <v>55</v>
      </c>
    </row>
    <row r="862" spans="3:15">
      <c r="C862" s="2" t="s">
        <v>1827</v>
      </c>
      <c r="D862" s="2" t="s">
        <v>740</v>
      </c>
      <c r="E862" s="3">
        <v>34</v>
      </c>
      <c r="F862" t="str">
        <f t="shared" si="13"/>
        <v>Young Adult</v>
      </c>
      <c r="G862" s="3" t="s">
        <v>14</v>
      </c>
      <c r="H862" s="2" t="s">
        <v>58</v>
      </c>
      <c r="I862" s="2" t="s">
        <v>127</v>
      </c>
      <c r="J862" s="2" t="s">
        <v>48</v>
      </c>
      <c r="K862" s="11">
        <v>45499</v>
      </c>
      <c r="L862" s="11">
        <v>45526</v>
      </c>
      <c r="M862" s="3">
        <v>20000</v>
      </c>
      <c r="N862" s="3" t="s">
        <v>29</v>
      </c>
      <c r="O862" s="3" t="s">
        <v>38</v>
      </c>
    </row>
    <row r="863" spans="3:15">
      <c r="C863" s="3" t="s">
        <v>1828</v>
      </c>
      <c r="D863" s="2" t="s">
        <v>727</v>
      </c>
      <c r="E863" s="2">
        <v>84</v>
      </c>
      <c r="F863" t="str">
        <f t="shared" si="13"/>
        <v>Senior</v>
      </c>
      <c r="G863" s="2" t="s">
        <v>14</v>
      </c>
      <c r="H863" s="2" t="s">
        <v>58</v>
      </c>
      <c r="I863" s="2" t="s">
        <v>34</v>
      </c>
      <c r="J863" s="2" t="s">
        <v>48</v>
      </c>
      <c r="K863" s="11">
        <v>45376</v>
      </c>
      <c r="L863" s="11">
        <v>45404</v>
      </c>
      <c r="M863" s="2">
        <v>5000</v>
      </c>
      <c r="N863" s="2" t="s">
        <v>29</v>
      </c>
      <c r="O863" s="2" t="s">
        <v>55</v>
      </c>
    </row>
    <row r="864" spans="3:15">
      <c r="C864" s="2" t="s">
        <v>1829</v>
      </c>
      <c r="D864" s="2" t="s">
        <v>781</v>
      </c>
      <c r="E864" s="3">
        <v>63</v>
      </c>
      <c r="F864" t="str">
        <f t="shared" si="13"/>
        <v>Senior</v>
      </c>
      <c r="G864" s="3" t="s">
        <v>14</v>
      </c>
      <c r="H864" s="2" t="s">
        <v>15</v>
      </c>
      <c r="I864" s="2" t="s">
        <v>16</v>
      </c>
      <c r="J864" s="2" t="s">
        <v>26</v>
      </c>
      <c r="K864" s="11">
        <v>45409</v>
      </c>
      <c r="L864" s="11">
        <v>45426</v>
      </c>
      <c r="M864" s="3">
        <v>100000</v>
      </c>
      <c r="N864" s="3" t="s">
        <v>67</v>
      </c>
      <c r="O864" s="3" t="s">
        <v>55</v>
      </c>
    </row>
    <row r="865" spans="3:15">
      <c r="C865" s="3" t="s">
        <v>1830</v>
      </c>
      <c r="D865" s="2" t="s">
        <v>1001</v>
      </c>
      <c r="E865" s="2">
        <v>5</v>
      </c>
      <c r="F865" t="str">
        <f t="shared" si="13"/>
        <v>Child</v>
      </c>
      <c r="G865" s="2" t="s">
        <v>14</v>
      </c>
      <c r="H865" s="2" t="s">
        <v>58</v>
      </c>
      <c r="I865" s="2" t="s">
        <v>127</v>
      </c>
      <c r="J865" s="2" t="s">
        <v>48</v>
      </c>
      <c r="K865" s="11">
        <v>45539</v>
      </c>
      <c r="L865" s="11">
        <v>45399</v>
      </c>
      <c r="M865" s="2">
        <v>20000</v>
      </c>
      <c r="N865" s="2" t="s">
        <v>20</v>
      </c>
      <c r="O865" s="2" t="s">
        <v>38</v>
      </c>
    </row>
    <row r="866" spans="3:15">
      <c r="C866" s="2" t="s">
        <v>1831</v>
      </c>
      <c r="D866" s="2" t="s">
        <v>1826</v>
      </c>
      <c r="E866" s="3">
        <v>23</v>
      </c>
      <c r="F866" t="str">
        <f t="shared" si="13"/>
        <v>Young Adult</v>
      </c>
      <c r="G866" s="3" t="s">
        <v>32</v>
      </c>
      <c r="H866" s="2" t="s">
        <v>33</v>
      </c>
      <c r="I866" s="2" t="s">
        <v>42</v>
      </c>
      <c r="J866" s="2" t="s">
        <v>53</v>
      </c>
      <c r="K866" s="11">
        <v>45313</v>
      </c>
      <c r="L866" s="11">
        <v>45343</v>
      </c>
      <c r="M866" s="3">
        <v>5000</v>
      </c>
      <c r="N866" s="3" t="s">
        <v>29</v>
      </c>
      <c r="O866" s="3" t="s">
        <v>38</v>
      </c>
    </row>
    <row r="867" spans="3:15">
      <c r="C867" s="3" t="s">
        <v>1832</v>
      </c>
      <c r="D867" s="2" t="s">
        <v>678</v>
      </c>
      <c r="E867" s="2">
        <v>17</v>
      </c>
      <c r="F867" t="str">
        <f t="shared" si="13"/>
        <v>Child</v>
      </c>
      <c r="G867" s="2" t="s">
        <v>32</v>
      </c>
      <c r="H867" s="2" t="s">
        <v>52</v>
      </c>
      <c r="I867" s="2" t="s">
        <v>16</v>
      </c>
      <c r="J867" s="2" t="s">
        <v>104</v>
      </c>
      <c r="K867" s="11">
        <v>45318</v>
      </c>
      <c r="L867" s="11">
        <v>45343</v>
      </c>
      <c r="M867" s="2">
        <v>100000</v>
      </c>
      <c r="N867" s="2" t="s">
        <v>37</v>
      </c>
      <c r="O867" s="2" t="s">
        <v>38</v>
      </c>
    </row>
    <row r="868" spans="3:15">
      <c r="C868" s="2" t="s">
        <v>1833</v>
      </c>
      <c r="D868" s="2" t="s">
        <v>1409</v>
      </c>
      <c r="E868" s="3">
        <v>72</v>
      </c>
      <c r="F868" t="str">
        <f t="shared" si="13"/>
        <v>Senior</v>
      </c>
      <c r="G868" s="3" t="s">
        <v>14</v>
      </c>
      <c r="H868" s="2" t="s">
        <v>52</v>
      </c>
      <c r="I868" s="2" t="s">
        <v>25</v>
      </c>
      <c r="J868" s="2" t="s">
        <v>17</v>
      </c>
      <c r="K868" s="11">
        <v>45605</v>
      </c>
      <c r="L868" s="11">
        <v>45557</v>
      </c>
      <c r="M868" s="3">
        <v>75000</v>
      </c>
      <c r="N868" s="3" t="s">
        <v>67</v>
      </c>
      <c r="O868" s="3" t="s">
        <v>87</v>
      </c>
    </row>
    <row r="869" spans="3:15">
      <c r="C869" s="3" t="s">
        <v>1834</v>
      </c>
      <c r="D869" s="2" t="s">
        <v>401</v>
      </c>
      <c r="E869" s="2">
        <v>82</v>
      </c>
      <c r="F869" t="str">
        <f t="shared" si="13"/>
        <v>Senior</v>
      </c>
      <c r="G869" s="2" t="s">
        <v>14</v>
      </c>
      <c r="H869" s="2" t="s">
        <v>58</v>
      </c>
      <c r="I869" s="2" t="s">
        <v>76</v>
      </c>
      <c r="J869" s="2" t="s">
        <v>35</v>
      </c>
      <c r="K869" s="11">
        <v>45406</v>
      </c>
      <c r="L869" s="11">
        <v>45423</v>
      </c>
      <c r="M869" s="2">
        <v>20000</v>
      </c>
      <c r="N869" s="2" t="s">
        <v>37</v>
      </c>
      <c r="O869" s="2" t="s">
        <v>38</v>
      </c>
    </row>
    <row r="870" spans="3:15">
      <c r="C870" s="2" t="s">
        <v>1835</v>
      </c>
      <c r="D870" s="2" t="s">
        <v>428</v>
      </c>
      <c r="E870" s="3">
        <v>72</v>
      </c>
      <c r="F870" t="str">
        <f t="shared" si="13"/>
        <v>Senior</v>
      </c>
      <c r="G870" s="3" t="s">
        <v>14</v>
      </c>
      <c r="H870" s="2" t="s">
        <v>775</v>
      </c>
      <c r="I870" s="4" t="s">
        <v>42</v>
      </c>
      <c r="J870" s="2" t="s">
        <v>104</v>
      </c>
      <c r="K870" s="11">
        <v>45361</v>
      </c>
      <c r="L870" s="11">
        <v>45582</v>
      </c>
      <c r="M870" s="3">
        <v>100000</v>
      </c>
      <c r="N870" s="3" t="s">
        <v>20</v>
      </c>
      <c r="O870" s="3" t="s">
        <v>87</v>
      </c>
    </row>
    <row r="871" spans="3:15">
      <c r="C871" s="3" t="s">
        <v>1837</v>
      </c>
      <c r="D871" s="2" t="s">
        <v>652</v>
      </c>
      <c r="E871" s="2">
        <v>68</v>
      </c>
      <c r="F871" t="str">
        <f t="shared" si="13"/>
        <v>Senior</v>
      </c>
      <c r="G871" s="2" t="s">
        <v>14</v>
      </c>
      <c r="H871" s="2" t="s">
        <v>109</v>
      </c>
      <c r="I871" s="2" t="s">
        <v>127</v>
      </c>
      <c r="J871" s="2" t="s">
        <v>48</v>
      </c>
      <c r="K871" s="11">
        <v>45522</v>
      </c>
      <c r="L871" s="11">
        <v>45535</v>
      </c>
      <c r="M871" s="2">
        <v>12000</v>
      </c>
      <c r="N871" s="2" t="s">
        <v>20</v>
      </c>
      <c r="O871" s="2" t="s">
        <v>87</v>
      </c>
    </row>
    <row r="872" spans="3:15">
      <c r="C872" s="2" t="s">
        <v>1838</v>
      </c>
      <c r="D872" s="2" t="s">
        <v>1360</v>
      </c>
      <c r="E872" s="3">
        <v>90</v>
      </c>
      <c r="F872" t="str">
        <f t="shared" si="13"/>
        <v>Senior</v>
      </c>
      <c r="G872" s="3" t="s">
        <v>41</v>
      </c>
      <c r="H872" s="2" t="s">
        <v>33</v>
      </c>
      <c r="I872" s="2" t="s">
        <v>76</v>
      </c>
      <c r="J872" s="2" t="s">
        <v>35</v>
      </c>
      <c r="K872" s="11">
        <v>45304</v>
      </c>
      <c r="L872" s="11">
        <v>45328</v>
      </c>
      <c r="M872" s="3">
        <v>50000</v>
      </c>
      <c r="N872" s="3" t="s">
        <v>29</v>
      </c>
      <c r="O872" s="3" t="s">
        <v>87</v>
      </c>
    </row>
    <row r="873" spans="3:15">
      <c r="C873" s="3" t="s">
        <v>1840</v>
      </c>
      <c r="D873" s="2" t="s">
        <v>1069</v>
      </c>
      <c r="E873" s="2">
        <v>56</v>
      </c>
      <c r="F873" t="str">
        <f t="shared" si="13"/>
        <v>Middle Age</v>
      </c>
      <c r="G873" s="2" t="s">
        <v>287</v>
      </c>
      <c r="H873" s="2" t="s">
        <v>52</v>
      </c>
      <c r="I873" s="2" t="s">
        <v>132</v>
      </c>
      <c r="J873" s="2" t="s">
        <v>53</v>
      </c>
      <c r="K873" s="11">
        <v>45419</v>
      </c>
      <c r="L873" s="11">
        <v>45428</v>
      </c>
      <c r="M873" s="2">
        <v>35000</v>
      </c>
      <c r="N873" s="2" t="s">
        <v>20</v>
      </c>
      <c r="O873" s="2" t="s">
        <v>55</v>
      </c>
    </row>
    <row r="874" spans="3:15">
      <c r="C874" s="2" t="s">
        <v>1841</v>
      </c>
      <c r="D874" s="2" t="s">
        <v>1777</v>
      </c>
      <c r="E874" s="3">
        <v>63</v>
      </c>
      <c r="F874" t="str">
        <f t="shared" si="13"/>
        <v>Senior</v>
      </c>
      <c r="G874" s="3" t="s">
        <v>14</v>
      </c>
      <c r="H874" s="2" t="s">
        <v>15</v>
      </c>
      <c r="I874" s="2" t="s">
        <v>127</v>
      </c>
      <c r="J874" s="2" t="s">
        <v>48</v>
      </c>
      <c r="K874" s="11">
        <v>45549</v>
      </c>
      <c r="L874" s="11">
        <v>45566</v>
      </c>
      <c r="M874" s="3">
        <v>20000</v>
      </c>
      <c r="N874" s="3" t="s">
        <v>37</v>
      </c>
      <c r="O874" s="3" t="s">
        <v>87</v>
      </c>
    </row>
    <row r="875" spans="3:15">
      <c r="C875" s="2" t="s">
        <v>1844</v>
      </c>
      <c r="D875" s="2" t="s">
        <v>1836</v>
      </c>
      <c r="E875" s="2">
        <v>67</v>
      </c>
      <c r="F875" t="str">
        <f t="shared" si="13"/>
        <v>Senior</v>
      </c>
      <c r="G875" s="2" t="s">
        <v>14</v>
      </c>
      <c r="H875" s="2" t="s">
        <v>33</v>
      </c>
      <c r="I875" s="2" t="s">
        <v>127</v>
      </c>
      <c r="J875" s="2" t="s">
        <v>99</v>
      </c>
      <c r="K875" s="11">
        <v>45431</v>
      </c>
      <c r="L875" s="11">
        <v>45440</v>
      </c>
      <c r="M875" s="2">
        <v>5000</v>
      </c>
      <c r="N875" s="2" t="s">
        <v>67</v>
      </c>
      <c r="O875" s="2" t="s">
        <v>55</v>
      </c>
    </row>
    <row r="876" spans="3:15">
      <c r="C876" s="3" t="s">
        <v>1845</v>
      </c>
      <c r="D876" s="2" t="s">
        <v>1563</v>
      </c>
      <c r="E876" s="3">
        <v>42</v>
      </c>
      <c r="F876" t="str">
        <f t="shared" si="13"/>
        <v>Middle Age</v>
      </c>
      <c r="G876" s="3" t="s">
        <v>14</v>
      </c>
      <c r="H876" s="2" t="s">
        <v>70</v>
      </c>
      <c r="I876" s="2" t="s">
        <v>132</v>
      </c>
      <c r="J876" s="2" t="s">
        <v>53</v>
      </c>
      <c r="K876" s="11">
        <v>45561</v>
      </c>
      <c r="L876" s="11">
        <v>45588</v>
      </c>
      <c r="M876" s="3">
        <v>20000</v>
      </c>
      <c r="N876" s="3" t="s">
        <v>67</v>
      </c>
      <c r="O876" s="3" t="s">
        <v>38</v>
      </c>
    </row>
    <row r="877" spans="3:15">
      <c r="C877" s="2" t="s">
        <v>1846</v>
      </c>
      <c r="D877" s="2" t="s">
        <v>1839</v>
      </c>
      <c r="E877" s="2">
        <v>84</v>
      </c>
      <c r="F877" t="str">
        <f t="shared" si="13"/>
        <v>Senior</v>
      </c>
      <c r="G877" s="2" t="s">
        <v>14</v>
      </c>
      <c r="H877" s="2" t="s">
        <v>58</v>
      </c>
      <c r="I877" s="2" t="s">
        <v>76</v>
      </c>
      <c r="J877" s="2" t="s">
        <v>53</v>
      </c>
      <c r="K877" s="11">
        <v>45325</v>
      </c>
      <c r="L877" s="11">
        <v>45372</v>
      </c>
      <c r="M877" s="2">
        <v>8000</v>
      </c>
      <c r="N877" s="2" t="s">
        <v>37</v>
      </c>
      <c r="O877" s="2" t="s">
        <v>38</v>
      </c>
    </row>
    <row r="878" spans="3:15">
      <c r="C878" s="3" t="s">
        <v>1848</v>
      </c>
      <c r="D878" s="2" t="s">
        <v>593</v>
      </c>
      <c r="E878" s="3">
        <v>88</v>
      </c>
      <c r="F878" t="str">
        <f t="shared" si="13"/>
        <v>Senior</v>
      </c>
      <c r="G878" s="3" t="s">
        <v>32</v>
      </c>
      <c r="H878" s="2" t="s">
        <v>15</v>
      </c>
      <c r="I878" s="2" t="s">
        <v>132</v>
      </c>
      <c r="J878" s="2" t="s">
        <v>99</v>
      </c>
      <c r="K878" s="11">
        <v>45481</v>
      </c>
      <c r="L878" s="11">
        <v>45517</v>
      </c>
      <c r="M878" s="3">
        <v>25000</v>
      </c>
      <c r="N878" s="3" t="s">
        <v>37</v>
      </c>
      <c r="O878" s="3" t="s">
        <v>87</v>
      </c>
    </row>
    <row r="879" spans="3:15">
      <c r="C879" s="2" t="s">
        <v>1850</v>
      </c>
      <c r="D879" s="2" t="s">
        <v>553</v>
      </c>
      <c r="E879" s="2">
        <v>82</v>
      </c>
      <c r="F879" t="str">
        <f t="shared" si="13"/>
        <v>Senior</v>
      </c>
      <c r="G879" s="2" t="s">
        <v>287</v>
      </c>
      <c r="H879" s="2" t="s">
        <v>70</v>
      </c>
      <c r="I879" s="2" t="s">
        <v>34</v>
      </c>
      <c r="J879" s="2" t="s">
        <v>53</v>
      </c>
      <c r="K879" s="11">
        <v>45511</v>
      </c>
      <c r="L879" s="11">
        <v>45526</v>
      </c>
      <c r="M879" s="2">
        <v>8000</v>
      </c>
      <c r="N879" s="2" t="s">
        <v>20</v>
      </c>
      <c r="O879" s="2" t="s">
        <v>55</v>
      </c>
    </row>
    <row r="880" spans="3:15">
      <c r="C880" s="3" t="s">
        <v>1852</v>
      </c>
      <c r="D880" s="2" t="s">
        <v>103</v>
      </c>
      <c r="E880" s="2">
        <v>62</v>
      </c>
      <c r="F880" t="str">
        <f t="shared" si="13"/>
        <v>Senior</v>
      </c>
      <c r="G880" s="2" t="s">
        <v>32</v>
      </c>
      <c r="H880" s="2" t="s">
        <v>15</v>
      </c>
      <c r="I880" s="2" t="s">
        <v>132</v>
      </c>
      <c r="J880" s="2" t="s">
        <v>26</v>
      </c>
      <c r="K880" s="11">
        <v>45543</v>
      </c>
      <c r="L880" s="11">
        <v>45524</v>
      </c>
      <c r="M880" s="2">
        <v>5000</v>
      </c>
      <c r="N880" s="2" t="s">
        <v>37</v>
      </c>
      <c r="O880" s="2" t="s">
        <v>38</v>
      </c>
    </row>
    <row r="881" spans="3:15">
      <c r="C881" s="2" t="s">
        <v>1853</v>
      </c>
      <c r="D881" s="2" t="s">
        <v>153</v>
      </c>
      <c r="E881" s="3">
        <v>88</v>
      </c>
      <c r="F881" t="str">
        <f t="shared" si="13"/>
        <v>Senior</v>
      </c>
      <c r="G881" s="3" t="s">
        <v>14</v>
      </c>
      <c r="H881" s="2" t="s">
        <v>15</v>
      </c>
      <c r="I881" s="2" t="s">
        <v>16</v>
      </c>
      <c r="J881" s="2" t="s">
        <v>53</v>
      </c>
      <c r="K881" s="11">
        <v>45298</v>
      </c>
      <c r="L881" s="11">
        <v>45475</v>
      </c>
      <c r="M881" s="3">
        <v>8000</v>
      </c>
      <c r="N881" s="3" t="s">
        <v>37</v>
      </c>
      <c r="O881" s="3" t="s">
        <v>21</v>
      </c>
    </row>
    <row r="882" spans="3:15">
      <c r="C882" s="3" t="s">
        <v>1855</v>
      </c>
      <c r="D882" s="2" t="s">
        <v>2049</v>
      </c>
      <c r="E882" s="2">
        <v>5</v>
      </c>
      <c r="F882" t="str">
        <f t="shared" si="13"/>
        <v>Child</v>
      </c>
      <c r="G882" s="2" t="s">
        <v>32</v>
      </c>
      <c r="H882" s="2" t="s">
        <v>85</v>
      </c>
      <c r="I882" s="2" t="s">
        <v>34</v>
      </c>
      <c r="J882" s="2" t="s">
        <v>35</v>
      </c>
      <c r="K882" s="11">
        <v>45584</v>
      </c>
      <c r="L882" s="11">
        <v>45611</v>
      </c>
      <c r="M882" s="2">
        <v>20000</v>
      </c>
      <c r="N882" s="2" t="s">
        <v>37</v>
      </c>
      <c r="O882" s="2" t="s">
        <v>21</v>
      </c>
    </row>
    <row r="883" spans="3:15">
      <c r="C883" s="2" t="s">
        <v>1857</v>
      </c>
      <c r="D883" s="2" t="s">
        <v>1849</v>
      </c>
      <c r="E883" s="3">
        <v>58</v>
      </c>
      <c r="F883" t="str">
        <f t="shared" si="13"/>
        <v>Middle Age</v>
      </c>
      <c r="G883" s="3" t="s">
        <v>14</v>
      </c>
      <c r="H883" s="2" t="s">
        <v>109</v>
      </c>
      <c r="I883" s="2" t="s">
        <v>127</v>
      </c>
      <c r="J883" s="2" t="s">
        <v>17</v>
      </c>
      <c r="K883" s="11">
        <v>45444</v>
      </c>
      <c r="L883" s="11">
        <v>45301</v>
      </c>
      <c r="M883" s="3">
        <v>20000</v>
      </c>
      <c r="N883" s="3" t="s">
        <v>67</v>
      </c>
      <c r="O883" s="3" t="s">
        <v>21</v>
      </c>
    </row>
    <row r="884" spans="3:15">
      <c r="C884" s="3" t="s">
        <v>1858</v>
      </c>
      <c r="D884" s="2" t="s">
        <v>1851</v>
      </c>
      <c r="E884" s="2">
        <v>41</v>
      </c>
      <c r="F884" t="str">
        <f t="shared" si="13"/>
        <v>Middle Age</v>
      </c>
      <c r="G884" s="2" t="s">
        <v>32</v>
      </c>
      <c r="H884" s="2" t="s">
        <v>15</v>
      </c>
      <c r="I884" s="2" t="s">
        <v>76</v>
      </c>
      <c r="J884" s="2" t="s">
        <v>26</v>
      </c>
      <c r="K884" s="11">
        <v>45524</v>
      </c>
      <c r="L884" s="11">
        <v>45536</v>
      </c>
      <c r="M884" s="2">
        <v>5000</v>
      </c>
      <c r="N884" s="2" t="s">
        <v>20</v>
      </c>
      <c r="O884" s="2" t="s">
        <v>87</v>
      </c>
    </row>
    <row r="885" spans="3:15">
      <c r="C885" s="2" t="s">
        <v>1859</v>
      </c>
      <c r="D885" s="2" t="s">
        <v>740</v>
      </c>
      <c r="E885" s="3">
        <v>20</v>
      </c>
      <c r="F885" t="str">
        <f t="shared" si="13"/>
        <v>Young Adult</v>
      </c>
      <c r="G885" s="3" t="s">
        <v>14</v>
      </c>
      <c r="H885" s="2" t="s">
        <v>58</v>
      </c>
      <c r="I885" s="2" t="s">
        <v>127</v>
      </c>
      <c r="J885" s="2" t="s">
        <v>99</v>
      </c>
      <c r="K885" s="11">
        <v>45459</v>
      </c>
      <c r="L885" s="11">
        <v>45461</v>
      </c>
      <c r="M885" s="3">
        <v>100000</v>
      </c>
      <c r="N885" s="3" t="s">
        <v>29</v>
      </c>
      <c r="O885" s="3" t="s">
        <v>38</v>
      </c>
    </row>
    <row r="886" spans="3:15">
      <c r="C886" s="3" t="s">
        <v>1860</v>
      </c>
      <c r="D886" s="2" t="s">
        <v>459</v>
      </c>
      <c r="E886" s="2">
        <v>8</v>
      </c>
      <c r="F886" t="str">
        <f t="shared" si="13"/>
        <v>Child</v>
      </c>
      <c r="G886" s="2" t="s">
        <v>32</v>
      </c>
      <c r="H886" s="2" t="s">
        <v>33</v>
      </c>
      <c r="I886" s="2" t="s">
        <v>127</v>
      </c>
      <c r="J886" s="2" t="s">
        <v>35</v>
      </c>
      <c r="K886" s="11">
        <v>45522</v>
      </c>
      <c r="L886" s="11">
        <v>45540</v>
      </c>
      <c r="M886" s="2">
        <v>25000</v>
      </c>
      <c r="N886" s="2" t="s">
        <v>29</v>
      </c>
      <c r="O886" s="2" t="s">
        <v>21</v>
      </c>
    </row>
    <row r="887" spans="3:15">
      <c r="C887" s="2" t="s">
        <v>1861</v>
      </c>
      <c r="D887" s="2" t="s">
        <v>1856</v>
      </c>
      <c r="E887" s="3">
        <v>83</v>
      </c>
      <c r="F887" t="str">
        <f t="shared" si="13"/>
        <v>Senior</v>
      </c>
      <c r="G887" s="3" t="s">
        <v>32</v>
      </c>
      <c r="H887" s="2" t="s">
        <v>109</v>
      </c>
      <c r="I887" s="2" t="s">
        <v>132</v>
      </c>
      <c r="J887" s="2" t="s">
        <v>53</v>
      </c>
      <c r="K887" s="11">
        <v>45581</v>
      </c>
      <c r="L887" s="11">
        <v>45591</v>
      </c>
      <c r="M887" s="3">
        <v>75000</v>
      </c>
      <c r="N887" s="3" t="s">
        <v>37</v>
      </c>
      <c r="O887" s="3" t="s">
        <v>87</v>
      </c>
    </row>
    <row r="888" spans="3:15">
      <c r="C888" s="3" t="s">
        <v>1862</v>
      </c>
      <c r="D888" s="2" t="s">
        <v>1461</v>
      </c>
      <c r="E888" s="2">
        <v>53</v>
      </c>
      <c r="F888" t="str">
        <f t="shared" si="13"/>
        <v>Middle Age</v>
      </c>
      <c r="G888" s="2" t="s">
        <v>14</v>
      </c>
      <c r="H888" s="2" t="s">
        <v>52</v>
      </c>
      <c r="I888" s="2" t="s">
        <v>34</v>
      </c>
      <c r="J888" s="2" t="s">
        <v>26</v>
      </c>
      <c r="K888" s="11">
        <v>45380</v>
      </c>
      <c r="L888" s="11">
        <v>45405</v>
      </c>
      <c r="M888" s="2">
        <v>5000</v>
      </c>
      <c r="N888" s="2" t="s">
        <v>29</v>
      </c>
      <c r="O888" s="2" t="s">
        <v>38</v>
      </c>
    </row>
    <row r="889" spans="3:15">
      <c r="C889" s="2" t="s">
        <v>1863</v>
      </c>
      <c r="D889" s="2" t="s">
        <v>214</v>
      </c>
      <c r="E889" s="3">
        <v>11</v>
      </c>
      <c r="F889" t="str">
        <f t="shared" si="13"/>
        <v>Child</v>
      </c>
      <c r="G889" s="3" t="s">
        <v>32</v>
      </c>
      <c r="H889" s="2" t="s">
        <v>85</v>
      </c>
      <c r="I889" s="2" t="s">
        <v>42</v>
      </c>
      <c r="J889" s="2" t="s">
        <v>104</v>
      </c>
      <c r="K889" s="11">
        <v>45416</v>
      </c>
      <c r="L889" s="11">
        <v>45388</v>
      </c>
      <c r="M889" s="3">
        <v>20000</v>
      </c>
      <c r="N889" s="3" t="s">
        <v>37</v>
      </c>
      <c r="O889" s="3" t="s">
        <v>38</v>
      </c>
    </row>
    <row r="890" spans="3:15">
      <c r="C890" s="3" t="s">
        <v>1864</v>
      </c>
      <c r="D890" s="2" t="s">
        <v>887</v>
      </c>
      <c r="E890" s="2">
        <v>54</v>
      </c>
      <c r="F890" t="str">
        <f t="shared" si="13"/>
        <v>Middle Age</v>
      </c>
      <c r="G890" s="2" t="s">
        <v>14</v>
      </c>
      <c r="H890" s="2" t="s">
        <v>70</v>
      </c>
      <c r="I890" s="2" t="s">
        <v>127</v>
      </c>
      <c r="J890" s="2" t="s">
        <v>99</v>
      </c>
      <c r="K890" s="11">
        <v>45558</v>
      </c>
      <c r="L890" s="11">
        <v>45575</v>
      </c>
      <c r="M890" s="2">
        <v>25000</v>
      </c>
      <c r="N890" s="2" t="s">
        <v>29</v>
      </c>
      <c r="O890" s="2" t="s">
        <v>55</v>
      </c>
    </row>
    <row r="891" spans="3:15">
      <c r="C891" s="2" t="s">
        <v>1867</v>
      </c>
      <c r="D891" s="2" t="s">
        <v>845</v>
      </c>
      <c r="E891" s="3">
        <v>33</v>
      </c>
      <c r="F891" t="str">
        <f t="shared" si="13"/>
        <v>Young Adult</v>
      </c>
      <c r="G891" s="3" t="s">
        <v>32</v>
      </c>
      <c r="H891" s="2" t="s">
        <v>109</v>
      </c>
      <c r="I891" s="2" t="s">
        <v>25</v>
      </c>
      <c r="J891" s="2" t="s">
        <v>48</v>
      </c>
      <c r="K891" s="11">
        <v>45294</v>
      </c>
      <c r="L891" s="11">
        <v>45358</v>
      </c>
      <c r="M891" s="3">
        <v>12000</v>
      </c>
      <c r="N891" s="3" t="s">
        <v>37</v>
      </c>
      <c r="O891" s="3" t="s">
        <v>55</v>
      </c>
    </row>
    <row r="892" spans="3:15">
      <c r="C892" s="3" t="s">
        <v>1869</v>
      </c>
      <c r="D892" s="2" t="s">
        <v>1774</v>
      </c>
      <c r="E892" s="2">
        <v>78</v>
      </c>
      <c r="F892" t="str">
        <f t="shared" si="13"/>
        <v>Senior</v>
      </c>
      <c r="G892" s="2" t="s">
        <v>32</v>
      </c>
      <c r="H892" s="2" t="s">
        <v>109</v>
      </c>
      <c r="I892" s="2" t="s">
        <v>76</v>
      </c>
      <c r="J892" s="2" t="s">
        <v>104</v>
      </c>
      <c r="K892" s="11">
        <v>45321</v>
      </c>
      <c r="L892" s="11">
        <v>45348</v>
      </c>
      <c r="M892" s="2">
        <v>20000</v>
      </c>
      <c r="N892" s="2" t="s">
        <v>67</v>
      </c>
      <c r="O892" s="2" t="s">
        <v>55</v>
      </c>
    </row>
    <row r="893" spans="3:15">
      <c r="C893" s="2" t="s">
        <v>1870</v>
      </c>
      <c r="D893" s="2" t="s">
        <v>40</v>
      </c>
      <c r="E893" s="3">
        <v>42</v>
      </c>
      <c r="F893" t="str">
        <f t="shared" si="13"/>
        <v>Middle Age</v>
      </c>
      <c r="G893" s="3" t="s">
        <v>14</v>
      </c>
      <c r="H893" s="2" t="s">
        <v>15</v>
      </c>
      <c r="I893" s="2" t="s">
        <v>127</v>
      </c>
      <c r="J893" s="2" t="s">
        <v>17</v>
      </c>
      <c r="K893" s="11">
        <v>45575</v>
      </c>
      <c r="L893" s="11">
        <v>45601</v>
      </c>
      <c r="M893" s="3">
        <v>15000</v>
      </c>
      <c r="N893" s="3" t="s">
        <v>67</v>
      </c>
      <c r="O893" s="3" t="s">
        <v>55</v>
      </c>
    </row>
    <row r="894" spans="3:15">
      <c r="C894" s="3" t="s">
        <v>1871</v>
      </c>
      <c r="D894" s="2" t="s">
        <v>1478</v>
      </c>
      <c r="E894" s="2">
        <v>14</v>
      </c>
      <c r="F894" t="str">
        <f t="shared" si="13"/>
        <v>Child</v>
      </c>
      <c r="G894" s="2" t="s">
        <v>32</v>
      </c>
      <c r="H894" s="2" t="s">
        <v>33</v>
      </c>
      <c r="I894" s="2" t="s">
        <v>25</v>
      </c>
      <c r="J894" s="2" t="s">
        <v>35</v>
      </c>
      <c r="K894" s="11">
        <v>45326</v>
      </c>
      <c r="L894" s="11">
        <v>45404</v>
      </c>
      <c r="M894" s="2">
        <v>0</v>
      </c>
      <c r="N894" s="2" t="s">
        <v>29</v>
      </c>
      <c r="O894" s="2" t="s">
        <v>21</v>
      </c>
    </row>
    <row r="895" spans="3:15">
      <c r="C895" s="2" t="s">
        <v>1872</v>
      </c>
      <c r="D895" s="2" t="s">
        <v>704</v>
      </c>
      <c r="E895" s="3">
        <v>34</v>
      </c>
      <c r="F895" t="str">
        <f t="shared" si="13"/>
        <v>Young Adult</v>
      </c>
      <c r="G895" s="3" t="s">
        <v>32</v>
      </c>
      <c r="H895" s="2" t="s">
        <v>58</v>
      </c>
      <c r="I895" s="2" t="s">
        <v>132</v>
      </c>
      <c r="J895" s="2" t="s">
        <v>48</v>
      </c>
      <c r="K895" s="11">
        <v>45443</v>
      </c>
      <c r="L895" s="11">
        <v>45460</v>
      </c>
      <c r="M895" s="3">
        <v>5000</v>
      </c>
      <c r="N895" s="3" t="s">
        <v>67</v>
      </c>
      <c r="O895" s="3" t="s">
        <v>87</v>
      </c>
    </row>
    <row r="896" spans="3:15">
      <c r="C896" s="3" t="s">
        <v>1873</v>
      </c>
      <c r="D896" s="2" t="s">
        <v>1868</v>
      </c>
      <c r="E896" s="2">
        <v>62</v>
      </c>
      <c r="F896" t="str">
        <f t="shared" si="13"/>
        <v>Senior</v>
      </c>
      <c r="G896" s="2" t="s">
        <v>14</v>
      </c>
      <c r="H896" s="2" t="s">
        <v>109</v>
      </c>
      <c r="I896" s="2" t="s">
        <v>25</v>
      </c>
      <c r="J896" s="2" t="s">
        <v>26</v>
      </c>
      <c r="K896" s="11">
        <v>45341</v>
      </c>
      <c r="L896" s="11">
        <v>45362</v>
      </c>
      <c r="M896" s="2">
        <v>20000</v>
      </c>
      <c r="N896" s="2" t="s">
        <v>29</v>
      </c>
      <c r="O896" s="2" t="s">
        <v>87</v>
      </c>
    </row>
    <row r="897" spans="3:15">
      <c r="C897" s="2" t="s">
        <v>1875</v>
      </c>
      <c r="D897" s="2" t="s">
        <v>1603</v>
      </c>
      <c r="E897" s="3">
        <v>53</v>
      </c>
      <c r="F897" t="str">
        <f t="shared" si="13"/>
        <v>Middle Age</v>
      </c>
      <c r="G897" s="3" t="s">
        <v>14</v>
      </c>
      <c r="H897" s="2" t="s">
        <v>70</v>
      </c>
      <c r="I897" s="2" t="s">
        <v>16</v>
      </c>
      <c r="J897" s="2" t="s">
        <v>17</v>
      </c>
      <c r="K897" s="11">
        <v>45518</v>
      </c>
      <c r="L897" s="11">
        <v>45535</v>
      </c>
      <c r="M897" s="3">
        <v>5000</v>
      </c>
      <c r="N897" s="3" t="s">
        <v>37</v>
      </c>
      <c r="O897" s="3" t="s">
        <v>775</v>
      </c>
    </row>
    <row r="898" spans="3:15">
      <c r="C898" s="3" t="s">
        <v>1876</v>
      </c>
      <c r="D898" s="2" t="s">
        <v>783</v>
      </c>
      <c r="E898" s="2">
        <v>69</v>
      </c>
      <c r="F898" t="str">
        <f t="shared" si="13"/>
        <v>Senior</v>
      </c>
      <c r="G898" s="2" t="s">
        <v>14</v>
      </c>
      <c r="H898" s="2" t="s">
        <v>85</v>
      </c>
      <c r="I898" s="2" t="s">
        <v>76</v>
      </c>
      <c r="J898" s="2" t="s">
        <v>26</v>
      </c>
      <c r="K898" s="11">
        <v>45507</v>
      </c>
      <c r="L898" s="11">
        <v>45376</v>
      </c>
      <c r="M898" s="2">
        <v>20000</v>
      </c>
      <c r="N898" s="2" t="s">
        <v>67</v>
      </c>
      <c r="O898" s="2" t="s">
        <v>87</v>
      </c>
    </row>
    <row r="899" spans="3:15">
      <c r="C899" s="2" t="s">
        <v>1877</v>
      </c>
      <c r="D899" s="2" t="s">
        <v>902</v>
      </c>
      <c r="E899" s="3" t="s">
        <v>775</v>
      </c>
      <c r="F899" t="str">
        <f t="shared" si="13"/>
        <v>Unknown</v>
      </c>
      <c r="G899" s="3" t="s">
        <v>32</v>
      </c>
      <c r="H899" s="2" t="s">
        <v>109</v>
      </c>
      <c r="I899" s="2" t="s">
        <v>127</v>
      </c>
      <c r="J899" s="2" t="s">
        <v>35</v>
      </c>
      <c r="K899" s="11">
        <v>45443</v>
      </c>
      <c r="L899" s="11">
        <v>45473</v>
      </c>
      <c r="M899" s="3">
        <v>0</v>
      </c>
      <c r="N899" s="3" t="s">
        <v>29</v>
      </c>
      <c r="O899" s="3" t="s">
        <v>21</v>
      </c>
    </row>
    <row r="900" spans="3:15">
      <c r="C900" s="3" t="s">
        <v>1878</v>
      </c>
      <c r="D900" s="2" t="s">
        <v>1153</v>
      </c>
      <c r="E900" s="2">
        <v>35</v>
      </c>
      <c r="F900" t="str">
        <f t="shared" si="13"/>
        <v>Young Adult</v>
      </c>
      <c r="G900" s="2" t="s">
        <v>14</v>
      </c>
      <c r="H900" s="2" t="s">
        <v>15</v>
      </c>
      <c r="I900" s="2" t="s">
        <v>76</v>
      </c>
      <c r="J900" s="2" t="s">
        <v>53</v>
      </c>
      <c r="K900" s="11">
        <v>45445</v>
      </c>
      <c r="L900" s="11">
        <v>45348</v>
      </c>
      <c r="M900" s="2">
        <v>25000</v>
      </c>
      <c r="N900" s="2" t="s">
        <v>29</v>
      </c>
      <c r="O900" s="2" t="s">
        <v>55</v>
      </c>
    </row>
    <row r="901" spans="3:15">
      <c r="C901" s="2" t="s">
        <v>1879</v>
      </c>
      <c r="D901" s="2" t="s">
        <v>1874</v>
      </c>
      <c r="E901" s="3">
        <v>6</v>
      </c>
      <c r="F901" t="str">
        <f t="shared" si="13"/>
        <v>Child</v>
      </c>
      <c r="G901" s="3" t="s">
        <v>32</v>
      </c>
      <c r="H901" s="2" t="s">
        <v>70</v>
      </c>
      <c r="I901" s="2" t="s">
        <v>127</v>
      </c>
      <c r="J901" s="2" t="s">
        <v>17</v>
      </c>
      <c r="K901" s="11">
        <v>45307</v>
      </c>
      <c r="L901" s="11">
        <v>45309</v>
      </c>
      <c r="M901" s="3">
        <v>20000</v>
      </c>
      <c r="N901" s="3" t="s">
        <v>67</v>
      </c>
      <c r="O901" s="3" t="s">
        <v>87</v>
      </c>
    </row>
    <row r="902" spans="3:15">
      <c r="C902" s="3" t="s">
        <v>1881</v>
      </c>
      <c r="D902" s="2" t="s">
        <v>1236</v>
      </c>
      <c r="E902" s="2">
        <v>27</v>
      </c>
      <c r="F902" t="str">
        <f t="shared" si="13"/>
        <v>Young Adult</v>
      </c>
      <c r="G902" s="2" t="s">
        <v>32</v>
      </c>
      <c r="H902" s="2" t="s">
        <v>15</v>
      </c>
      <c r="I902" s="2" t="s">
        <v>34</v>
      </c>
      <c r="J902" s="2" t="s">
        <v>53</v>
      </c>
      <c r="K902" s="11">
        <v>45389</v>
      </c>
      <c r="L902" s="11">
        <v>45501</v>
      </c>
      <c r="M902" s="2">
        <v>15000</v>
      </c>
      <c r="N902" s="2" t="s">
        <v>67</v>
      </c>
      <c r="O902" s="2" t="s">
        <v>38</v>
      </c>
    </row>
    <row r="903" spans="3:15">
      <c r="C903" s="2" t="s">
        <v>1882</v>
      </c>
      <c r="D903" s="2" t="s">
        <v>1026</v>
      </c>
      <c r="E903" s="3">
        <v>62</v>
      </c>
      <c r="F903" t="str">
        <f t="shared" si="13"/>
        <v>Senior</v>
      </c>
      <c r="G903" s="3" t="s">
        <v>32</v>
      </c>
      <c r="H903" s="2" t="s">
        <v>70</v>
      </c>
      <c r="I903" s="2" t="s">
        <v>34</v>
      </c>
      <c r="J903" s="2" t="s">
        <v>35</v>
      </c>
      <c r="K903" s="11">
        <v>45535</v>
      </c>
      <c r="L903" s="11">
        <v>45549</v>
      </c>
      <c r="M903" s="3">
        <v>75000</v>
      </c>
      <c r="N903" s="3" t="s">
        <v>37</v>
      </c>
      <c r="O903" s="3" t="s">
        <v>775</v>
      </c>
    </row>
    <row r="904" spans="3:15">
      <c r="C904" s="2" t="s">
        <v>1883</v>
      </c>
      <c r="D904" s="2" t="s">
        <v>1486</v>
      </c>
      <c r="E904" s="2">
        <v>25</v>
      </c>
      <c r="F904" t="str">
        <f t="shared" si="13"/>
        <v>Young Adult</v>
      </c>
      <c r="G904" s="2" t="s">
        <v>14</v>
      </c>
      <c r="H904" s="2" t="s">
        <v>15</v>
      </c>
      <c r="I904" s="2" t="s">
        <v>76</v>
      </c>
      <c r="J904" s="2" t="s">
        <v>99</v>
      </c>
      <c r="K904" s="11">
        <v>45514</v>
      </c>
      <c r="L904" s="11">
        <v>45598</v>
      </c>
      <c r="M904" s="2">
        <v>25000</v>
      </c>
      <c r="N904" s="2" t="s">
        <v>37</v>
      </c>
      <c r="O904" s="2" t="s">
        <v>38</v>
      </c>
    </row>
    <row r="905" spans="3:15">
      <c r="C905" s="3" t="s">
        <v>1885</v>
      </c>
      <c r="D905" s="2" t="s">
        <v>963</v>
      </c>
      <c r="E905" s="3">
        <v>83</v>
      </c>
      <c r="F905" t="str">
        <f t="shared" si="13"/>
        <v>Senior</v>
      </c>
      <c r="G905" s="3" t="s">
        <v>14</v>
      </c>
      <c r="H905" s="2" t="s">
        <v>33</v>
      </c>
      <c r="I905" s="2" t="s">
        <v>34</v>
      </c>
      <c r="J905" s="2" t="s">
        <v>17</v>
      </c>
      <c r="K905" s="11">
        <v>45551</v>
      </c>
      <c r="L905" s="11">
        <v>45552</v>
      </c>
      <c r="M905" s="3">
        <v>15000</v>
      </c>
      <c r="N905" s="3" t="s">
        <v>29</v>
      </c>
      <c r="O905" s="3" t="s">
        <v>87</v>
      </c>
    </row>
    <row r="906" spans="3:15">
      <c r="C906" s="2" t="s">
        <v>1887</v>
      </c>
      <c r="D906" s="2" t="s">
        <v>1880</v>
      </c>
      <c r="E906" s="2">
        <v>80</v>
      </c>
      <c r="F906" t="str">
        <f t="shared" ref="F906:F969" si="14">IF(E906="Unknown","Unknown",IF(E906&lt;18,"Child",IF(E906&lt;40,"Young Adult",IF(E906&lt;60,"Middle Age","Senior"))))</f>
        <v>Senior</v>
      </c>
      <c r="G906" s="2" t="s">
        <v>14</v>
      </c>
      <c r="H906" s="2" t="s">
        <v>15</v>
      </c>
      <c r="I906" s="2" t="s">
        <v>34</v>
      </c>
      <c r="J906" s="2" t="s">
        <v>26</v>
      </c>
      <c r="K906" s="11">
        <v>45326</v>
      </c>
      <c r="L906" s="11">
        <v>45409</v>
      </c>
      <c r="M906" s="2">
        <v>25000</v>
      </c>
      <c r="N906" s="2" t="s">
        <v>37</v>
      </c>
      <c r="O906" s="2" t="s">
        <v>21</v>
      </c>
    </row>
    <row r="907" spans="3:15">
      <c r="C907" s="3" t="s">
        <v>1888</v>
      </c>
      <c r="D907" s="2" t="s">
        <v>234</v>
      </c>
      <c r="E907" s="3">
        <v>75</v>
      </c>
      <c r="F907" t="str">
        <f t="shared" si="14"/>
        <v>Senior</v>
      </c>
      <c r="G907" s="3" t="s">
        <v>338</v>
      </c>
      <c r="H907" s="2" t="s">
        <v>58</v>
      </c>
      <c r="I907" s="2" t="s">
        <v>76</v>
      </c>
      <c r="J907" s="2" t="s">
        <v>99</v>
      </c>
      <c r="K907" s="11">
        <v>45420</v>
      </c>
      <c r="L907" s="11">
        <v>45530</v>
      </c>
      <c r="M907" s="3">
        <v>8000</v>
      </c>
      <c r="N907" s="3" t="s">
        <v>37</v>
      </c>
      <c r="O907" s="3" t="s">
        <v>38</v>
      </c>
    </row>
    <row r="908" spans="3:15">
      <c r="C908" s="2" t="s">
        <v>1889</v>
      </c>
      <c r="D908" s="2" t="s">
        <v>1108</v>
      </c>
      <c r="E908" s="2">
        <v>76</v>
      </c>
      <c r="F908" t="str">
        <f t="shared" si="14"/>
        <v>Senior</v>
      </c>
      <c r="G908" s="2" t="s">
        <v>32</v>
      </c>
      <c r="H908" s="2" t="s">
        <v>58</v>
      </c>
      <c r="I908" s="2" t="s">
        <v>25</v>
      </c>
      <c r="J908" s="2" t="s">
        <v>99</v>
      </c>
      <c r="K908" s="11">
        <v>45508</v>
      </c>
      <c r="L908" s="11">
        <v>45419</v>
      </c>
      <c r="M908" s="2">
        <v>15000</v>
      </c>
      <c r="N908" s="4" t="s">
        <v>20</v>
      </c>
      <c r="O908" s="2" t="s">
        <v>87</v>
      </c>
    </row>
    <row r="909" spans="3:15">
      <c r="C909" s="3" t="s">
        <v>1890</v>
      </c>
      <c r="D909" s="2" t="s">
        <v>1884</v>
      </c>
      <c r="E909" s="2">
        <v>61</v>
      </c>
      <c r="F909" t="str">
        <f t="shared" si="14"/>
        <v>Senior</v>
      </c>
      <c r="G909" s="2" t="s">
        <v>14</v>
      </c>
      <c r="H909" s="2" t="s">
        <v>85</v>
      </c>
      <c r="I909" s="2" t="s">
        <v>127</v>
      </c>
      <c r="J909" s="2" t="s">
        <v>53</v>
      </c>
      <c r="K909" s="11">
        <v>45630</v>
      </c>
      <c r="L909" s="11">
        <v>45410</v>
      </c>
      <c r="M909" s="2">
        <v>15000</v>
      </c>
      <c r="N909" s="2" t="s">
        <v>37</v>
      </c>
      <c r="O909" s="2" t="s">
        <v>87</v>
      </c>
    </row>
    <row r="910" spans="3:15">
      <c r="C910" s="2" t="s">
        <v>1892</v>
      </c>
      <c r="D910" s="2" t="s">
        <v>2050</v>
      </c>
      <c r="E910" s="3">
        <v>60</v>
      </c>
      <c r="F910" t="str">
        <f t="shared" si="14"/>
        <v>Senior</v>
      </c>
      <c r="G910" s="3" t="s">
        <v>287</v>
      </c>
      <c r="H910" s="2" t="s">
        <v>70</v>
      </c>
      <c r="I910" s="2" t="s">
        <v>42</v>
      </c>
      <c r="J910" s="2" t="s">
        <v>99</v>
      </c>
      <c r="K910" s="11">
        <v>45544</v>
      </c>
      <c r="L910" s="11">
        <v>45574</v>
      </c>
      <c r="M910" s="3">
        <v>35000</v>
      </c>
      <c r="N910" s="3" t="s">
        <v>29</v>
      </c>
      <c r="O910" s="3" t="s">
        <v>55</v>
      </c>
    </row>
    <row r="911" spans="3:15">
      <c r="C911" s="3" t="s">
        <v>1893</v>
      </c>
      <c r="D911" s="2" t="s">
        <v>121</v>
      </c>
      <c r="E911" s="2">
        <v>82</v>
      </c>
      <c r="F911" t="str">
        <f t="shared" si="14"/>
        <v>Senior</v>
      </c>
      <c r="G911" s="2" t="s">
        <v>32</v>
      </c>
      <c r="H911" s="2" t="s">
        <v>109</v>
      </c>
      <c r="I911" s="2" t="s">
        <v>16</v>
      </c>
      <c r="J911" s="2" t="s">
        <v>104</v>
      </c>
      <c r="K911" s="11">
        <v>45293</v>
      </c>
      <c r="L911" s="11">
        <v>45342</v>
      </c>
      <c r="M911" s="2">
        <v>8000</v>
      </c>
      <c r="N911" s="2" t="s">
        <v>20</v>
      </c>
      <c r="O911" s="2" t="s">
        <v>87</v>
      </c>
    </row>
    <row r="912" spans="3:15">
      <c r="C912" s="2" t="s">
        <v>1894</v>
      </c>
      <c r="D912" s="2" t="s">
        <v>380</v>
      </c>
      <c r="E912" s="3">
        <v>44</v>
      </c>
      <c r="F912" t="str">
        <f t="shared" si="14"/>
        <v>Middle Age</v>
      </c>
      <c r="G912" s="3" t="s">
        <v>32</v>
      </c>
      <c r="H912" s="2" t="s">
        <v>85</v>
      </c>
      <c r="I912" s="2" t="s">
        <v>42</v>
      </c>
      <c r="J912" s="2" t="s">
        <v>35</v>
      </c>
      <c r="K912" s="11">
        <v>45308</v>
      </c>
      <c r="L912" s="11">
        <v>45316</v>
      </c>
      <c r="M912" s="3">
        <v>15000</v>
      </c>
      <c r="N912" s="3" t="s">
        <v>37</v>
      </c>
      <c r="O912" s="3" t="s">
        <v>55</v>
      </c>
    </row>
    <row r="913" spans="3:15">
      <c r="C913" s="3" t="s">
        <v>1895</v>
      </c>
      <c r="D913" s="2" t="s">
        <v>932</v>
      </c>
      <c r="E913" s="2">
        <v>57</v>
      </c>
      <c r="F913" t="str">
        <f t="shared" si="14"/>
        <v>Middle Age</v>
      </c>
      <c r="G913" s="2" t="s">
        <v>14</v>
      </c>
      <c r="H913" s="2" t="s">
        <v>775</v>
      </c>
      <c r="I913" s="2" t="s">
        <v>132</v>
      </c>
      <c r="J913" s="2" t="s">
        <v>99</v>
      </c>
      <c r="K913" s="11">
        <v>45486</v>
      </c>
      <c r="L913" s="11">
        <v>45494</v>
      </c>
      <c r="M913" s="2">
        <v>20000</v>
      </c>
      <c r="N913" s="2" t="s">
        <v>20</v>
      </c>
      <c r="O913" s="2" t="s">
        <v>21</v>
      </c>
    </row>
    <row r="914" spans="3:15">
      <c r="C914" s="2" t="s">
        <v>1896</v>
      </c>
      <c r="D914" s="2" t="s">
        <v>1891</v>
      </c>
      <c r="E914" s="3">
        <v>56</v>
      </c>
      <c r="F914" t="str">
        <f t="shared" si="14"/>
        <v>Middle Age</v>
      </c>
      <c r="G914" s="3" t="s">
        <v>32</v>
      </c>
      <c r="H914" s="2" t="s">
        <v>58</v>
      </c>
      <c r="I914" s="2" t="s">
        <v>16</v>
      </c>
      <c r="J914" s="2" t="s">
        <v>99</v>
      </c>
      <c r="K914" s="11">
        <v>45571</v>
      </c>
      <c r="L914" s="11">
        <v>45482</v>
      </c>
      <c r="M914" s="3">
        <v>25000</v>
      </c>
      <c r="N914" s="3" t="s">
        <v>29</v>
      </c>
      <c r="O914" s="3" t="s">
        <v>21</v>
      </c>
    </row>
    <row r="915" spans="3:15">
      <c r="C915" s="3" t="s">
        <v>1898</v>
      </c>
      <c r="D915" s="2" t="s">
        <v>1543</v>
      </c>
      <c r="E915" s="2">
        <v>81</v>
      </c>
      <c r="F915" t="str">
        <f t="shared" si="14"/>
        <v>Senior</v>
      </c>
      <c r="G915" s="2" t="s">
        <v>32</v>
      </c>
      <c r="H915" s="2" t="s">
        <v>58</v>
      </c>
      <c r="I915" s="2" t="s">
        <v>16</v>
      </c>
      <c r="J915" s="2" t="s">
        <v>99</v>
      </c>
      <c r="K915" s="11">
        <v>45400</v>
      </c>
      <c r="L915" s="11">
        <v>45421</v>
      </c>
      <c r="M915" s="2">
        <v>12000</v>
      </c>
      <c r="N915" s="2" t="s">
        <v>37</v>
      </c>
      <c r="O915" s="2" t="s">
        <v>55</v>
      </c>
    </row>
    <row r="916" spans="3:15">
      <c r="C916" s="2" t="s">
        <v>1900</v>
      </c>
      <c r="D916" s="2" t="s">
        <v>661</v>
      </c>
      <c r="E916" s="3">
        <v>44</v>
      </c>
      <c r="F916" t="str">
        <f t="shared" si="14"/>
        <v>Middle Age</v>
      </c>
      <c r="G916" s="3" t="s">
        <v>32</v>
      </c>
      <c r="H916" s="2" t="s">
        <v>52</v>
      </c>
      <c r="I916" s="2" t="s">
        <v>132</v>
      </c>
      <c r="J916" s="2" t="s">
        <v>99</v>
      </c>
      <c r="K916" s="11">
        <v>45347</v>
      </c>
      <c r="L916" s="11">
        <v>45349</v>
      </c>
      <c r="M916" s="3">
        <v>100000</v>
      </c>
      <c r="N916" s="3" t="s">
        <v>67</v>
      </c>
      <c r="O916" s="3" t="s">
        <v>21</v>
      </c>
    </row>
    <row r="917" spans="3:15">
      <c r="C917" s="2" t="s">
        <v>1901</v>
      </c>
      <c r="D917" s="2" t="s">
        <v>1874</v>
      </c>
      <c r="E917" s="2">
        <v>85</v>
      </c>
      <c r="F917" t="str">
        <f t="shared" si="14"/>
        <v>Senior</v>
      </c>
      <c r="G917" s="2" t="s">
        <v>32</v>
      </c>
      <c r="H917" s="2" t="s">
        <v>85</v>
      </c>
      <c r="I917" s="2" t="s">
        <v>16</v>
      </c>
      <c r="J917" s="2" t="s">
        <v>48</v>
      </c>
      <c r="K917" s="11">
        <v>45374</v>
      </c>
      <c r="L917" s="11">
        <v>45389</v>
      </c>
      <c r="M917" s="2">
        <v>75000</v>
      </c>
      <c r="N917" s="2" t="s">
        <v>67</v>
      </c>
      <c r="O917" s="2" t="s">
        <v>55</v>
      </c>
    </row>
    <row r="918" spans="3:15">
      <c r="C918" s="3" t="s">
        <v>1902</v>
      </c>
      <c r="D918" s="2" t="s">
        <v>630</v>
      </c>
      <c r="E918" s="3">
        <v>45</v>
      </c>
      <c r="F918" t="str">
        <f t="shared" si="14"/>
        <v>Middle Age</v>
      </c>
      <c r="G918" s="3" t="s">
        <v>32</v>
      </c>
      <c r="H918" s="2" t="s">
        <v>58</v>
      </c>
      <c r="I918" s="2" t="s">
        <v>42</v>
      </c>
      <c r="J918" s="2" t="s">
        <v>35</v>
      </c>
      <c r="K918" s="11">
        <v>45366</v>
      </c>
      <c r="L918" s="11">
        <v>45392</v>
      </c>
      <c r="M918" s="3">
        <v>50000</v>
      </c>
      <c r="N918" s="3" t="s">
        <v>37</v>
      </c>
      <c r="O918" s="3" t="s">
        <v>21</v>
      </c>
    </row>
    <row r="919" spans="3:15">
      <c r="C919" s="2" t="s">
        <v>1903</v>
      </c>
      <c r="D919" s="2" t="s">
        <v>1897</v>
      </c>
      <c r="E919" s="2">
        <v>4</v>
      </c>
      <c r="F919" t="str">
        <f t="shared" si="14"/>
        <v>Child</v>
      </c>
      <c r="G919" s="2" t="s">
        <v>14</v>
      </c>
      <c r="H919" s="2" t="s">
        <v>52</v>
      </c>
      <c r="I919" s="2" t="s">
        <v>76</v>
      </c>
      <c r="J919" s="2" t="s">
        <v>35</v>
      </c>
      <c r="K919" s="11">
        <v>45471</v>
      </c>
      <c r="L919" s="11">
        <v>45493</v>
      </c>
      <c r="M919" s="2">
        <v>50000</v>
      </c>
      <c r="N919" s="2" t="s">
        <v>29</v>
      </c>
      <c r="O919" s="2" t="s">
        <v>21</v>
      </c>
    </row>
    <row r="920" spans="3:15">
      <c r="C920" s="3" t="s">
        <v>1904</v>
      </c>
      <c r="D920" s="2" t="s">
        <v>1899</v>
      </c>
      <c r="E920" s="3">
        <v>18</v>
      </c>
      <c r="F920" t="str">
        <f t="shared" si="14"/>
        <v>Young Adult</v>
      </c>
      <c r="G920" s="3" t="s">
        <v>32</v>
      </c>
      <c r="H920" s="2" t="s">
        <v>70</v>
      </c>
      <c r="I920" s="2" t="s">
        <v>16</v>
      </c>
      <c r="J920" s="2" t="s">
        <v>26</v>
      </c>
      <c r="K920" s="11">
        <v>45558</v>
      </c>
      <c r="L920" s="11">
        <v>45575</v>
      </c>
      <c r="M920" s="3">
        <v>8000</v>
      </c>
      <c r="N920" s="3" t="s">
        <v>29</v>
      </c>
      <c r="O920" s="3" t="s">
        <v>38</v>
      </c>
    </row>
    <row r="921" spans="3:15">
      <c r="C921" s="2" t="s">
        <v>1905</v>
      </c>
      <c r="D921" s="2" t="s">
        <v>1505</v>
      </c>
      <c r="E921" s="2">
        <v>55</v>
      </c>
      <c r="F921" t="str">
        <f t="shared" si="14"/>
        <v>Middle Age</v>
      </c>
      <c r="G921" s="2" t="s">
        <v>14</v>
      </c>
      <c r="H921" s="2" t="s">
        <v>109</v>
      </c>
      <c r="I921" s="2" t="s">
        <v>132</v>
      </c>
      <c r="J921" s="2" t="s">
        <v>104</v>
      </c>
      <c r="K921" s="11">
        <v>45392</v>
      </c>
      <c r="L921" s="11">
        <v>45576</v>
      </c>
      <c r="M921" s="2">
        <v>12000</v>
      </c>
      <c r="N921" s="2" t="s">
        <v>37</v>
      </c>
      <c r="O921" s="2" t="s">
        <v>87</v>
      </c>
    </row>
    <row r="922" spans="3:15">
      <c r="C922" s="3" t="s">
        <v>1907</v>
      </c>
      <c r="D922" s="2" t="s">
        <v>1712</v>
      </c>
      <c r="E922" s="2">
        <v>26</v>
      </c>
      <c r="F922" t="str">
        <f t="shared" si="14"/>
        <v>Young Adult</v>
      </c>
      <c r="G922" s="2" t="s">
        <v>14</v>
      </c>
      <c r="H922" s="2" t="s">
        <v>52</v>
      </c>
      <c r="I922" s="2" t="s">
        <v>42</v>
      </c>
      <c r="J922" s="2" t="s">
        <v>53</v>
      </c>
      <c r="K922" s="11">
        <v>45575</v>
      </c>
      <c r="L922" s="11">
        <v>45578</v>
      </c>
      <c r="M922" s="2">
        <v>50000</v>
      </c>
      <c r="N922" s="2" t="s">
        <v>20</v>
      </c>
      <c r="O922" s="2" t="s">
        <v>21</v>
      </c>
    </row>
    <row r="923" spans="3:15">
      <c r="C923" s="2" t="s">
        <v>1909</v>
      </c>
      <c r="D923" s="2" t="s">
        <v>1283</v>
      </c>
      <c r="E923" s="3">
        <v>45</v>
      </c>
      <c r="F923" t="str">
        <f t="shared" si="14"/>
        <v>Middle Age</v>
      </c>
      <c r="G923" s="3" t="s">
        <v>32</v>
      </c>
      <c r="H923" s="2" t="s">
        <v>52</v>
      </c>
      <c r="I923" s="2" t="s">
        <v>76</v>
      </c>
      <c r="J923" s="2" t="s">
        <v>48</v>
      </c>
      <c r="K923" s="11">
        <v>45442</v>
      </c>
      <c r="L923" s="11">
        <v>45466</v>
      </c>
      <c r="M923" s="3">
        <v>8000</v>
      </c>
      <c r="N923" s="3" t="s">
        <v>67</v>
      </c>
      <c r="O923" s="3" t="s">
        <v>38</v>
      </c>
    </row>
    <row r="924" spans="3:15">
      <c r="C924" s="3" t="s">
        <v>1911</v>
      </c>
      <c r="D924" s="2" t="s">
        <v>1819</v>
      </c>
      <c r="E924" s="2">
        <v>49</v>
      </c>
      <c r="F924" t="str">
        <f t="shared" si="14"/>
        <v>Middle Age</v>
      </c>
      <c r="G924" s="2" t="s">
        <v>32</v>
      </c>
      <c r="H924" s="2" t="s">
        <v>58</v>
      </c>
      <c r="I924" s="2" t="s">
        <v>34</v>
      </c>
      <c r="J924" s="2" t="s">
        <v>104</v>
      </c>
      <c r="K924" s="11">
        <v>45358</v>
      </c>
      <c r="L924" s="11">
        <v>45482</v>
      </c>
      <c r="M924" s="2">
        <v>75000</v>
      </c>
      <c r="N924" s="2" t="s">
        <v>29</v>
      </c>
      <c r="O924" s="2" t="s">
        <v>21</v>
      </c>
    </row>
    <row r="925" spans="3:15">
      <c r="C925" s="2" t="s">
        <v>1912</v>
      </c>
      <c r="D925" s="2" t="s">
        <v>711</v>
      </c>
      <c r="E925" s="3">
        <v>89</v>
      </c>
      <c r="F925" t="str">
        <f t="shared" si="14"/>
        <v>Senior</v>
      </c>
      <c r="G925" s="3" t="s">
        <v>14</v>
      </c>
      <c r="H925" s="2" t="s">
        <v>85</v>
      </c>
      <c r="I925" s="2" t="s">
        <v>76</v>
      </c>
      <c r="J925" s="2" t="s">
        <v>99</v>
      </c>
      <c r="K925" s="11">
        <v>45323</v>
      </c>
      <c r="L925" s="11">
        <v>45313</v>
      </c>
      <c r="M925" s="3">
        <v>12000</v>
      </c>
      <c r="N925" s="3" t="s">
        <v>37</v>
      </c>
      <c r="O925" s="3" t="s">
        <v>21</v>
      </c>
    </row>
    <row r="926" spans="3:15">
      <c r="C926" s="3" t="s">
        <v>1913</v>
      </c>
      <c r="D926" s="2" t="s">
        <v>365</v>
      </c>
      <c r="E926" s="2">
        <v>57</v>
      </c>
      <c r="F926" t="str">
        <f t="shared" si="14"/>
        <v>Middle Age</v>
      </c>
      <c r="G926" s="2" t="s">
        <v>32</v>
      </c>
      <c r="H926" s="2" t="s">
        <v>33</v>
      </c>
      <c r="I926" s="2" t="s">
        <v>127</v>
      </c>
      <c r="J926" s="2" t="s">
        <v>2067</v>
      </c>
      <c r="K926" s="11">
        <v>45539</v>
      </c>
      <c r="L926" s="11">
        <v>45401</v>
      </c>
      <c r="M926" s="2">
        <v>75000</v>
      </c>
      <c r="N926" s="2" t="s">
        <v>67</v>
      </c>
      <c r="O926" s="2" t="s">
        <v>38</v>
      </c>
    </row>
    <row r="927" spans="3:15">
      <c r="C927" s="2" t="s">
        <v>1914</v>
      </c>
      <c r="D927" s="2" t="s">
        <v>801</v>
      </c>
      <c r="E927" s="3">
        <v>84</v>
      </c>
      <c r="F927" t="str">
        <f t="shared" si="14"/>
        <v>Senior</v>
      </c>
      <c r="G927" s="3" t="s">
        <v>32</v>
      </c>
      <c r="H927" s="2" t="s">
        <v>15</v>
      </c>
      <c r="I927" s="2" t="s">
        <v>127</v>
      </c>
      <c r="J927" s="2" t="s">
        <v>17</v>
      </c>
      <c r="K927" s="11">
        <v>45582</v>
      </c>
      <c r="L927" s="11">
        <v>45597</v>
      </c>
      <c r="M927" s="3">
        <v>15000</v>
      </c>
      <c r="N927" s="3" t="s">
        <v>20</v>
      </c>
      <c r="O927" s="3" t="s">
        <v>55</v>
      </c>
    </row>
    <row r="928" spans="3:15">
      <c r="C928" s="3" t="s">
        <v>1916</v>
      </c>
      <c r="D928" s="2" t="s">
        <v>2051</v>
      </c>
      <c r="E928" s="2">
        <v>82</v>
      </c>
      <c r="F928" t="str">
        <f t="shared" si="14"/>
        <v>Senior</v>
      </c>
      <c r="G928" s="2" t="s">
        <v>32</v>
      </c>
      <c r="H928" s="2" t="s">
        <v>58</v>
      </c>
      <c r="I928" s="2" t="s">
        <v>34</v>
      </c>
      <c r="J928" s="2" t="s">
        <v>17</v>
      </c>
      <c r="K928" s="11">
        <v>45527</v>
      </c>
      <c r="L928" s="11">
        <v>45555</v>
      </c>
      <c r="M928" s="2">
        <v>8000</v>
      </c>
      <c r="N928" s="2" t="s">
        <v>67</v>
      </c>
      <c r="O928" s="2" t="s">
        <v>21</v>
      </c>
    </row>
    <row r="929" spans="3:15">
      <c r="C929" s="2" t="s">
        <v>1919</v>
      </c>
      <c r="D929" s="2" t="s">
        <v>253</v>
      </c>
      <c r="E929" s="3">
        <v>65</v>
      </c>
      <c r="F929" t="str">
        <f t="shared" si="14"/>
        <v>Senior</v>
      </c>
      <c r="G929" s="3" t="s">
        <v>775</v>
      </c>
      <c r="H929" s="2" t="s">
        <v>85</v>
      </c>
      <c r="I929" s="2" t="s">
        <v>76</v>
      </c>
      <c r="J929" s="2" t="s">
        <v>53</v>
      </c>
      <c r="K929" s="11">
        <v>45514</v>
      </c>
      <c r="L929" s="11">
        <v>45585</v>
      </c>
      <c r="M929" s="3">
        <v>5000</v>
      </c>
      <c r="N929" s="3" t="s">
        <v>37</v>
      </c>
      <c r="O929" s="3" t="s">
        <v>55</v>
      </c>
    </row>
    <row r="930" spans="3:15">
      <c r="C930" s="3" t="s">
        <v>1921</v>
      </c>
      <c r="D930" s="2" t="s">
        <v>327</v>
      </c>
      <c r="E930" s="2">
        <v>57</v>
      </c>
      <c r="F930" t="str">
        <f t="shared" si="14"/>
        <v>Middle Age</v>
      </c>
      <c r="G930" s="2" t="s">
        <v>14</v>
      </c>
      <c r="H930" s="2" t="s">
        <v>58</v>
      </c>
      <c r="I930" s="2" t="s">
        <v>132</v>
      </c>
      <c r="J930" s="2" t="s">
        <v>35</v>
      </c>
      <c r="K930" s="11">
        <v>45346</v>
      </c>
      <c r="L930" s="11">
        <v>45357</v>
      </c>
      <c r="M930" s="2">
        <v>5000</v>
      </c>
      <c r="N930" s="2" t="s">
        <v>29</v>
      </c>
      <c r="O930" s="2" t="s">
        <v>38</v>
      </c>
    </row>
    <row r="931" spans="3:15">
      <c r="C931" s="2" t="s">
        <v>1922</v>
      </c>
      <c r="D931" s="2" t="s">
        <v>1091</v>
      </c>
      <c r="E931" s="3">
        <v>3</v>
      </c>
      <c r="F931" t="str">
        <f t="shared" si="14"/>
        <v>Child</v>
      </c>
      <c r="G931" s="3" t="s">
        <v>32</v>
      </c>
      <c r="H931" s="2" t="s">
        <v>15</v>
      </c>
      <c r="I931" s="2" t="s">
        <v>42</v>
      </c>
      <c r="J931" s="2" t="s">
        <v>104</v>
      </c>
      <c r="K931" s="11">
        <v>45589</v>
      </c>
      <c r="L931" s="11">
        <v>45610</v>
      </c>
      <c r="M931" s="3">
        <v>15000</v>
      </c>
      <c r="N931" s="3" t="s">
        <v>67</v>
      </c>
      <c r="O931" s="3" t="s">
        <v>87</v>
      </c>
    </row>
    <row r="932" spans="3:15">
      <c r="C932" s="3" t="s">
        <v>1924</v>
      </c>
      <c r="D932" s="2" t="s">
        <v>1297</v>
      </c>
      <c r="E932" s="2">
        <v>63</v>
      </c>
      <c r="F932" t="str">
        <f t="shared" si="14"/>
        <v>Senior</v>
      </c>
      <c r="G932" s="2" t="s">
        <v>14</v>
      </c>
      <c r="H932" s="2" t="s">
        <v>52</v>
      </c>
      <c r="I932" s="2" t="s">
        <v>34</v>
      </c>
      <c r="J932" s="2" t="s">
        <v>104</v>
      </c>
      <c r="K932" s="11">
        <v>45435</v>
      </c>
      <c r="L932" s="11">
        <v>45464</v>
      </c>
      <c r="M932" s="2">
        <v>75000</v>
      </c>
      <c r="N932" s="2" t="s">
        <v>67</v>
      </c>
      <c r="O932" s="2" t="s">
        <v>21</v>
      </c>
    </row>
    <row r="933" spans="3:15">
      <c r="C933" s="2" t="s">
        <v>1925</v>
      </c>
      <c r="D933" s="2" t="s">
        <v>1917</v>
      </c>
      <c r="E933" s="3">
        <v>5</v>
      </c>
      <c r="F933" t="str">
        <f t="shared" si="14"/>
        <v>Child</v>
      </c>
      <c r="G933" s="3" t="s">
        <v>32</v>
      </c>
      <c r="H933" s="2" t="s">
        <v>15</v>
      </c>
      <c r="I933" s="2" t="s">
        <v>25</v>
      </c>
      <c r="J933" s="2" t="s">
        <v>99</v>
      </c>
      <c r="K933" s="11">
        <v>45331</v>
      </c>
      <c r="L933" s="11">
        <v>45359</v>
      </c>
      <c r="M933" s="3">
        <v>25000</v>
      </c>
      <c r="N933" s="3" t="s">
        <v>20</v>
      </c>
      <c r="O933" s="3" t="s">
        <v>21</v>
      </c>
    </row>
    <row r="934" spans="3:15">
      <c r="C934" s="3" t="s">
        <v>1926</v>
      </c>
      <c r="D934" s="2" t="s">
        <v>1062</v>
      </c>
      <c r="E934" s="2">
        <v>47</v>
      </c>
      <c r="F934" t="str">
        <f t="shared" si="14"/>
        <v>Middle Age</v>
      </c>
      <c r="G934" s="2" t="s">
        <v>14</v>
      </c>
      <c r="H934" s="2" t="s">
        <v>15</v>
      </c>
      <c r="I934" s="2" t="s">
        <v>76</v>
      </c>
      <c r="J934" s="2" t="s">
        <v>26</v>
      </c>
      <c r="K934" s="11">
        <v>45421</v>
      </c>
      <c r="L934" s="11">
        <v>45425</v>
      </c>
      <c r="M934" s="2">
        <v>50000</v>
      </c>
      <c r="N934" s="2" t="s">
        <v>67</v>
      </c>
      <c r="O934" s="2" t="s">
        <v>87</v>
      </c>
    </row>
    <row r="935" spans="3:15">
      <c r="C935" s="2" t="s">
        <v>1927</v>
      </c>
      <c r="D935" s="2" t="s">
        <v>1240</v>
      </c>
      <c r="E935" s="3">
        <v>21</v>
      </c>
      <c r="F935" t="str">
        <f t="shared" si="14"/>
        <v>Young Adult</v>
      </c>
      <c r="G935" s="3" t="s">
        <v>14</v>
      </c>
      <c r="H935" s="2" t="s">
        <v>85</v>
      </c>
      <c r="I935" s="2" t="s">
        <v>42</v>
      </c>
      <c r="J935" s="2" t="s">
        <v>48</v>
      </c>
      <c r="K935" s="11">
        <v>45520</v>
      </c>
      <c r="L935" s="11">
        <v>45524</v>
      </c>
      <c r="M935" s="3">
        <v>12000</v>
      </c>
      <c r="N935" s="3" t="s">
        <v>67</v>
      </c>
      <c r="O935" s="3" t="s">
        <v>21</v>
      </c>
    </row>
    <row r="936" spans="3:15">
      <c r="C936" s="3" t="s">
        <v>1928</v>
      </c>
      <c r="D936" s="2" t="s">
        <v>1050</v>
      </c>
      <c r="E936" s="2">
        <v>5</v>
      </c>
      <c r="F936" t="str">
        <f t="shared" si="14"/>
        <v>Child</v>
      </c>
      <c r="G936" s="2" t="s">
        <v>14</v>
      </c>
      <c r="H936" s="2" t="s">
        <v>52</v>
      </c>
      <c r="I936" s="2" t="s">
        <v>42</v>
      </c>
      <c r="J936" s="2" t="s">
        <v>26</v>
      </c>
      <c r="K936" s="11">
        <v>45351</v>
      </c>
      <c r="L936" s="11">
        <v>45357</v>
      </c>
      <c r="M936" s="2">
        <v>20000</v>
      </c>
      <c r="N936" s="2" t="s">
        <v>37</v>
      </c>
      <c r="O936" s="2" t="s">
        <v>38</v>
      </c>
    </row>
    <row r="937" spans="3:15">
      <c r="C937" s="2" t="s">
        <v>1929</v>
      </c>
      <c r="D937" s="2" t="s">
        <v>1106</v>
      </c>
      <c r="E937" s="3">
        <v>41</v>
      </c>
      <c r="F937" t="str">
        <f t="shared" si="14"/>
        <v>Middle Age</v>
      </c>
      <c r="G937" s="3" t="s">
        <v>14</v>
      </c>
      <c r="H937" s="2" t="s">
        <v>58</v>
      </c>
      <c r="I937" s="2" t="s">
        <v>127</v>
      </c>
      <c r="J937" s="2" t="s">
        <v>99</v>
      </c>
      <c r="K937" s="11">
        <v>45335</v>
      </c>
      <c r="L937" s="11">
        <v>45347</v>
      </c>
      <c r="M937" s="3">
        <v>5000</v>
      </c>
      <c r="N937" s="3" t="s">
        <v>67</v>
      </c>
      <c r="O937" s="3" t="s">
        <v>21</v>
      </c>
    </row>
    <row r="938" spans="3:15">
      <c r="C938" s="3" t="s">
        <v>1930</v>
      </c>
      <c r="D938" s="2" t="s">
        <v>758</v>
      </c>
      <c r="E938" s="2">
        <v>61</v>
      </c>
      <c r="F938" t="str">
        <f t="shared" si="14"/>
        <v>Senior</v>
      </c>
      <c r="G938" s="2" t="s">
        <v>32</v>
      </c>
      <c r="H938" s="2" t="s">
        <v>85</v>
      </c>
      <c r="I938" s="2" t="s">
        <v>132</v>
      </c>
      <c r="J938" s="2" t="s">
        <v>35</v>
      </c>
      <c r="K938" s="11">
        <v>45513</v>
      </c>
      <c r="L938" s="11">
        <v>45555</v>
      </c>
      <c r="M938" s="2">
        <v>5000</v>
      </c>
      <c r="N938" s="2" t="s">
        <v>67</v>
      </c>
      <c r="O938" s="2" t="s">
        <v>21</v>
      </c>
    </row>
    <row r="939" spans="3:15">
      <c r="C939" s="2" t="s">
        <v>1931</v>
      </c>
      <c r="D939" s="2" t="s">
        <v>1439</v>
      </c>
      <c r="E939" s="3">
        <v>90</v>
      </c>
      <c r="F939" t="str">
        <f t="shared" si="14"/>
        <v>Senior</v>
      </c>
      <c r="G939" s="3" t="s">
        <v>32</v>
      </c>
      <c r="H939" s="2" t="s">
        <v>109</v>
      </c>
      <c r="I939" s="2" t="s">
        <v>127</v>
      </c>
      <c r="J939" s="2" t="s">
        <v>26</v>
      </c>
      <c r="K939" s="11">
        <v>45452</v>
      </c>
      <c r="L939" s="11">
        <v>45470</v>
      </c>
      <c r="M939" s="3">
        <v>8000</v>
      </c>
      <c r="N939" s="3" t="s">
        <v>29</v>
      </c>
      <c r="O939" s="3" t="s">
        <v>38</v>
      </c>
    </row>
    <row r="940" spans="3:15">
      <c r="C940" s="3" t="s">
        <v>1932</v>
      </c>
      <c r="D940" s="2" t="s">
        <v>866</v>
      </c>
      <c r="E940" s="2">
        <v>73</v>
      </c>
      <c r="F940" t="str">
        <f t="shared" si="14"/>
        <v>Senior</v>
      </c>
      <c r="G940" s="2" t="s">
        <v>32</v>
      </c>
      <c r="H940" s="2" t="s">
        <v>58</v>
      </c>
      <c r="I940" s="2" t="s">
        <v>25</v>
      </c>
      <c r="J940" s="2" t="s">
        <v>17</v>
      </c>
      <c r="K940" s="11">
        <v>45351</v>
      </c>
      <c r="L940" s="11">
        <v>45370</v>
      </c>
      <c r="M940" s="2">
        <v>5000</v>
      </c>
      <c r="N940" s="2" t="s">
        <v>20</v>
      </c>
      <c r="O940" s="2" t="s">
        <v>21</v>
      </c>
    </row>
    <row r="941" spans="3:15">
      <c r="C941" s="2" t="s">
        <v>1933</v>
      </c>
      <c r="D941" s="2" t="s">
        <v>341</v>
      </c>
      <c r="E941" s="3">
        <v>54</v>
      </c>
      <c r="F941" t="str">
        <f t="shared" si="14"/>
        <v>Middle Age</v>
      </c>
      <c r="G941" s="3" t="s">
        <v>32</v>
      </c>
      <c r="H941" s="2" t="s">
        <v>85</v>
      </c>
      <c r="I941" s="2" t="s">
        <v>132</v>
      </c>
      <c r="J941" s="2" t="s">
        <v>48</v>
      </c>
      <c r="K941" s="11">
        <v>45398</v>
      </c>
      <c r="L941" s="11">
        <v>45421</v>
      </c>
      <c r="M941" s="3">
        <v>8000</v>
      </c>
      <c r="N941" s="3" t="s">
        <v>20</v>
      </c>
      <c r="O941" s="3" t="s">
        <v>87</v>
      </c>
    </row>
    <row r="942" spans="3:15">
      <c r="C942" s="3" t="s">
        <v>1934</v>
      </c>
      <c r="D942" s="2" t="s">
        <v>791</v>
      </c>
      <c r="E942" s="2">
        <v>87</v>
      </c>
      <c r="F942" t="str">
        <f t="shared" si="14"/>
        <v>Senior</v>
      </c>
      <c r="G942" s="2" t="s">
        <v>32</v>
      </c>
      <c r="H942" s="2" t="s">
        <v>85</v>
      </c>
      <c r="I942" s="2" t="s">
        <v>42</v>
      </c>
      <c r="J942" s="2" t="s">
        <v>99</v>
      </c>
      <c r="K942" s="11">
        <v>45494</v>
      </c>
      <c r="L942" s="11">
        <v>45503</v>
      </c>
      <c r="M942" s="2">
        <v>20000</v>
      </c>
      <c r="N942" s="2" t="s">
        <v>29</v>
      </c>
      <c r="O942" s="2" t="s">
        <v>55</v>
      </c>
    </row>
    <row r="943" spans="3:15">
      <c r="C943" s="2" t="s">
        <v>1935</v>
      </c>
      <c r="D943" s="2" t="s">
        <v>549</v>
      </c>
      <c r="E943" s="3">
        <v>35</v>
      </c>
      <c r="F943" t="str">
        <f t="shared" si="14"/>
        <v>Young Adult</v>
      </c>
      <c r="G943" s="3" t="s">
        <v>32</v>
      </c>
      <c r="H943" s="2" t="s">
        <v>109</v>
      </c>
      <c r="I943" s="2" t="s">
        <v>34</v>
      </c>
      <c r="J943" s="2" t="s">
        <v>53</v>
      </c>
      <c r="K943" s="11">
        <v>45447</v>
      </c>
      <c r="L943" s="11">
        <v>45403</v>
      </c>
      <c r="M943" s="3">
        <v>12000</v>
      </c>
      <c r="N943" s="3" t="s">
        <v>29</v>
      </c>
      <c r="O943" s="3" t="s">
        <v>38</v>
      </c>
    </row>
    <row r="944" spans="3:15">
      <c r="C944" s="3" t="s">
        <v>1936</v>
      </c>
      <c r="D944" s="2" t="s">
        <v>706</v>
      </c>
      <c r="E944" s="2">
        <v>88</v>
      </c>
      <c r="F944" t="str">
        <f t="shared" si="14"/>
        <v>Senior</v>
      </c>
      <c r="G944" s="2" t="s">
        <v>14</v>
      </c>
      <c r="H944" s="2" t="s">
        <v>52</v>
      </c>
      <c r="I944" s="2" t="s">
        <v>76</v>
      </c>
      <c r="J944" s="2" t="s">
        <v>35</v>
      </c>
      <c r="K944" s="11">
        <v>45421</v>
      </c>
      <c r="L944" s="11">
        <v>45542</v>
      </c>
      <c r="M944" s="2">
        <v>100000</v>
      </c>
      <c r="N944" s="2" t="s">
        <v>67</v>
      </c>
      <c r="O944" s="2" t="s">
        <v>21</v>
      </c>
    </row>
    <row r="945" spans="3:15">
      <c r="C945" s="2" t="s">
        <v>1938</v>
      </c>
      <c r="D945" s="2" t="s">
        <v>1505</v>
      </c>
      <c r="E945" s="3">
        <v>11</v>
      </c>
      <c r="F945" t="str">
        <f t="shared" si="14"/>
        <v>Child</v>
      </c>
      <c r="G945" s="3" t="s">
        <v>32</v>
      </c>
      <c r="H945" s="2" t="s">
        <v>58</v>
      </c>
      <c r="I945" s="2" t="s">
        <v>127</v>
      </c>
      <c r="J945" s="2" t="s">
        <v>104</v>
      </c>
      <c r="K945" s="11">
        <v>45580</v>
      </c>
      <c r="L945" s="11">
        <v>45603</v>
      </c>
      <c r="M945" s="3">
        <v>50000</v>
      </c>
      <c r="N945" s="3" t="s">
        <v>20</v>
      </c>
      <c r="O945" s="3" t="s">
        <v>38</v>
      </c>
    </row>
    <row r="946" spans="3:15">
      <c r="C946" s="3" t="s">
        <v>1939</v>
      </c>
      <c r="D946" s="2" t="s">
        <v>312</v>
      </c>
      <c r="E946" s="2">
        <v>82</v>
      </c>
      <c r="F946" t="str">
        <f t="shared" si="14"/>
        <v>Senior</v>
      </c>
      <c r="G946" s="2" t="s">
        <v>14</v>
      </c>
      <c r="H946" s="2" t="s">
        <v>85</v>
      </c>
      <c r="I946" s="2" t="s">
        <v>42</v>
      </c>
      <c r="J946" s="2" t="s">
        <v>48</v>
      </c>
      <c r="K946" s="11">
        <v>45308</v>
      </c>
      <c r="L946" s="11">
        <v>45332</v>
      </c>
      <c r="M946" s="2">
        <v>50000</v>
      </c>
      <c r="N946" s="2" t="s">
        <v>67</v>
      </c>
      <c r="O946" s="2" t="s">
        <v>21</v>
      </c>
    </row>
    <row r="947" spans="3:15">
      <c r="C947" s="2" t="s">
        <v>1940</v>
      </c>
      <c r="D947" s="2" t="s">
        <v>432</v>
      </c>
      <c r="E947" s="3">
        <v>84</v>
      </c>
      <c r="F947" t="str">
        <f t="shared" si="14"/>
        <v>Senior</v>
      </c>
      <c r="G947" s="3" t="s">
        <v>32</v>
      </c>
      <c r="H947" s="2" t="s">
        <v>58</v>
      </c>
      <c r="I947" s="2" t="s">
        <v>34</v>
      </c>
      <c r="J947" s="2" t="s">
        <v>104</v>
      </c>
      <c r="K947" s="11">
        <v>45582</v>
      </c>
      <c r="L947" s="11">
        <v>45589</v>
      </c>
      <c r="M947" s="3">
        <v>0</v>
      </c>
      <c r="N947" s="3" t="s">
        <v>29</v>
      </c>
      <c r="O947" s="3" t="s">
        <v>21</v>
      </c>
    </row>
    <row r="948" spans="3:15">
      <c r="C948" s="3" t="s">
        <v>1942</v>
      </c>
      <c r="D948" s="2" t="s">
        <v>1047</v>
      </c>
      <c r="E948" s="2">
        <v>61</v>
      </c>
      <c r="F948" t="str">
        <f t="shared" si="14"/>
        <v>Senior</v>
      </c>
      <c r="G948" s="2" t="s">
        <v>14</v>
      </c>
      <c r="H948" s="2" t="s">
        <v>58</v>
      </c>
      <c r="I948" s="2" t="s">
        <v>42</v>
      </c>
      <c r="J948" s="2" t="s">
        <v>99</v>
      </c>
      <c r="K948" s="11">
        <v>45386</v>
      </c>
      <c r="L948" s="11">
        <v>45393</v>
      </c>
      <c r="M948" s="2">
        <v>50000</v>
      </c>
      <c r="N948" s="2" t="s">
        <v>67</v>
      </c>
      <c r="O948" s="2" t="s">
        <v>38</v>
      </c>
    </row>
    <row r="949" spans="3:15">
      <c r="C949" s="2" t="s">
        <v>1943</v>
      </c>
      <c r="D949" s="2" t="s">
        <v>910</v>
      </c>
      <c r="E949" s="3">
        <v>88</v>
      </c>
      <c r="F949" t="str">
        <f t="shared" si="14"/>
        <v>Senior</v>
      </c>
      <c r="G949" s="3" t="s">
        <v>32</v>
      </c>
      <c r="H949" s="2" t="s">
        <v>52</v>
      </c>
      <c r="I949" s="2" t="s">
        <v>16</v>
      </c>
      <c r="J949" s="2" t="s">
        <v>17</v>
      </c>
      <c r="K949" s="11">
        <v>45541</v>
      </c>
      <c r="L949" s="11">
        <v>45548</v>
      </c>
      <c r="M949" s="3">
        <v>15000</v>
      </c>
      <c r="N949" s="3" t="s">
        <v>20</v>
      </c>
      <c r="O949" s="3" t="s">
        <v>55</v>
      </c>
    </row>
    <row r="950" spans="3:15">
      <c r="C950" s="3" t="s">
        <v>1944</v>
      </c>
      <c r="D950" s="2" t="s">
        <v>1108</v>
      </c>
      <c r="E950" s="2">
        <v>82</v>
      </c>
      <c r="F950" t="str">
        <f t="shared" si="14"/>
        <v>Senior</v>
      </c>
      <c r="G950" s="2" t="s">
        <v>32</v>
      </c>
      <c r="H950" s="2" t="s">
        <v>15</v>
      </c>
      <c r="I950" s="2" t="s">
        <v>127</v>
      </c>
      <c r="J950" s="2" t="s">
        <v>26</v>
      </c>
      <c r="K950" s="11">
        <v>45341</v>
      </c>
      <c r="L950" s="11">
        <v>45369</v>
      </c>
      <c r="M950" s="2">
        <v>35000</v>
      </c>
      <c r="N950" s="2" t="s">
        <v>37</v>
      </c>
      <c r="O950" s="2" t="s">
        <v>38</v>
      </c>
    </row>
    <row r="951" spans="3:15">
      <c r="C951" s="2" t="s">
        <v>1946</v>
      </c>
      <c r="D951" s="2" t="s">
        <v>596</v>
      </c>
      <c r="E951" s="3">
        <v>84</v>
      </c>
      <c r="F951" t="str">
        <f t="shared" si="14"/>
        <v>Senior</v>
      </c>
      <c r="G951" s="3" t="s">
        <v>14</v>
      </c>
      <c r="H951" s="2" t="s">
        <v>70</v>
      </c>
      <c r="I951" s="2" t="s">
        <v>42</v>
      </c>
      <c r="J951" s="2" t="s">
        <v>17</v>
      </c>
      <c r="K951" s="11">
        <v>45386</v>
      </c>
      <c r="L951" s="11">
        <v>45398</v>
      </c>
      <c r="M951" s="3">
        <v>50000</v>
      </c>
      <c r="N951" s="3" t="s">
        <v>20</v>
      </c>
      <c r="O951" s="3" t="s">
        <v>21</v>
      </c>
    </row>
    <row r="952" spans="3:15">
      <c r="C952" s="3" t="s">
        <v>1948</v>
      </c>
      <c r="D952" s="2" t="s">
        <v>1941</v>
      </c>
      <c r="E952" s="2">
        <v>34</v>
      </c>
      <c r="F952" t="str">
        <f t="shared" si="14"/>
        <v>Young Adult</v>
      </c>
      <c r="G952" s="2" t="s">
        <v>32</v>
      </c>
      <c r="H952" s="2" t="s">
        <v>109</v>
      </c>
      <c r="I952" s="2" t="s">
        <v>16</v>
      </c>
      <c r="J952" s="2" t="s">
        <v>17</v>
      </c>
      <c r="K952" s="11">
        <v>45470</v>
      </c>
      <c r="L952" s="11">
        <v>45472</v>
      </c>
      <c r="M952" s="2">
        <v>8000</v>
      </c>
      <c r="N952" s="2" t="s">
        <v>67</v>
      </c>
      <c r="O952" s="2" t="s">
        <v>38</v>
      </c>
    </row>
    <row r="953" spans="3:15">
      <c r="C953" s="2" t="s">
        <v>1949</v>
      </c>
      <c r="D953" s="2" t="s">
        <v>735</v>
      </c>
      <c r="E953" s="3">
        <v>21</v>
      </c>
      <c r="F953" t="str">
        <f t="shared" si="14"/>
        <v>Young Adult</v>
      </c>
      <c r="G953" s="3" t="s">
        <v>32</v>
      </c>
      <c r="H953" s="2" t="s">
        <v>85</v>
      </c>
      <c r="I953" s="2" t="s">
        <v>34</v>
      </c>
      <c r="J953" s="2" t="s">
        <v>17</v>
      </c>
      <c r="K953" s="11">
        <v>45392</v>
      </c>
      <c r="L953" s="11">
        <v>45587</v>
      </c>
      <c r="M953" s="3">
        <v>8000</v>
      </c>
      <c r="N953" s="3" t="s">
        <v>29</v>
      </c>
      <c r="O953" s="3" t="s">
        <v>87</v>
      </c>
    </row>
    <row r="954" spans="3:15">
      <c r="C954" s="3" t="s">
        <v>1950</v>
      </c>
      <c r="D954" s="2" t="s">
        <v>932</v>
      </c>
      <c r="E954" s="2">
        <v>85</v>
      </c>
      <c r="F954" t="str">
        <f t="shared" si="14"/>
        <v>Senior</v>
      </c>
      <c r="G954" s="2" t="s">
        <v>775</v>
      </c>
      <c r="H954" s="2" t="s">
        <v>33</v>
      </c>
      <c r="I954" s="2" t="s">
        <v>25</v>
      </c>
      <c r="J954" s="2" t="s">
        <v>35</v>
      </c>
      <c r="K954" s="11">
        <v>45356</v>
      </c>
      <c r="L954" s="11">
        <v>45424</v>
      </c>
      <c r="M954" s="2">
        <v>8000</v>
      </c>
      <c r="N954" s="2" t="s">
        <v>29</v>
      </c>
      <c r="O954" s="2" t="s">
        <v>38</v>
      </c>
    </row>
    <row r="955" spans="3:15">
      <c r="C955" s="2" t="s">
        <v>1951</v>
      </c>
      <c r="D955" s="2" t="s">
        <v>1945</v>
      </c>
      <c r="E955" s="3">
        <v>87</v>
      </c>
      <c r="F955" t="str">
        <f t="shared" si="14"/>
        <v>Senior</v>
      </c>
      <c r="G955" s="3" t="s">
        <v>14</v>
      </c>
      <c r="H955" s="2" t="s">
        <v>85</v>
      </c>
      <c r="I955" s="2" t="s">
        <v>42</v>
      </c>
      <c r="J955" s="2" t="s">
        <v>48</v>
      </c>
      <c r="K955" s="11">
        <v>45435</v>
      </c>
      <c r="L955" s="11">
        <v>45447</v>
      </c>
      <c r="M955" s="3">
        <v>0</v>
      </c>
      <c r="N955" s="3" t="s">
        <v>37</v>
      </c>
      <c r="O955" s="3" t="s">
        <v>55</v>
      </c>
    </row>
    <row r="956" spans="3:15">
      <c r="C956" s="3" t="s">
        <v>1952</v>
      </c>
      <c r="D956" s="2" t="s">
        <v>1947</v>
      </c>
      <c r="E956" s="2">
        <v>34</v>
      </c>
      <c r="F956" t="str">
        <f t="shared" si="14"/>
        <v>Young Adult</v>
      </c>
      <c r="G956" s="2" t="s">
        <v>32</v>
      </c>
      <c r="H956" s="2" t="s">
        <v>58</v>
      </c>
      <c r="I956" s="2" t="s">
        <v>127</v>
      </c>
      <c r="J956" s="2" t="s">
        <v>17</v>
      </c>
      <c r="K956" s="11">
        <v>45513</v>
      </c>
      <c r="L956" s="11">
        <v>45562</v>
      </c>
      <c r="M956" s="2">
        <v>5000</v>
      </c>
      <c r="N956" s="2" t="s">
        <v>37</v>
      </c>
      <c r="O956" s="2" t="s">
        <v>21</v>
      </c>
    </row>
    <row r="957" spans="3:15">
      <c r="C957" s="2" t="s">
        <v>1954</v>
      </c>
      <c r="D957" s="2" t="s">
        <v>341</v>
      </c>
      <c r="E957" s="3">
        <v>18</v>
      </c>
      <c r="F957" t="str">
        <f t="shared" si="14"/>
        <v>Young Adult</v>
      </c>
      <c r="G957" s="3" t="s">
        <v>14</v>
      </c>
      <c r="H957" s="2" t="s">
        <v>70</v>
      </c>
      <c r="I957" s="2" t="s">
        <v>34</v>
      </c>
      <c r="J957" s="2" t="s">
        <v>99</v>
      </c>
      <c r="K957" s="11">
        <v>45602</v>
      </c>
      <c r="L957" s="11">
        <v>45483</v>
      </c>
      <c r="M957" s="3">
        <v>12000</v>
      </c>
      <c r="N957" s="3" t="s">
        <v>29</v>
      </c>
      <c r="O957" s="3" t="s">
        <v>21</v>
      </c>
    </row>
    <row r="958" spans="3:15">
      <c r="C958" s="3" t="s">
        <v>1955</v>
      </c>
      <c r="D958" s="2" t="s">
        <v>850</v>
      </c>
      <c r="E958" s="2">
        <v>84</v>
      </c>
      <c r="F958" t="str">
        <f t="shared" si="14"/>
        <v>Senior</v>
      </c>
      <c r="G958" s="2" t="s">
        <v>32</v>
      </c>
      <c r="H958" s="2" t="s">
        <v>52</v>
      </c>
      <c r="I958" s="2" t="s">
        <v>16</v>
      </c>
      <c r="J958" s="2" t="s">
        <v>99</v>
      </c>
      <c r="K958" s="11">
        <v>45312</v>
      </c>
      <c r="L958" s="11">
        <v>45339</v>
      </c>
      <c r="M958" s="2">
        <v>35000</v>
      </c>
      <c r="N958" s="2" t="s">
        <v>20</v>
      </c>
      <c r="O958" s="2" t="s">
        <v>775</v>
      </c>
    </row>
    <row r="959" spans="3:15">
      <c r="C959" s="2" t="s">
        <v>1957</v>
      </c>
      <c r="D959" s="2" t="s">
        <v>1098</v>
      </c>
      <c r="E959" s="3">
        <v>68</v>
      </c>
      <c r="F959" t="str">
        <f t="shared" si="14"/>
        <v>Senior</v>
      </c>
      <c r="G959" s="3" t="s">
        <v>14</v>
      </c>
      <c r="H959" s="2" t="s">
        <v>15</v>
      </c>
      <c r="I959" s="2" t="s">
        <v>25</v>
      </c>
      <c r="J959" s="2" t="s">
        <v>26</v>
      </c>
      <c r="K959" s="11">
        <v>45583</v>
      </c>
      <c r="L959" s="11">
        <v>45587</v>
      </c>
      <c r="M959" s="3">
        <v>25000</v>
      </c>
      <c r="N959" s="3" t="s">
        <v>29</v>
      </c>
      <c r="O959" s="3" t="s">
        <v>21</v>
      </c>
    </row>
    <row r="960" spans="3:15">
      <c r="C960" s="3" t="s">
        <v>1958</v>
      </c>
      <c r="D960" s="2" t="s">
        <v>883</v>
      </c>
      <c r="E960" s="2">
        <v>20</v>
      </c>
      <c r="F960" t="str">
        <f t="shared" si="14"/>
        <v>Young Adult</v>
      </c>
      <c r="G960" s="2" t="s">
        <v>14</v>
      </c>
      <c r="H960" s="2" t="s">
        <v>52</v>
      </c>
      <c r="I960" s="2" t="s">
        <v>42</v>
      </c>
      <c r="J960" s="2" t="s">
        <v>35</v>
      </c>
      <c r="K960" s="11">
        <v>45524</v>
      </c>
      <c r="L960" s="11">
        <v>45525</v>
      </c>
      <c r="M960" s="2">
        <v>5000</v>
      </c>
      <c r="N960" s="2" t="s">
        <v>37</v>
      </c>
      <c r="O960" s="2" t="s">
        <v>87</v>
      </c>
    </row>
    <row r="961" spans="3:15">
      <c r="C961" s="2" t="s">
        <v>1959</v>
      </c>
      <c r="D961" s="2" t="s">
        <v>1953</v>
      </c>
      <c r="E961" s="3">
        <v>25</v>
      </c>
      <c r="F961" t="str">
        <f t="shared" si="14"/>
        <v>Young Adult</v>
      </c>
      <c r="G961" s="3" t="s">
        <v>14</v>
      </c>
      <c r="H961" s="2" t="s">
        <v>70</v>
      </c>
      <c r="I961" s="2" t="s">
        <v>127</v>
      </c>
      <c r="J961" s="2" t="s">
        <v>26</v>
      </c>
      <c r="K961" s="11">
        <v>45602</v>
      </c>
      <c r="L961" s="11">
        <v>45478</v>
      </c>
      <c r="M961" s="3">
        <v>20000</v>
      </c>
      <c r="N961" s="3" t="s">
        <v>37</v>
      </c>
      <c r="O961" s="3" t="s">
        <v>38</v>
      </c>
    </row>
    <row r="962" spans="3:15">
      <c r="C962" s="3" t="s">
        <v>1962</v>
      </c>
      <c r="D962" s="2" t="s">
        <v>469</v>
      </c>
      <c r="E962" s="2">
        <v>74</v>
      </c>
      <c r="F962" t="str">
        <f t="shared" si="14"/>
        <v>Senior</v>
      </c>
      <c r="G962" s="2" t="s">
        <v>14</v>
      </c>
      <c r="H962" s="2" t="s">
        <v>33</v>
      </c>
      <c r="I962" s="2" t="s">
        <v>127</v>
      </c>
      <c r="J962" s="2" t="s">
        <v>26</v>
      </c>
      <c r="K962" s="11">
        <v>45540</v>
      </c>
      <c r="L962" s="11">
        <v>45423</v>
      </c>
      <c r="M962" s="2">
        <v>12000</v>
      </c>
      <c r="N962" s="2" t="s">
        <v>37</v>
      </c>
      <c r="O962" s="2" t="s">
        <v>87</v>
      </c>
    </row>
    <row r="963" spans="3:15">
      <c r="C963" s="2" t="s">
        <v>1963</v>
      </c>
      <c r="D963" s="2" t="s">
        <v>923</v>
      </c>
      <c r="E963" s="3" t="s">
        <v>775</v>
      </c>
      <c r="F963" t="str">
        <f t="shared" si="14"/>
        <v>Unknown</v>
      </c>
      <c r="G963" s="3" t="s">
        <v>14</v>
      </c>
      <c r="H963" s="2" t="s">
        <v>52</v>
      </c>
      <c r="I963" s="2" t="s">
        <v>76</v>
      </c>
      <c r="J963" s="2" t="s">
        <v>104</v>
      </c>
      <c r="K963" s="11">
        <v>45354</v>
      </c>
      <c r="L963" s="11">
        <v>45371</v>
      </c>
      <c r="M963" s="3">
        <v>50000</v>
      </c>
      <c r="N963" s="3" t="s">
        <v>37</v>
      </c>
      <c r="O963" s="3" t="s">
        <v>38</v>
      </c>
    </row>
    <row r="964" spans="3:15">
      <c r="C964" s="3" t="s">
        <v>1965</v>
      </c>
      <c r="D964" s="2" t="s">
        <v>1726</v>
      </c>
      <c r="E964" s="2">
        <v>89</v>
      </c>
      <c r="F964" t="str">
        <f t="shared" si="14"/>
        <v>Senior</v>
      </c>
      <c r="G964" s="2" t="s">
        <v>14</v>
      </c>
      <c r="H964" s="2" t="s">
        <v>58</v>
      </c>
      <c r="I964" s="2" t="s">
        <v>132</v>
      </c>
      <c r="J964" s="2" t="s">
        <v>99</v>
      </c>
      <c r="K964" s="11">
        <v>45525</v>
      </c>
      <c r="L964" s="11">
        <v>45543</v>
      </c>
      <c r="M964" s="2">
        <v>0</v>
      </c>
      <c r="N964" s="2" t="s">
        <v>67</v>
      </c>
      <c r="O964" s="2" t="s">
        <v>21</v>
      </c>
    </row>
    <row r="965" spans="3:15">
      <c r="C965" s="2" t="s">
        <v>1968</v>
      </c>
      <c r="D965" s="2" t="s">
        <v>1366</v>
      </c>
      <c r="E965" s="3">
        <v>11</v>
      </c>
      <c r="F965" t="str">
        <f t="shared" si="14"/>
        <v>Child</v>
      </c>
      <c r="G965" s="3" t="s">
        <v>14</v>
      </c>
      <c r="H965" s="2" t="s">
        <v>58</v>
      </c>
      <c r="I965" s="2" t="s">
        <v>127</v>
      </c>
      <c r="J965" s="2" t="s">
        <v>26</v>
      </c>
      <c r="K965" s="11">
        <v>45388</v>
      </c>
      <c r="L965" s="11">
        <v>45471</v>
      </c>
      <c r="M965" s="3">
        <v>100000</v>
      </c>
      <c r="N965" s="3" t="s">
        <v>37</v>
      </c>
      <c r="O965" s="3" t="s">
        <v>55</v>
      </c>
    </row>
    <row r="966" spans="3:15">
      <c r="C966" s="3" t="s">
        <v>1969</v>
      </c>
      <c r="D966" s="2" t="s">
        <v>1960</v>
      </c>
      <c r="E966" s="2">
        <v>55</v>
      </c>
      <c r="F966" t="str">
        <f t="shared" si="14"/>
        <v>Middle Age</v>
      </c>
      <c r="G966" s="2" t="s">
        <v>32</v>
      </c>
      <c r="H966" s="2" t="s">
        <v>58</v>
      </c>
      <c r="I966" s="2" t="s">
        <v>132</v>
      </c>
      <c r="J966" s="2" t="s">
        <v>26</v>
      </c>
      <c r="K966" s="11">
        <v>45343</v>
      </c>
      <c r="L966" s="11">
        <v>45369</v>
      </c>
      <c r="M966" s="2">
        <v>100000</v>
      </c>
      <c r="N966" s="2" t="s">
        <v>67</v>
      </c>
      <c r="O966" s="2" t="s">
        <v>55</v>
      </c>
    </row>
    <row r="967" spans="3:15">
      <c r="C967" s="2" t="s">
        <v>1971</v>
      </c>
      <c r="D967" s="2" t="s">
        <v>958</v>
      </c>
      <c r="E967" s="3">
        <v>29</v>
      </c>
      <c r="F967" t="str">
        <f t="shared" si="14"/>
        <v>Young Adult</v>
      </c>
      <c r="G967" s="3" t="s">
        <v>32</v>
      </c>
      <c r="H967" s="2" t="s">
        <v>52</v>
      </c>
      <c r="I967" s="2" t="s">
        <v>42</v>
      </c>
      <c r="J967" s="2" t="s">
        <v>17</v>
      </c>
      <c r="K967" s="11">
        <v>45369</v>
      </c>
      <c r="L967" s="11">
        <v>45378</v>
      </c>
      <c r="M967" s="3">
        <v>0</v>
      </c>
      <c r="N967" s="3" t="s">
        <v>67</v>
      </c>
      <c r="O967" s="3" t="s">
        <v>38</v>
      </c>
    </row>
    <row r="968" spans="3:15">
      <c r="C968" s="3" t="s">
        <v>1972</v>
      </c>
      <c r="D968" s="2" t="s">
        <v>1964</v>
      </c>
      <c r="E968" s="2">
        <v>82</v>
      </c>
      <c r="F968" t="str">
        <f t="shared" si="14"/>
        <v>Senior</v>
      </c>
      <c r="G968" s="2" t="s">
        <v>14</v>
      </c>
      <c r="H968" s="2" t="s">
        <v>109</v>
      </c>
      <c r="I968" s="2" t="s">
        <v>127</v>
      </c>
      <c r="J968" s="2" t="s">
        <v>48</v>
      </c>
      <c r="K968" s="11">
        <v>45382</v>
      </c>
      <c r="L968" s="11">
        <v>45401</v>
      </c>
      <c r="M968" s="2">
        <v>12000</v>
      </c>
      <c r="N968" s="2" t="s">
        <v>20</v>
      </c>
      <c r="O968" s="2" t="s">
        <v>21</v>
      </c>
    </row>
    <row r="969" spans="3:15">
      <c r="C969" s="2" t="s">
        <v>1973</v>
      </c>
      <c r="D969" s="2" t="s">
        <v>1966</v>
      </c>
      <c r="E969" s="3">
        <v>46</v>
      </c>
      <c r="F969" t="str">
        <f t="shared" si="14"/>
        <v>Middle Age</v>
      </c>
      <c r="G969" s="3" t="s">
        <v>32</v>
      </c>
      <c r="H969" s="2" t="s">
        <v>58</v>
      </c>
      <c r="I969" s="2" t="s">
        <v>25</v>
      </c>
      <c r="J969" s="2" t="s">
        <v>48</v>
      </c>
      <c r="K969" s="11">
        <v>45536</v>
      </c>
      <c r="L969" s="11">
        <v>45545</v>
      </c>
      <c r="M969" s="3">
        <v>5000</v>
      </c>
      <c r="N969" s="3" t="s">
        <v>37</v>
      </c>
      <c r="O969" s="3" t="s">
        <v>55</v>
      </c>
    </row>
    <row r="970" spans="3:15">
      <c r="C970" s="3" t="s">
        <v>1975</v>
      </c>
      <c r="D970" s="2" t="s">
        <v>294</v>
      </c>
      <c r="E970" s="2">
        <v>22</v>
      </c>
      <c r="F970" t="str">
        <f t="shared" ref="F970:F1013" si="15">IF(E970="Unknown","Unknown",IF(E970&lt;18,"Child",IF(E970&lt;40,"Young Adult",IF(E970&lt;60,"Middle Age","Senior"))))</f>
        <v>Young Adult</v>
      </c>
      <c r="G970" s="2" t="s">
        <v>14</v>
      </c>
      <c r="H970" s="2" t="s">
        <v>70</v>
      </c>
      <c r="I970" s="2" t="s">
        <v>76</v>
      </c>
      <c r="J970" s="2" t="s">
        <v>48</v>
      </c>
      <c r="K970" s="11">
        <v>45470</v>
      </c>
      <c r="L970" s="11">
        <v>45491</v>
      </c>
      <c r="M970" s="2">
        <v>35000</v>
      </c>
      <c r="N970" s="2" t="s">
        <v>29</v>
      </c>
      <c r="O970" s="2" t="s">
        <v>21</v>
      </c>
    </row>
    <row r="971" spans="3:15">
      <c r="C971" s="2" t="s">
        <v>1977</v>
      </c>
      <c r="D971" s="2" t="s">
        <v>761</v>
      </c>
      <c r="E971" s="3">
        <v>43</v>
      </c>
      <c r="F971" t="str">
        <f t="shared" si="15"/>
        <v>Middle Age</v>
      </c>
      <c r="G971" s="3" t="s">
        <v>32</v>
      </c>
      <c r="H971" s="2" t="s">
        <v>33</v>
      </c>
      <c r="I971" s="2" t="s">
        <v>42</v>
      </c>
      <c r="J971" s="2" t="s">
        <v>99</v>
      </c>
      <c r="K971" s="11">
        <v>45351</v>
      </c>
      <c r="L971" s="11">
        <v>45370</v>
      </c>
      <c r="M971" s="3">
        <v>0</v>
      </c>
      <c r="N971" s="3" t="s">
        <v>20</v>
      </c>
      <c r="O971" s="3" t="s">
        <v>21</v>
      </c>
    </row>
    <row r="972" spans="3:15">
      <c r="C972" s="3" t="s">
        <v>1978</v>
      </c>
      <c r="D972" s="2" t="s">
        <v>985</v>
      </c>
      <c r="E972" s="2">
        <v>1</v>
      </c>
      <c r="F972" t="str">
        <f t="shared" si="15"/>
        <v>Child</v>
      </c>
      <c r="G972" s="2" t="s">
        <v>32</v>
      </c>
      <c r="H972" s="2" t="s">
        <v>33</v>
      </c>
      <c r="I972" s="2" t="s">
        <v>76</v>
      </c>
      <c r="J972" s="2" t="s">
        <v>99</v>
      </c>
      <c r="K972" s="11">
        <v>45468</v>
      </c>
      <c r="L972" s="11">
        <v>45474</v>
      </c>
      <c r="M972" s="2">
        <v>100000</v>
      </c>
      <c r="N972" s="2" t="s">
        <v>67</v>
      </c>
      <c r="O972" s="2" t="s">
        <v>55</v>
      </c>
    </row>
    <row r="973" spans="3:15">
      <c r="C973" s="2" t="s">
        <v>1979</v>
      </c>
      <c r="D973" s="2" t="s">
        <v>329</v>
      </c>
      <c r="E973" s="3">
        <v>31</v>
      </c>
      <c r="F973" t="str">
        <f t="shared" si="15"/>
        <v>Young Adult</v>
      </c>
      <c r="G973" s="3" t="s">
        <v>32</v>
      </c>
      <c r="H973" s="2" t="s">
        <v>52</v>
      </c>
      <c r="I973" s="2" t="s">
        <v>127</v>
      </c>
      <c r="J973" s="2" t="s">
        <v>104</v>
      </c>
      <c r="K973" s="11">
        <v>45634</v>
      </c>
      <c r="L973" s="11">
        <v>45545</v>
      </c>
      <c r="M973" s="3">
        <v>20000</v>
      </c>
      <c r="N973" s="3" t="s">
        <v>37</v>
      </c>
      <c r="O973" s="3" t="s">
        <v>87</v>
      </c>
    </row>
    <row r="974" spans="3:15">
      <c r="C974" s="3" t="s">
        <v>1980</v>
      </c>
      <c r="D974" s="2" t="s">
        <v>733</v>
      </c>
      <c r="E974" s="2">
        <v>47</v>
      </c>
      <c r="F974" t="str">
        <f t="shared" si="15"/>
        <v>Middle Age</v>
      </c>
      <c r="G974" s="2" t="s">
        <v>32</v>
      </c>
      <c r="H974" s="2" t="s">
        <v>109</v>
      </c>
      <c r="I974" s="2" t="s">
        <v>76</v>
      </c>
      <c r="J974" s="2" t="s">
        <v>35</v>
      </c>
      <c r="K974" s="11">
        <v>45592</v>
      </c>
      <c r="L974" s="11">
        <v>45609</v>
      </c>
      <c r="M974" s="2">
        <v>75000</v>
      </c>
      <c r="N974" s="2" t="s">
        <v>37</v>
      </c>
      <c r="O974" s="2" t="s">
        <v>55</v>
      </c>
    </row>
    <row r="975" spans="3:15">
      <c r="C975" s="2" t="s">
        <v>1982</v>
      </c>
      <c r="D975" s="2" t="s">
        <v>1976</v>
      </c>
      <c r="E975" s="3">
        <v>81</v>
      </c>
      <c r="F975" t="str">
        <f t="shared" si="15"/>
        <v>Senior</v>
      </c>
      <c r="G975" s="3" t="s">
        <v>14</v>
      </c>
      <c r="H975" s="2" t="s">
        <v>52</v>
      </c>
      <c r="I975" s="2" t="s">
        <v>76</v>
      </c>
      <c r="J975" s="2" t="s">
        <v>35</v>
      </c>
      <c r="K975" s="11">
        <v>45428</v>
      </c>
      <c r="L975" s="11">
        <v>45443</v>
      </c>
      <c r="M975" s="3">
        <v>15000</v>
      </c>
      <c r="N975" s="3" t="s">
        <v>20</v>
      </c>
      <c r="O975" s="3" t="s">
        <v>55</v>
      </c>
    </row>
    <row r="976" spans="3:15">
      <c r="C976" s="3" t="s">
        <v>1983</v>
      </c>
      <c r="D976" s="2" t="s">
        <v>667</v>
      </c>
      <c r="E976" s="2">
        <v>8</v>
      </c>
      <c r="F976" t="str">
        <f t="shared" si="15"/>
        <v>Child</v>
      </c>
      <c r="G976" s="2" t="s">
        <v>14</v>
      </c>
      <c r="H976" s="2" t="s">
        <v>15</v>
      </c>
      <c r="I976" s="2" t="s">
        <v>76</v>
      </c>
      <c r="J976" s="2" t="s">
        <v>53</v>
      </c>
      <c r="K976" s="11">
        <v>45565</v>
      </c>
      <c r="L976" s="11">
        <v>45587</v>
      </c>
      <c r="M976" s="2">
        <v>15000</v>
      </c>
      <c r="N976" s="2" t="s">
        <v>37</v>
      </c>
      <c r="O976" s="2" t="s">
        <v>38</v>
      </c>
    </row>
    <row r="977" spans="3:15">
      <c r="C977" s="2" t="s">
        <v>1985</v>
      </c>
      <c r="D977" s="2" t="s">
        <v>727</v>
      </c>
      <c r="E977" s="3">
        <v>16</v>
      </c>
      <c r="F977" t="str">
        <f t="shared" si="15"/>
        <v>Child</v>
      </c>
      <c r="G977" s="3" t="s">
        <v>32</v>
      </c>
      <c r="H977" s="2" t="s">
        <v>33</v>
      </c>
      <c r="I977" s="2" t="s">
        <v>34</v>
      </c>
      <c r="J977" s="2" t="s">
        <v>99</v>
      </c>
      <c r="K977" s="11">
        <v>45627</v>
      </c>
      <c r="L977" s="11">
        <v>45304</v>
      </c>
      <c r="M977" s="3">
        <v>20000</v>
      </c>
      <c r="N977" s="3" t="s">
        <v>37</v>
      </c>
      <c r="O977" s="3" t="s">
        <v>87</v>
      </c>
    </row>
    <row r="978" spans="3:15">
      <c r="C978" s="3" t="s">
        <v>1986</v>
      </c>
      <c r="D978" s="2" t="s">
        <v>1163</v>
      </c>
      <c r="E978" s="2">
        <v>74</v>
      </c>
      <c r="F978" t="str">
        <f t="shared" si="15"/>
        <v>Senior</v>
      </c>
      <c r="G978" s="2" t="s">
        <v>32</v>
      </c>
      <c r="H978" s="2" t="s">
        <v>70</v>
      </c>
      <c r="I978" s="2" t="s">
        <v>127</v>
      </c>
      <c r="J978" s="2" t="s">
        <v>104</v>
      </c>
      <c r="K978" s="11">
        <v>45541</v>
      </c>
      <c r="L978" s="11">
        <v>45471</v>
      </c>
      <c r="M978" s="2">
        <v>8000</v>
      </c>
      <c r="N978" s="2" t="s">
        <v>29</v>
      </c>
      <c r="O978" s="2" t="s">
        <v>21</v>
      </c>
    </row>
    <row r="979" spans="3:15">
      <c r="C979" s="2" t="s">
        <v>1987</v>
      </c>
      <c r="D979" s="2" t="s">
        <v>1981</v>
      </c>
      <c r="E979" s="3">
        <v>87</v>
      </c>
      <c r="F979" t="str">
        <f t="shared" si="15"/>
        <v>Senior</v>
      </c>
      <c r="G979" s="3" t="s">
        <v>14</v>
      </c>
      <c r="H979" s="2" t="s">
        <v>15</v>
      </c>
      <c r="I979" s="2" t="s">
        <v>132</v>
      </c>
      <c r="J979" s="2" t="s">
        <v>48</v>
      </c>
      <c r="K979" s="11">
        <v>45634</v>
      </c>
      <c r="L979" s="11">
        <v>45541</v>
      </c>
      <c r="M979" s="3">
        <v>0</v>
      </c>
      <c r="N979" s="3" t="s">
        <v>29</v>
      </c>
      <c r="O979" s="3" t="s">
        <v>87</v>
      </c>
    </row>
    <row r="980" spans="3:15">
      <c r="C980" s="3" t="s">
        <v>1988</v>
      </c>
      <c r="D980" s="2" t="s">
        <v>1868</v>
      </c>
      <c r="E980" s="2">
        <v>54</v>
      </c>
      <c r="F980" t="str">
        <f t="shared" si="15"/>
        <v>Middle Age</v>
      </c>
      <c r="G980" s="2" t="s">
        <v>32</v>
      </c>
      <c r="H980" s="2" t="s">
        <v>70</v>
      </c>
      <c r="I980" s="2" t="s">
        <v>132</v>
      </c>
      <c r="J980" s="2" t="s">
        <v>53</v>
      </c>
      <c r="K980" s="11">
        <v>45411</v>
      </c>
      <c r="L980" s="11">
        <v>45412</v>
      </c>
      <c r="M980" s="2">
        <v>100000</v>
      </c>
      <c r="N980" s="2" t="s">
        <v>67</v>
      </c>
      <c r="O980" s="2" t="s">
        <v>38</v>
      </c>
    </row>
    <row r="981" spans="3:15">
      <c r="C981" s="2" t="s">
        <v>1989</v>
      </c>
      <c r="D981" s="2" t="s">
        <v>996</v>
      </c>
      <c r="E981" s="3">
        <v>39</v>
      </c>
      <c r="F981" t="str">
        <f t="shared" si="15"/>
        <v>Young Adult</v>
      </c>
      <c r="G981" s="3" t="s">
        <v>14</v>
      </c>
      <c r="H981" s="2" t="s">
        <v>70</v>
      </c>
      <c r="I981" s="2" t="s">
        <v>16</v>
      </c>
      <c r="J981" s="2" t="s">
        <v>26</v>
      </c>
      <c r="K981" s="11">
        <v>45486</v>
      </c>
      <c r="L981" s="11">
        <v>45492</v>
      </c>
      <c r="M981" s="3">
        <v>5000</v>
      </c>
      <c r="N981" s="3" t="s">
        <v>37</v>
      </c>
      <c r="O981" s="3" t="s">
        <v>21</v>
      </c>
    </row>
    <row r="982" spans="3:15">
      <c r="C982" s="3" t="s">
        <v>1991</v>
      </c>
      <c r="D982" s="2" t="s">
        <v>197</v>
      </c>
      <c r="E982" s="2" t="s">
        <v>775</v>
      </c>
      <c r="F982" t="str">
        <f t="shared" si="15"/>
        <v>Unknown</v>
      </c>
      <c r="G982" s="2" t="s">
        <v>32</v>
      </c>
      <c r="H982" s="2" t="s">
        <v>52</v>
      </c>
      <c r="I982" s="2" t="s">
        <v>76</v>
      </c>
      <c r="J982" s="2" t="s">
        <v>48</v>
      </c>
      <c r="K982" s="11">
        <v>45630</v>
      </c>
      <c r="L982" s="11">
        <v>45407</v>
      </c>
      <c r="M982" s="2">
        <v>20000</v>
      </c>
      <c r="N982" s="2" t="s">
        <v>20</v>
      </c>
      <c r="O982" s="2" t="s">
        <v>21</v>
      </c>
    </row>
    <row r="983" spans="3:15">
      <c r="C983" s="2" t="s">
        <v>1993</v>
      </c>
      <c r="D983" s="2" t="s">
        <v>251</v>
      </c>
      <c r="E983" s="3">
        <v>87</v>
      </c>
      <c r="F983" t="str">
        <f t="shared" si="15"/>
        <v>Senior</v>
      </c>
      <c r="G983" s="3" t="s">
        <v>14</v>
      </c>
      <c r="H983" s="2" t="s">
        <v>85</v>
      </c>
      <c r="I983" s="2" t="s">
        <v>25</v>
      </c>
      <c r="J983" s="2" t="s">
        <v>99</v>
      </c>
      <c r="K983" s="11">
        <v>45486</v>
      </c>
      <c r="L983" s="11">
        <v>45494</v>
      </c>
      <c r="M983" s="3">
        <v>100000</v>
      </c>
      <c r="N983" s="3" t="s">
        <v>67</v>
      </c>
      <c r="O983" s="3" t="s">
        <v>87</v>
      </c>
    </row>
    <row r="984" spans="3:15">
      <c r="C984" s="3" t="s">
        <v>1995</v>
      </c>
      <c r="D984" s="2" t="s">
        <v>1577</v>
      </c>
      <c r="E984" s="2">
        <v>7</v>
      </c>
      <c r="F984" t="str">
        <f t="shared" si="15"/>
        <v>Child</v>
      </c>
      <c r="G984" s="2" t="s">
        <v>14</v>
      </c>
      <c r="H984" s="2" t="s">
        <v>15</v>
      </c>
      <c r="I984" s="2" t="s">
        <v>132</v>
      </c>
      <c r="J984" s="2" t="s">
        <v>104</v>
      </c>
      <c r="K984" s="11">
        <v>45630</v>
      </c>
      <c r="L984" s="11">
        <v>45404</v>
      </c>
      <c r="M984" s="2">
        <v>35000</v>
      </c>
      <c r="N984" s="2" t="s">
        <v>67</v>
      </c>
      <c r="O984" s="2" t="s">
        <v>55</v>
      </c>
    </row>
    <row r="985" spans="3:15">
      <c r="C985" s="2" t="s">
        <v>1996</v>
      </c>
      <c r="D985" s="2" t="s">
        <v>518</v>
      </c>
      <c r="E985" s="3">
        <v>31</v>
      </c>
      <c r="F985" t="str">
        <f t="shared" si="15"/>
        <v>Young Adult</v>
      </c>
      <c r="G985" s="3" t="s">
        <v>32</v>
      </c>
      <c r="H985" s="2" t="s">
        <v>70</v>
      </c>
      <c r="I985" s="2" t="s">
        <v>34</v>
      </c>
      <c r="J985" s="2" t="s">
        <v>99</v>
      </c>
      <c r="K985" s="11">
        <v>45320</v>
      </c>
      <c r="L985" s="11">
        <v>45349</v>
      </c>
      <c r="M985" s="3">
        <v>100000</v>
      </c>
      <c r="N985" s="3" t="s">
        <v>67</v>
      </c>
      <c r="O985" s="3" t="s">
        <v>38</v>
      </c>
    </row>
    <row r="986" spans="3:15">
      <c r="C986" s="3" t="s">
        <v>1997</v>
      </c>
      <c r="D986" s="2" t="s">
        <v>1990</v>
      </c>
      <c r="E986" s="2">
        <v>45</v>
      </c>
      <c r="F986" t="str">
        <f t="shared" si="15"/>
        <v>Middle Age</v>
      </c>
      <c r="G986" s="2" t="s">
        <v>32</v>
      </c>
      <c r="H986" s="2" t="s">
        <v>52</v>
      </c>
      <c r="I986" s="2" t="s">
        <v>127</v>
      </c>
      <c r="J986" s="2" t="s">
        <v>104</v>
      </c>
      <c r="K986" s="11">
        <v>45533</v>
      </c>
      <c r="L986" s="11">
        <v>45561</v>
      </c>
      <c r="M986" s="2">
        <v>12000</v>
      </c>
      <c r="N986" s="2" t="s">
        <v>20</v>
      </c>
      <c r="O986" s="2" t="s">
        <v>21</v>
      </c>
    </row>
    <row r="987" spans="3:15">
      <c r="C987" s="2" t="s">
        <v>1998</v>
      </c>
      <c r="D987" s="2" t="s">
        <v>1992</v>
      </c>
      <c r="E987" s="3">
        <v>29</v>
      </c>
      <c r="F987" t="str">
        <f t="shared" si="15"/>
        <v>Young Adult</v>
      </c>
      <c r="G987" s="3" t="s">
        <v>14</v>
      </c>
      <c r="H987" s="2" t="s">
        <v>52</v>
      </c>
      <c r="I987" s="2" t="s">
        <v>25</v>
      </c>
      <c r="J987" s="2" t="s">
        <v>48</v>
      </c>
      <c r="K987" s="11">
        <v>45293</v>
      </c>
      <c r="L987" s="11">
        <v>45317</v>
      </c>
      <c r="M987" s="3">
        <v>15000</v>
      </c>
      <c r="N987" s="3" t="s">
        <v>67</v>
      </c>
      <c r="O987" s="3" t="s">
        <v>21</v>
      </c>
    </row>
    <row r="988" spans="3:15">
      <c r="C988" s="3" t="s">
        <v>1999</v>
      </c>
      <c r="D988" s="2" t="s">
        <v>1251</v>
      </c>
      <c r="E988" s="2">
        <v>53</v>
      </c>
      <c r="F988" t="str">
        <f t="shared" si="15"/>
        <v>Middle Age</v>
      </c>
      <c r="G988" s="2" t="s">
        <v>690</v>
      </c>
      <c r="H988" s="2" t="s">
        <v>85</v>
      </c>
      <c r="I988" s="2" t="s">
        <v>76</v>
      </c>
      <c r="J988" s="2" t="s">
        <v>48</v>
      </c>
      <c r="K988" s="11">
        <v>45390</v>
      </c>
      <c r="L988" s="11">
        <v>45407</v>
      </c>
      <c r="M988" s="2">
        <v>50000</v>
      </c>
      <c r="N988" s="2" t="s">
        <v>37</v>
      </c>
      <c r="O988" s="2" t="s">
        <v>38</v>
      </c>
    </row>
    <row r="989" spans="3:15">
      <c r="C989" s="2" t="s">
        <v>2001</v>
      </c>
      <c r="D989" s="2" t="s">
        <v>1540</v>
      </c>
      <c r="E989" s="3">
        <v>23</v>
      </c>
      <c r="F989" t="str">
        <f t="shared" si="15"/>
        <v>Young Adult</v>
      </c>
      <c r="G989" s="3" t="s">
        <v>14</v>
      </c>
      <c r="H989" s="2" t="s">
        <v>15</v>
      </c>
      <c r="I989" s="2" t="s">
        <v>16</v>
      </c>
      <c r="J989" s="2" t="s">
        <v>35</v>
      </c>
      <c r="K989" s="11">
        <v>45564</v>
      </c>
      <c r="L989" s="11">
        <v>45574</v>
      </c>
      <c r="M989" s="3">
        <v>75000</v>
      </c>
      <c r="N989" s="3" t="s">
        <v>67</v>
      </c>
      <c r="O989" s="3" t="s">
        <v>38</v>
      </c>
    </row>
    <row r="990" spans="3:15">
      <c r="C990" s="3" t="s">
        <v>2003</v>
      </c>
      <c r="D990" s="2" t="s">
        <v>758</v>
      </c>
      <c r="E990" s="2">
        <v>63</v>
      </c>
      <c r="F990" t="str">
        <f t="shared" si="15"/>
        <v>Senior</v>
      </c>
      <c r="G990" s="2" t="s">
        <v>14</v>
      </c>
      <c r="H990" s="2" t="s">
        <v>109</v>
      </c>
      <c r="I990" s="2" t="s">
        <v>25</v>
      </c>
      <c r="J990" s="2" t="s">
        <v>104</v>
      </c>
      <c r="K990" s="11">
        <v>45360</v>
      </c>
      <c r="L990" s="11">
        <v>45549</v>
      </c>
      <c r="M990" s="2">
        <v>0</v>
      </c>
      <c r="N990" s="2" t="s">
        <v>67</v>
      </c>
      <c r="O990" s="2" t="s">
        <v>87</v>
      </c>
    </row>
    <row r="991" spans="3:15">
      <c r="C991" s="2" t="s">
        <v>2005</v>
      </c>
      <c r="D991" s="2" t="s">
        <v>1014</v>
      </c>
      <c r="E991" s="3">
        <v>29</v>
      </c>
      <c r="F991" t="str">
        <f t="shared" si="15"/>
        <v>Young Adult</v>
      </c>
      <c r="G991" s="3" t="s">
        <v>14</v>
      </c>
      <c r="H991" s="2" t="s">
        <v>52</v>
      </c>
      <c r="I991" s="2" t="s">
        <v>34</v>
      </c>
      <c r="J991" s="2" t="s">
        <v>17</v>
      </c>
      <c r="K991" s="11">
        <v>45520</v>
      </c>
      <c r="L991" s="11">
        <v>45542</v>
      </c>
      <c r="M991" s="3">
        <v>50000</v>
      </c>
      <c r="N991" s="3" t="s">
        <v>20</v>
      </c>
      <c r="O991" s="3" t="s">
        <v>55</v>
      </c>
    </row>
    <row r="992" spans="3:15">
      <c r="C992" s="3" t="s">
        <v>2007</v>
      </c>
      <c r="D992" s="2" t="s">
        <v>1110</v>
      </c>
      <c r="E992" s="2">
        <v>39</v>
      </c>
      <c r="F992" t="str">
        <f t="shared" si="15"/>
        <v>Young Adult</v>
      </c>
      <c r="G992" s="2" t="s">
        <v>32</v>
      </c>
      <c r="H992" s="2" t="s">
        <v>15</v>
      </c>
      <c r="I992" s="2" t="s">
        <v>34</v>
      </c>
      <c r="J992" s="2" t="s">
        <v>48</v>
      </c>
      <c r="K992" s="11">
        <v>45557</v>
      </c>
      <c r="L992" s="11">
        <v>45578</v>
      </c>
      <c r="M992" s="2">
        <v>5000</v>
      </c>
      <c r="N992" s="2" t="s">
        <v>37</v>
      </c>
      <c r="O992" s="2" t="s">
        <v>87</v>
      </c>
    </row>
    <row r="993" spans="3:15">
      <c r="C993" s="2" t="s">
        <v>2009</v>
      </c>
      <c r="D993" s="2" t="s">
        <v>1486</v>
      </c>
      <c r="E993" s="3">
        <v>5</v>
      </c>
      <c r="F993" t="str">
        <f t="shared" si="15"/>
        <v>Child</v>
      </c>
      <c r="G993" s="3" t="s">
        <v>14</v>
      </c>
      <c r="H993" s="2" t="s">
        <v>15</v>
      </c>
      <c r="I993" s="2" t="s">
        <v>76</v>
      </c>
      <c r="J993" s="2" t="s">
        <v>48</v>
      </c>
      <c r="K993" s="11">
        <v>45531</v>
      </c>
      <c r="L993" s="11">
        <v>45535</v>
      </c>
      <c r="M993" s="3">
        <v>8000</v>
      </c>
      <c r="N993" s="3" t="s">
        <v>775</v>
      </c>
      <c r="O993" s="3" t="s">
        <v>38</v>
      </c>
    </row>
    <row r="994" spans="3:15">
      <c r="C994" s="3" t="s">
        <v>2010</v>
      </c>
      <c r="D994" s="2" t="s">
        <v>2002</v>
      </c>
      <c r="E994" s="2">
        <v>86</v>
      </c>
      <c r="F994" t="str">
        <f t="shared" si="15"/>
        <v>Senior</v>
      </c>
      <c r="G994" s="2" t="s">
        <v>14</v>
      </c>
      <c r="H994" s="2" t="s">
        <v>58</v>
      </c>
      <c r="I994" s="2" t="s">
        <v>42</v>
      </c>
      <c r="J994" s="2" t="s">
        <v>35</v>
      </c>
      <c r="K994" s="11">
        <v>45536</v>
      </c>
      <c r="L994" s="11">
        <v>45554</v>
      </c>
      <c r="M994" s="2">
        <v>75000</v>
      </c>
      <c r="N994" s="2" t="s">
        <v>29</v>
      </c>
      <c r="O994" s="2" t="s">
        <v>21</v>
      </c>
    </row>
    <row r="995" spans="3:15">
      <c r="C995" s="2" t="s">
        <v>2013</v>
      </c>
      <c r="D995" s="2" t="s">
        <v>2004</v>
      </c>
      <c r="E995" s="3">
        <v>7</v>
      </c>
      <c r="F995" t="str">
        <f t="shared" si="15"/>
        <v>Child</v>
      </c>
      <c r="G995" s="3" t="s">
        <v>32</v>
      </c>
      <c r="H995" s="2" t="s">
        <v>70</v>
      </c>
      <c r="I995" s="2" t="s">
        <v>76</v>
      </c>
      <c r="J995" s="2" t="s">
        <v>35</v>
      </c>
      <c r="K995" s="11">
        <v>45408</v>
      </c>
      <c r="L995" s="11">
        <v>45415</v>
      </c>
      <c r="M995" s="3">
        <v>15000</v>
      </c>
      <c r="N995" s="3" t="s">
        <v>67</v>
      </c>
      <c r="O995" s="3" t="s">
        <v>38</v>
      </c>
    </row>
    <row r="996" spans="3:15">
      <c r="C996" s="3" t="s">
        <v>2015</v>
      </c>
      <c r="D996" s="2" t="s">
        <v>1110</v>
      </c>
      <c r="E996" s="2">
        <v>89</v>
      </c>
      <c r="F996" t="str">
        <f t="shared" si="15"/>
        <v>Senior</v>
      </c>
      <c r="G996" s="2" t="s">
        <v>32</v>
      </c>
      <c r="H996" s="2" t="s">
        <v>70</v>
      </c>
      <c r="I996" s="2" t="s">
        <v>16</v>
      </c>
      <c r="J996" s="2" t="s">
        <v>53</v>
      </c>
      <c r="K996" s="11">
        <v>45335</v>
      </c>
      <c r="L996" s="11">
        <v>45338</v>
      </c>
      <c r="M996" s="2">
        <v>50000</v>
      </c>
      <c r="N996" s="2" t="s">
        <v>67</v>
      </c>
      <c r="O996" s="2" t="s">
        <v>55</v>
      </c>
    </row>
    <row r="997" spans="3:15">
      <c r="C997" s="2" t="s">
        <v>2016</v>
      </c>
      <c r="D997" s="2" t="s">
        <v>2008</v>
      </c>
      <c r="E997" s="3" t="s">
        <v>775</v>
      </c>
      <c r="F997" t="str">
        <f t="shared" si="15"/>
        <v>Unknown</v>
      </c>
      <c r="G997" s="3" t="s">
        <v>14</v>
      </c>
      <c r="H997" s="2" t="s">
        <v>85</v>
      </c>
      <c r="I997" s="2" t="s">
        <v>76</v>
      </c>
      <c r="J997" s="2" t="s">
        <v>53</v>
      </c>
      <c r="K997" s="11">
        <v>45514</v>
      </c>
      <c r="L997" s="11">
        <v>45590</v>
      </c>
      <c r="M997" s="3">
        <v>8000</v>
      </c>
      <c r="N997" s="3" t="s">
        <v>20</v>
      </c>
      <c r="O997" s="3" t="s">
        <v>38</v>
      </c>
    </row>
    <row r="998" spans="3:15">
      <c r="C998" s="3" t="s">
        <v>2017</v>
      </c>
      <c r="D998" s="2" t="s">
        <v>585</v>
      </c>
      <c r="E998" s="2">
        <v>25</v>
      </c>
      <c r="F998" t="str">
        <f t="shared" si="15"/>
        <v>Young Adult</v>
      </c>
      <c r="G998" s="2" t="s">
        <v>14</v>
      </c>
      <c r="H998" s="2" t="s">
        <v>109</v>
      </c>
      <c r="I998" s="2" t="s">
        <v>42</v>
      </c>
      <c r="J998" s="2" t="s">
        <v>99</v>
      </c>
      <c r="K998" s="11">
        <v>45401</v>
      </c>
      <c r="L998" s="11">
        <v>45403</v>
      </c>
      <c r="M998" s="2">
        <v>0</v>
      </c>
      <c r="N998" s="2" t="s">
        <v>20</v>
      </c>
      <c r="O998" s="2" t="s">
        <v>55</v>
      </c>
    </row>
    <row r="999" spans="3:15" ht="14.4" customHeight="1">
      <c r="C999" s="2" t="s">
        <v>2018</v>
      </c>
      <c r="D999" s="2" t="s">
        <v>2011</v>
      </c>
      <c r="E999" s="3">
        <v>79</v>
      </c>
      <c r="F999" t="str">
        <f t="shared" si="15"/>
        <v>Senior</v>
      </c>
      <c r="G999" s="3" t="s">
        <v>32</v>
      </c>
      <c r="H999" s="2" t="s">
        <v>70</v>
      </c>
      <c r="I999" s="2" t="s">
        <v>42</v>
      </c>
      <c r="J999" s="2" t="s">
        <v>17</v>
      </c>
      <c r="K999" s="11">
        <v>45340</v>
      </c>
      <c r="L999" s="11">
        <v>45359</v>
      </c>
      <c r="M999" s="3">
        <v>35000</v>
      </c>
      <c r="N999" s="3" t="s">
        <v>37</v>
      </c>
      <c r="O999" s="3" t="s">
        <v>55</v>
      </c>
    </row>
    <row r="1000" spans="3:15">
      <c r="C1000" s="3" t="s">
        <v>2020</v>
      </c>
      <c r="D1000" s="2" t="s">
        <v>2014</v>
      </c>
      <c r="E1000" s="2">
        <v>25</v>
      </c>
      <c r="F1000" t="str">
        <f t="shared" si="15"/>
        <v>Young Adult</v>
      </c>
      <c r="G1000" s="2" t="s">
        <v>14</v>
      </c>
      <c r="H1000" s="2" t="s">
        <v>109</v>
      </c>
      <c r="I1000" s="2" t="s">
        <v>42</v>
      </c>
      <c r="J1000" s="2" t="s">
        <v>53</v>
      </c>
      <c r="K1000" s="11">
        <v>45503</v>
      </c>
      <c r="L1000" s="11">
        <v>45517</v>
      </c>
      <c r="M1000" s="2">
        <v>8000</v>
      </c>
      <c r="N1000" s="2" t="s">
        <v>168</v>
      </c>
      <c r="O1000" s="2" t="s">
        <v>87</v>
      </c>
    </row>
    <row r="1001" spans="3:15">
      <c r="C1001" s="2" t="s">
        <v>2021</v>
      </c>
      <c r="D1001" s="2" t="s">
        <v>1024</v>
      </c>
      <c r="E1001" s="3">
        <v>56</v>
      </c>
      <c r="F1001" t="str">
        <f t="shared" si="15"/>
        <v>Middle Age</v>
      </c>
      <c r="G1001" s="3" t="s">
        <v>32</v>
      </c>
      <c r="H1001" s="2" t="s">
        <v>70</v>
      </c>
      <c r="I1001" s="2" t="s">
        <v>25</v>
      </c>
      <c r="J1001" s="2" t="s">
        <v>53</v>
      </c>
      <c r="K1001" s="11">
        <v>45348</v>
      </c>
      <c r="L1001" s="11">
        <v>45357</v>
      </c>
      <c r="M1001" s="3">
        <v>12000</v>
      </c>
      <c r="N1001" s="3" t="s">
        <v>67</v>
      </c>
      <c r="O1001" s="3" t="s">
        <v>55</v>
      </c>
    </row>
    <row r="1002" spans="3:15">
      <c r="C1002" s="3" t="s">
        <v>2022</v>
      </c>
      <c r="D1002" s="2" t="s">
        <v>779</v>
      </c>
      <c r="E1002" s="2">
        <v>15</v>
      </c>
      <c r="F1002" t="str">
        <f t="shared" si="15"/>
        <v>Child</v>
      </c>
      <c r="G1002" s="2" t="s">
        <v>32</v>
      </c>
      <c r="H1002" s="2" t="s">
        <v>85</v>
      </c>
      <c r="I1002" s="2" t="s">
        <v>76</v>
      </c>
      <c r="J1002" s="2" t="s">
        <v>17</v>
      </c>
      <c r="K1002" s="11">
        <v>45412</v>
      </c>
      <c r="L1002" s="11">
        <v>45417</v>
      </c>
      <c r="M1002" s="2">
        <v>8000</v>
      </c>
      <c r="N1002" s="2" t="s">
        <v>37</v>
      </c>
      <c r="O1002" s="2" t="s">
        <v>21</v>
      </c>
    </row>
    <row r="1003" spans="3:15">
      <c r="C1003" s="2" t="s">
        <v>2024</v>
      </c>
      <c r="D1003" s="2" t="s">
        <v>346</v>
      </c>
      <c r="E1003" s="3">
        <v>63</v>
      </c>
      <c r="F1003" t="str">
        <f t="shared" si="15"/>
        <v>Senior</v>
      </c>
      <c r="G1003" s="3" t="s">
        <v>32</v>
      </c>
      <c r="H1003" s="2" t="s">
        <v>109</v>
      </c>
      <c r="I1003" s="2" t="s">
        <v>127</v>
      </c>
      <c r="J1003" s="2" t="s">
        <v>99</v>
      </c>
      <c r="K1003" s="11">
        <v>45526</v>
      </c>
      <c r="L1003" s="11">
        <v>45546</v>
      </c>
      <c r="M1003" s="3">
        <v>20000</v>
      </c>
      <c r="N1003" s="3" t="s">
        <v>37</v>
      </c>
      <c r="O1003" s="3" t="s">
        <v>55</v>
      </c>
    </row>
    <row r="1004" spans="3:15">
      <c r="C1004" s="3" t="s">
        <v>2025</v>
      </c>
      <c r="D1004" s="2" t="s">
        <v>950</v>
      </c>
      <c r="E1004" s="2">
        <v>4</v>
      </c>
      <c r="F1004" t="str">
        <f t="shared" si="15"/>
        <v>Child</v>
      </c>
      <c r="G1004" s="2" t="s">
        <v>14</v>
      </c>
      <c r="H1004" s="2" t="s">
        <v>58</v>
      </c>
      <c r="I1004" s="2" t="s">
        <v>25</v>
      </c>
      <c r="J1004" s="2" t="s">
        <v>104</v>
      </c>
      <c r="K1004" s="11">
        <v>45381</v>
      </c>
      <c r="L1004" s="11">
        <v>45401</v>
      </c>
      <c r="M1004" s="2">
        <v>5000</v>
      </c>
      <c r="N1004" s="2" t="s">
        <v>67</v>
      </c>
      <c r="O1004" s="2" t="s">
        <v>87</v>
      </c>
    </row>
    <row r="1005" spans="3:15">
      <c r="C1005" s="2" t="s">
        <v>2026</v>
      </c>
      <c r="D1005" s="2" t="s">
        <v>721</v>
      </c>
      <c r="E1005" s="3">
        <v>36</v>
      </c>
      <c r="F1005" t="str">
        <f t="shared" si="15"/>
        <v>Young Adult</v>
      </c>
      <c r="G1005" s="3" t="s">
        <v>14</v>
      </c>
      <c r="H1005" s="2" t="s">
        <v>15</v>
      </c>
      <c r="I1005" s="2" t="s">
        <v>76</v>
      </c>
      <c r="J1005" s="2" t="s">
        <v>17</v>
      </c>
      <c r="K1005" s="11">
        <v>45380</v>
      </c>
      <c r="L1005" s="11">
        <v>45383</v>
      </c>
      <c r="M1005" s="3">
        <v>15000</v>
      </c>
      <c r="N1005" s="3" t="s">
        <v>29</v>
      </c>
      <c r="O1005" s="3" t="s">
        <v>21</v>
      </c>
    </row>
    <row r="1006" spans="3:15">
      <c r="C1006" s="3" t="s">
        <v>2028</v>
      </c>
      <c r="D1006" s="2" t="s">
        <v>121</v>
      </c>
      <c r="E1006" s="2">
        <v>33</v>
      </c>
      <c r="F1006" t="str">
        <f t="shared" si="15"/>
        <v>Young Adult</v>
      </c>
      <c r="G1006" s="2" t="s">
        <v>32</v>
      </c>
      <c r="H1006" s="2" t="s">
        <v>70</v>
      </c>
      <c r="I1006" s="2" t="s">
        <v>25</v>
      </c>
      <c r="J1006" s="2" t="s">
        <v>35</v>
      </c>
      <c r="K1006" s="11">
        <v>45398</v>
      </c>
      <c r="L1006" s="11">
        <v>45425</v>
      </c>
      <c r="M1006" s="2">
        <v>35000</v>
      </c>
      <c r="N1006" s="2" t="s">
        <v>67</v>
      </c>
      <c r="O1006" s="2" t="s">
        <v>87</v>
      </c>
    </row>
    <row r="1007" spans="3:15">
      <c r="C1007" s="2" t="s">
        <v>2029</v>
      </c>
      <c r="D1007" s="2" t="s">
        <v>418</v>
      </c>
      <c r="E1007" s="3">
        <v>62</v>
      </c>
      <c r="F1007" t="str">
        <f t="shared" si="15"/>
        <v>Senior</v>
      </c>
      <c r="G1007" s="3" t="s">
        <v>32</v>
      </c>
      <c r="H1007" s="2" t="s">
        <v>70</v>
      </c>
      <c r="I1007" s="2" t="s">
        <v>127</v>
      </c>
      <c r="J1007" s="2" t="s">
        <v>48</v>
      </c>
      <c r="K1007" s="11">
        <v>45360</v>
      </c>
      <c r="L1007" s="11">
        <v>45557</v>
      </c>
      <c r="M1007" s="3">
        <v>5000</v>
      </c>
      <c r="N1007" s="3" t="s">
        <v>775</v>
      </c>
      <c r="O1007" s="3" t="s">
        <v>21</v>
      </c>
    </row>
    <row r="1008" spans="3:15">
      <c r="C1008" s="2" t="s">
        <v>2031</v>
      </c>
      <c r="D1008" s="2" t="s">
        <v>126</v>
      </c>
      <c r="E1008" s="2">
        <v>52</v>
      </c>
      <c r="F1008" t="str">
        <f t="shared" si="15"/>
        <v>Middle Age</v>
      </c>
      <c r="G1008" s="2" t="s">
        <v>14</v>
      </c>
      <c r="H1008" s="2" t="s">
        <v>58</v>
      </c>
      <c r="I1008" s="2" t="s">
        <v>25</v>
      </c>
      <c r="J1008" s="2" t="s">
        <v>35</v>
      </c>
      <c r="K1008" s="11">
        <v>45489</v>
      </c>
      <c r="L1008" s="11">
        <v>45504</v>
      </c>
      <c r="M1008" s="2">
        <v>15000</v>
      </c>
      <c r="N1008" s="2" t="s">
        <v>67</v>
      </c>
      <c r="O1008" s="2" t="s">
        <v>55</v>
      </c>
    </row>
    <row r="1009" spans="3:15">
      <c r="C1009" s="2" t="s">
        <v>2053</v>
      </c>
      <c r="D1009" s="2" t="s">
        <v>263</v>
      </c>
      <c r="E1009" s="3" t="s">
        <v>775</v>
      </c>
      <c r="F1009" t="str">
        <f t="shared" si="15"/>
        <v>Unknown</v>
      </c>
      <c r="G1009" s="3" t="s">
        <v>14</v>
      </c>
      <c r="H1009" s="2" t="s">
        <v>109</v>
      </c>
      <c r="I1009" s="2" t="s">
        <v>34</v>
      </c>
      <c r="J1009" s="2" t="s">
        <v>35</v>
      </c>
      <c r="K1009" s="11">
        <v>45326</v>
      </c>
      <c r="L1009" s="11">
        <v>45392</v>
      </c>
      <c r="M1009" s="3">
        <v>35000</v>
      </c>
      <c r="N1009" s="3" t="s">
        <v>20</v>
      </c>
      <c r="O1009" s="3" t="s">
        <v>87</v>
      </c>
    </row>
    <row r="1010" spans="3:15">
      <c r="C1010" s="2" t="s">
        <v>2054</v>
      </c>
      <c r="D1010" s="2" t="s">
        <v>2027</v>
      </c>
      <c r="E1010" s="2">
        <v>10</v>
      </c>
      <c r="F1010" t="str">
        <f t="shared" si="15"/>
        <v>Child</v>
      </c>
      <c r="G1010" s="2" t="s">
        <v>14</v>
      </c>
      <c r="H1010" s="2" t="s">
        <v>52</v>
      </c>
      <c r="I1010" s="2" t="s">
        <v>127</v>
      </c>
      <c r="J1010" s="2" t="s">
        <v>35</v>
      </c>
      <c r="K1010" s="11">
        <v>45563</v>
      </c>
      <c r="L1010" s="11">
        <v>45571</v>
      </c>
      <c r="M1010" s="2">
        <v>5000</v>
      </c>
      <c r="N1010" s="2" t="s">
        <v>37</v>
      </c>
      <c r="O1010" s="2" t="s">
        <v>38</v>
      </c>
    </row>
    <row r="1011" spans="3:15">
      <c r="C1011" s="2" t="s">
        <v>2055</v>
      </c>
      <c r="D1011" s="2" t="s">
        <v>1071</v>
      </c>
      <c r="E1011" s="3">
        <v>73</v>
      </c>
      <c r="F1011" t="str">
        <f t="shared" si="15"/>
        <v>Senior</v>
      </c>
      <c r="G1011" s="3" t="s">
        <v>32</v>
      </c>
      <c r="H1011" s="2" t="s">
        <v>58</v>
      </c>
      <c r="I1011" s="2" t="s">
        <v>25</v>
      </c>
      <c r="J1011" s="2" t="s">
        <v>99</v>
      </c>
      <c r="K1011" s="11">
        <v>45366</v>
      </c>
      <c r="L1011" s="11">
        <v>45390</v>
      </c>
      <c r="M1011" s="3">
        <v>35000</v>
      </c>
      <c r="N1011" s="3" t="s">
        <v>29</v>
      </c>
      <c r="O1011" s="3" t="s">
        <v>55</v>
      </c>
    </row>
    <row r="1012" spans="3:15">
      <c r="C1012" s="2" t="s">
        <v>2056</v>
      </c>
      <c r="D1012" s="2" t="s">
        <v>700</v>
      </c>
      <c r="E1012" s="2">
        <v>40</v>
      </c>
      <c r="F1012" t="str">
        <f t="shared" si="15"/>
        <v>Middle Age</v>
      </c>
      <c r="G1012" s="2" t="s">
        <v>14</v>
      </c>
      <c r="H1012" s="2" t="s">
        <v>33</v>
      </c>
      <c r="I1012" s="2" t="s">
        <v>25</v>
      </c>
      <c r="J1012" s="2" t="s">
        <v>48</v>
      </c>
      <c r="K1012" s="11">
        <v>45539</v>
      </c>
      <c r="L1012" s="11">
        <v>45566</v>
      </c>
      <c r="M1012" s="2">
        <v>25000</v>
      </c>
      <c r="N1012" s="2" t="s">
        <v>67</v>
      </c>
      <c r="O1012" s="2" t="s">
        <v>55</v>
      </c>
    </row>
    <row r="1013" spans="3:15">
      <c r="C1013" s="2" t="s">
        <v>2057</v>
      </c>
      <c r="D1013" s="2" t="s">
        <v>2032</v>
      </c>
      <c r="E1013" s="3">
        <v>12</v>
      </c>
      <c r="F1013" t="str">
        <f t="shared" si="15"/>
        <v>Child</v>
      </c>
      <c r="G1013" s="3" t="s">
        <v>32</v>
      </c>
      <c r="H1013" s="2" t="s">
        <v>109</v>
      </c>
      <c r="I1013" s="2" t="s">
        <v>16</v>
      </c>
      <c r="J1013" s="2" t="s">
        <v>35</v>
      </c>
      <c r="K1013" s="11">
        <v>45349</v>
      </c>
      <c r="L1013" s="11">
        <v>45375</v>
      </c>
      <c r="M1013" s="3">
        <v>8000</v>
      </c>
      <c r="N1013" s="3" t="s">
        <v>67</v>
      </c>
      <c r="O1013" s="3" t="s">
        <v>38</v>
      </c>
    </row>
  </sheetData>
  <autoFilter ref="C8:O1013" xr:uid="{BBBA5B2A-6D76-4EE0-9F13-6D1D5744E11F}"/>
  <mergeCells count="2">
    <mergeCell ref="C5:O7"/>
    <mergeCell ref="C4:O4"/>
  </mergeCells>
  <phoneticPr fontId="8" type="noConversion"/>
  <conditionalFormatting sqref="C1:C5 C8:C1048576">
    <cfRule type="duplicateValues" dxfId="0"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9821-47CF-4B6B-B2A4-FBE70E81488D}">
  <dimension ref="A1:I73"/>
  <sheetViews>
    <sheetView topLeftCell="A42" workbookViewId="0">
      <selection activeCell="E3" sqref="E3"/>
    </sheetView>
  </sheetViews>
  <sheetFormatPr defaultRowHeight="14.4"/>
  <cols>
    <col min="1" max="1" width="39.88671875" bestFit="1" customWidth="1"/>
    <col min="2" max="2" width="20.44140625" bestFit="1" customWidth="1"/>
    <col min="3" max="3" width="10.33203125" bestFit="1" customWidth="1"/>
    <col min="4" max="4" width="10.88671875" bestFit="1" customWidth="1"/>
    <col min="5" max="5" width="25.88671875" bestFit="1" customWidth="1"/>
    <col min="6" max="6" width="9.21875" bestFit="1" customWidth="1"/>
    <col min="7" max="7" width="15.109375" bestFit="1" customWidth="1"/>
    <col min="8" max="8" width="20.44140625" bestFit="1" customWidth="1"/>
    <col min="9" max="9" width="10.77734375" bestFit="1" customWidth="1"/>
    <col min="10" max="10" width="11.109375" bestFit="1" customWidth="1"/>
    <col min="11" max="11" width="11.88671875" bestFit="1" customWidth="1"/>
    <col min="12" max="12" width="8.21875" bestFit="1" customWidth="1"/>
    <col min="13" max="13" width="10.109375" bestFit="1" customWidth="1"/>
    <col min="14" max="14" width="13.44140625" bestFit="1" customWidth="1"/>
    <col min="15" max="15" width="10.5546875" bestFit="1" customWidth="1"/>
    <col min="16" max="16" width="10" bestFit="1" customWidth="1"/>
    <col min="17" max="17" width="11.6640625" bestFit="1" customWidth="1"/>
    <col min="18" max="18" width="12.88671875" bestFit="1" customWidth="1"/>
    <col min="19" max="19" width="12.77734375" bestFit="1" customWidth="1"/>
    <col min="20" max="20" width="14" bestFit="1" customWidth="1"/>
    <col min="21" max="21" width="14.44140625" bestFit="1" customWidth="1"/>
    <col min="22" max="22" width="9.6640625" bestFit="1" customWidth="1"/>
    <col min="23" max="23" width="12.5546875" bestFit="1" customWidth="1"/>
    <col min="24" max="24" width="11.77734375" bestFit="1" customWidth="1"/>
    <col min="25" max="26" width="12.21875" bestFit="1" customWidth="1"/>
    <col min="27" max="27" width="13.21875" bestFit="1" customWidth="1"/>
    <col min="28" max="28" width="14.44140625" bestFit="1" customWidth="1"/>
    <col min="29" max="29" width="9.21875" bestFit="1" customWidth="1"/>
    <col min="30" max="30" width="8.77734375" bestFit="1" customWidth="1"/>
    <col min="31" max="31" width="8.5546875" bestFit="1" customWidth="1"/>
    <col min="32" max="32" width="11.77734375" bestFit="1" customWidth="1"/>
    <col min="33" max="33" width="8.33203125" bestFit="1" customWidth="1"/>
    <col min="34" max="34" width="8.21875" bestFit="1" customWidth="1"/>
    <col min="35" max="35" width="7.44140625" bestFit="1" customWidth="1"/>
    <col min="36" max="36" width="9.21875" bestFit="1" customWidth="1"/>
    <col min="37" max="37" width="14.33203125" bestFit="1" customWidth="1"/>
    <col min="38" max="38" width="12.5546875" bestFit="1" customWidth="1"/>
    <col min="39" max="39" width="12.109375" bestFit="1" customWidth="1"/>
    <col min="40" max="40" width="11.6640625" bestFit="1" customWidth="1"/>
    <col min="41" max="41" width="11.44140625" bestFit="1" customWidth="1"/>
    <col min="42" max="42" width="10" bestFit="1" customWidth="1"/>
    <col min="43" max="44" width="11.109375" bestFit="1" customWidth="1"/>
    <col min="45" max="45" width="12.88671875" bestFit="1" customWidth="1"/>
    <col min="46" max="46" width="12.109375" bestFit="1" customWidth="1"/>
    <col min="47" max="47" width="13.33203125" bestFit="1" customWidth="1"/>
    <col min="48" max="48" width="11.6640625" bestFit="1" customWidth="1"/>
    <col min="49" max="49" width="11.21875" bestFit="1" customWidth="1"/>
    <col min="50" max="50" width="7.6640625" bestFit="1" customWidth="1"/>
    <col min="51" max="51" width="10.5546875" bestFit="1" customWidth="1"/>
    <col min="52" max="52" width="9.77734375" bestFit="1" customWidth="1"/>
    <col min="53" max="54" width="10.21875" bestFit="1" customWidth="1"/>
    <col min="55" max="55" width="11.109375" bestFit="1" customWidth="1"/>
    <col min="56" max="56" width="9.44140625" bestFit="1" customWidth="1"/>
    <col min="57" max="57" width="11.21875" bestFit="1" customWidth="1"/>
    <col min="58" max="58" width="7" bestFit="1" customWidth="1"/>
    <col min="59" max="59" width="9.88671875" bestFit="1" customWidth="1"/>
    <col min="60" max="60" width="8.44140625" bestFit="1" customWidth="1"/>
    <col min="61" max="61" width="13.21875" bestFit="1" customWidth="1"/>
    <col min="62" max="62" width="10.77734375" bestFit="1" customWidth="1"/>
    <col min="63" max="63" width="9.109375" bestFit="1" customWidth="1"/>
    <col min="64" max="64" width="9.5546875" bestFit="1" customWidth="1"/>
    <col min="65" max="65" width="10.44140625" bestFit="1" customWidth="1"/>
    <col min="66" max="66" width="8.88671875" bestFit="1" customWidth="1"/>
    <col min="67" max="67" width="10.5546875" bestFit="1" customWidth="1"/>
    <col min="68" max="68" width="11.6640625" bestFit="1" customWidth="1"/>
    <col min="69" max="69" width="12.77734375" bestFit="1" customWidth="1"/>
    <col min="70" max="70" width="13.33203125" bestFit="1" customWidth="1"/>
    <col min="71" max="71" width="12.77734375" bestFit="1" customWidth="1"/>
    <col min="72" max="72" width="15.44140625" bestFit="1" customWidth="1"/>
    <col min="73" max="73" width="13.109375" bestFit="1" customWidth="1"/>
    <col min="74" max="74" width="11.88671875" bestFit="1" customWidth="1"/>
    <col min="75" max="75" width="12.6640625" bestFit="1" customWidth="1"/>
    <col min="76" max="76" width="13.6640625" bestFit="1" customWidth="1"/>
    <col min="77" max="77" width="12.88671875" bestFit="1" customWidth="1"/>
    <col min="78" max="78" width="12.21875" bestFit="1" customWidth="1"/>
    <col min="79" max="79" width="15.5546875" bestFit="1" customWidth="1"/>
    <col min="80" max="80" width="13.21875" bestFit="1" customWidth="1"/>
    <col min="81" max="81" width="11.5546875" bestFit="1" customWidth="1"/>
    <col min="82" max="82" width="11.88671875" bestFit="1" customWidth="1"/>
    <col min="83" max="83" width="12.77734375" bestFit="1" customWidth="1"/>
    <col min="84" max="84" width="11.21875" bestFit="1" customWidth="1"/>
    <col min="85" max="85" width="11.109375" bestFit="1" customWidth="1"/>
    <col min="86" max="86" width="12.21875" bestFit="1" customWidth="1"/>
    <col min="87" max="87" width="12.6640625" bestFit="1" customWidth="1"/>
    <col min="88" max="88" width="11.5546875" bestFit="1" customWidth="1"/>
    <col min="89" max="89" width="10.109375" bestFit="1" customWidth="1"/>
    <col min="90" max="90" width="14.88671875" bestFit="1" customWidth="1"/>
    <col min="91" max="91" width="12.44140625" bestFit="1" customWidth="1"/>
    <col min="92" max="92" width="10.77734375" bestFit="1" customWidth="1"/>
    <col min="93" max="93" width="12.109375" bestFit="1" customWidth="1"/>
    <col min="94" max="94" width="10.5546875" bestFit="1" customWidth="1"/>
    <col min="95" max="95" width="13.109375" bestFit="1" customWidth="1"/>
    <col min="96" max="96" width="13.44140625" bestFit="1" customWidth="1"/>
    <col min="97" max="97" width="13.33203125" bestFit="1" customWidth="1"/>
    <col min="98" max="98" width="12.77734375" bestFit="1" customWidth="1"/>
    <col min="99" max="99" width="12.109375" bestFit="1" customWidth="1"/>
    <col min="100" max="100" width="15.44140625" bestFit="1" customWidth="1"/>
    <col min="101" max="101" width="13.109375" bestFit="1" customWidth="1"/>
    <col min="102" max="102" width="11.33203125" bestFit="1" customWidth="1"/>
    <col min="103" max="103" width="11.44140625" bestFit="1" customWidth="1"/>
    <col min="104" max="105" width="11.77734375" bestFit="1" customWidth="1"/>
    <col min="106" max="106" width="12.6640625" bestFit="1" customWidth="1"/>
    <col min="107" max="107" width="13.6640625" bestFit="1" customWidth="1"/>
    <col min="108" max="108" width="12.77734375" bestFit="1" customWidth="1"/>
    <col min="109" max="109" width="12.5546875" bestFit="1" customWidth="1"/>
    <col min="110" max="110" width="13.109375" bestFit="1" customWidth="1"/>
    <col min="111" max="111" width="12.5546875" bestFit="1" customWidth="1"/>
    <col min="112" max="112" width="9" bestFit="1" customWidth="1"/>
    <col min="113" max="113" width="12.109375" bestFit="1" customWidth="1"/>
    <col min="114" max="114" width="10.44140625" bestFit="1" customWidth="1"/>
    <col min="115" max="115" width="12.77734375" bestFit="1" customWidth="1"/>
    <col min="116" max="116" width="11.21875" bestFit="1" customWidth="1"/>
    <col min="117" max="117" width="10.88671875" bestFit="1" customWidth="1"/>
    <col min="118" max="118" width="13.44140625" bestFit="1" customWidth="1"/>
    <col min="119" max="119" width="12.5546875" bestFit="1" customWidth="1"/>
    <col min="120" max="121" width="13.109375" bestFit="1" customWidth="1"/>
    <col min="122" max="122" width="9.44140625" bestFit="1" customWidth="1"/>
    <col min="123" max="123" width="12.5546875" bestFit="1" customWidth="1"/>
    <col min="124" max="124" width="12.33203125" bestFit="1" customWidth="1"/>
    <col min="125" max="125" width="10.88671875" bestFit="1" customWidth="1"/>
    <col min="126" max="126" width="15.6640625" bestFit="1" customWidth="1"/>
    <col min="127" max="127" width="13.33203125" bestFit="1" customWidth="1"/>
    <col min="128" max="128" width="12.109375" bestFit="1" customWidth="1"/>
    <col min="129" max="129" width="12" bestFit="1" customWidth="1"/>
    <col min="130" max="130" width="10.88671875" bestFit="1" customWidth="1"/>
    <col min="131" max="131" width="10.21875" bestFit="1" customWidth="1"/>
    <col min="132" max="132" width="8.77734375" bestFit="1" customWidth="1"/>
    <col min="133" max="133" width="9.5546875" bestFit="1" customWidth="1"/>
    <col min="134" max="135" width="9.88671875" bestFit="1" customWidth="1"/>
    <col min="136" max="136" width="10.77734375" bestFit="1" customWidth="1"/>
    <col min="137" max="137" width="9.21875" bestFit="1" customWidth="1"/>
    <col min="138" max="138" width="11.6640625" bestFit="1" customWidth="1"/>
    <col min="139" max="139" width="9.109375" bestFit="1" customWidth="1"/>
    <col min="140" max="140" width="10.88671875" bestFit="1" customWidth="1"/>
    <col min="141" max="141" width="12.5546875" bestFit="1" customWidth="1"/>
    <col min="142" max="142" width="12.109375" bestFit="1" customWidth="1"/>
    <col min="143" max="143" width="8.5546875" bestFit="1" customWidth="1"/>
    <col min="144" max="144" width="11.6640625" bestFit="1" customWidth="1"/>
    <col min="145" max="145" width="10" bestFit="1" customWidth="1"/>
    <col min="146" max="146" width="12.33203125" bestFit="1" customWidth="1"/>
    <col min="147" max="147" width="10.77734375" bestFit="1" customWidth="1"/>
    <col min="148" max="149" width="11.109375" bestFit="1" customWidth="1"/>
    <col min="150" max="150" width="12" bestFit="1" customWidth="1"/>
    <col min="151" max="151" width="10.44140625" bestFit="1" customWidth="1"/>
    <col min="152" max="152" width="10.33203125" bestFit="1" customWidth="1"/>
    <col min="153" max="153" width="13.33203125" bestFit="1" customWidth="1"/>
    <col min="154" max="154" width="14.21875" bestFit="1" customWidth="1"/>
    <col min="155" max="155" width="10.109375" bestFit="1" customWidth="1"/>
    <col min="156" max="156" width="13.33203125" bestFit="1" customWidth="1"/>
    <col min="157" max="157" width="13.109375" bestFit="1" customWidth="1"/>
    <col min="158" max="158" width="11.5546875" bestFit="1" customWidth="1"/>
    <col min="159" max="159" width="12.21875" bestFit="1" customWidth="1"/>
    <col min="160" max="160" width="12.6640625" bestFit="1" customWidth="1"/>
    <col min="161" max="161" width="12" bestFit="1" customWidth="1"/>
    <col min="162" max="162" width="14.5546875" bestFit="1" customWidth="1"/>
    <col min="163" max="163" width="11.88671875" bestFit="1" customWidth="1"/>
    <col min="164" max="164" width="14.88671875" bestFit="1" customWidth="1"/>
    <col min="165" max="166" width="12.33203125" bestFit="1" customWidth="1"/>
    <col min="167" max="167" width="11.6640625" bestFit="1" customWidth="1"/>
    <col min="168" max="168" width="15" bestFit="1" customWidth="1"/>
    <col min="169" max="169" width="10.88671875" bestFit="1" customWidth="1"/>
    <col min="170" max="170" width="11" bestFit="1" customWidth="1"/>
    <col min="171" max="172" width="11.33203125" bestFit="1" customWidth="1"/>
    <col min="173" max="173" width="12.21875" bestFit="1" customWidth="1"/>
    <col min="174" max="174" width="13.21875" bestFit="1" customWidth="1"/>
    <col min="175" max="175" width="14.88671875" bestFit="1" customWidth="1"/>
    <col min="176" max="176" width="15.33203125" bestFit="1" customWidth="1"/>
    <col min="177" max="177" width="14.88671875" bestFit="1" customWidth="1"/>
    <col min="178" max="178" width="11.21875" bestFit="1" customWidth="1"/>
    <col min="179" max="179" width="14.21875" bestFit="1" customWidth="1"/>
    <col min="180" max="180" width="12.6640625" bestFit="1" customWidth="1"/>
    <col min="181" max="181" width="17.5546875" bestFit="1" customWidth="1"/>
    <col min="182" max="182" width="13.44140625" bestFit="1" customWidth="1"/>
    <col min="183" max="183" width="14" bestFit="1" customWidth="1"/>
    <col min="184" max="184" width="13.88671875" bestFit="1" customWidth="1"/>
    <col min="185" max="185" width="13.21875" bestFit="1" customWidth="1"/>
    <col min="186" max="186" width="15.6640625" bestFit="1" customWidth="1"/>
    <col min="187" max="187" width="16" bestFit="1" customWidth="1"/>
    <col min="188" max="188" width="12.44140625" bestFit="1" customWidth="1"/>
    <col min="189" max="189" width="12" bestFit="1" customWidth="1"/>
    <col min="190" max="190" width="11.5546875" bestFit="1" customWidth="1"/>
    <col min="191" max="191" width="12.21875" bestFit="1" customWidth="1"/>
    <col min="192" max="192" width="10.5546875" bestFit="1" customWidth="1"/>
    <col min="193" max="193" width="11.109375" bestFit="1" customWidth="1"/>
    <col min="194" max="194" width="13.5546875" bestFit="1" customWidth="1"/>
    <col min="195" max="195" width="11" bestFit="1" customWidth="1"/>
    <col min="196" max="196" width="11.88671875" bestFit="1" customWidth="1"/>
    <col min="197" max="197" width="12.77734375" bestFit="1" customWidth="1"/>
    <col min="198" max="198" width="10.21875" bestFit="1" customWidth="1"/>
    <col min="199" max="199" width="13.21875" bestFit="1" customWidth="1"/>
    <col min="200" max="200" width="11" bestFit="1" customWidth="1"/>
    <col min="201" max="201" width="11.44140625" bestFit="1" customWidth="1"/>
    <col min="202" max="202" width="11" bestFit="1" customWidth="1"/>
    <col min="203" max="203" width="7.44140625" bestFit="1" customWidth="1"/>
    <col min="204" max="204" width="10.5546875" bestFit="1" customWidth="1"/>
    <col min="205" max="205" width="8.88671875" bestFit="1" customWidth="1"/>
    <col min="206" max="206" width="13.6640625" bestFit="1" customWidth="1"/>
    <col min="207" max="207" width="11.21875" bestFit="1" customWidth="1"/>
    <col min="208" max="208" width="9.5546875" bestFit="1" customWidth="1"/>
    <col min="209" max="209" width="10.109375" bestFit="1" customWidth="1"/>
    <col min="210" max="210" width="9.6640625" bestFit="1" customWidth="1"/>
    <col min="211" max="211" width="10.88671875" bestFit="1" customWidth="1"/>
    <col min="212" max="212" width="11.77734375" bestFit="1" customWidth="1"/>
    <col min="213" max="213" width="9.21875" bestFit="1" customWidth="1"/>
    <col min="214" max="214" width="12.109375" bestFit="1" customWidth="1"/>
    <col min="215" max="215" width="8.21875" bestFit="1" customWidth="1"/>
    <col min="216" max="216" width="11.109375" bestFit="1" customWidth="1"/>
    <col min="217" max="217" width="10.33203125" bestFit="1" customWidth="1"/>
    <col min="218" max="218" width="10.44140625" bestFit="1" customWidth="1"/>
    <col min="219" max="219" width="10.109375" bestFit="1" customWidth="1"/>
    <col min="220" max="220" width="10" bestFit="1" customWidth="1"/>
    <col min="221" max="221" width="12.88671875" bestFit="1" customWidth="1"/>
    <col min="222" max="222" width="12.21875" bestFit="1" customWidth="1"/>
    <col min="223" max="223" width="11.33203125" bestFit="1" customWidth="1"/>
    <col min="224" max="224" width="11.109375" bestFit="1" customWidth="1"/>
    <col min="225" max="225" width="14.44140625" bestFit="1" customWidth="1"/>
    <col min="226" max="226" width="10.33203125" bestFit="1" customWidth="1"/>
    <col min="227" max="227" width="10.88671875" bestFit="1" customWidth="1"/>
    <col min="228" max="228" width="10.44140625" bestFit="1" customWidth="1"/>
    <col min="229" max="229" width="10.77734375" bestFit="1" customWidth="1"/>
    <col min="230" max="230" width="11.6640625" bestFit="1" customWidth="1"/>
    <col min="231" max="231" width="11.77734375" bestFit="1" customWidth="1"/>
    <col min="232" max="232" width="12.6640625" bestFit="1" customWidth="1"/>
    <col min="233" max="233" width="8.6640625" bestFit="1" customWidth="1"/>
    <col min="234" max="234" width="11.77734375" bestFit="1" customWidth="1"/>
    <col min="235" max="235" width="11.5546875" bestFit="1" customWidth="1"/>
    <col min="236" max="236" width="12.44140625" bestFit="1" customWidth="1"/>
    <col min="237" max="237" width="10.77734375" bestFit="1" customWidth="1"/>
    <col min="238" max="238" width="10.88671875" bestFit="1" customWidth="1"/>
    <col min="239" max="239" width="11.21875" bestFit="1" customWidth="1"/>
    <col min="240" max="240" width="12.109375" bestFit="1" customWidth="1"/>
    <col min="241" max="241" width="10.5546875" bestFit="1" customWidth="1"/>
    <col min="242" max="242" width="13.109375" bestFit="1" customWidth="1"/>
    <col min="243" max="243" width="10.44140625" bestFit="1" customWidth="1"/>
    <col min="244" max="244" width="13.44140625" bestFit="1" customWidth="1"/>
    <col min="245" max="245" width="11.21875" bestFit="1" customWidth="1"/>
    <col min="246" max="246" width="11.6640625" bestFit="1" customWidth="1"/>
    <col min="247" max="247" width="11.21875" bestFit="1" customWidth="1"/>
    <col min="248" max="248" width="10.77734375" bestFit="1" customWidth="1"/>
    <col min="249" max="249" width="9.109375" bestFit="1" customWidth="1"/>
    <col min="250" max="250" width="13.88671875" bestFit="1" customWidth="1"/>
    <col min="251" max="251" width="9.77734375" bestFit="1" customWidth="1"/>
    <col min="252" max="252" width="10.33203125" bestFit="1" customWidth="1"/>
    <col min="253" max="253" width="9.88671875" bestFit="1" customWidth="1"/>
    <col min="254" max="254" width="10.21875" bestFit="1" customWidth="1"/>
    <col min="255" max="255" width="11.109375" bestFit="1" customWidth="1"/>
    <col min="256" max="256" width="9.5546875" bestFit="1" customWidth="1"/>
    <col min="257" max="257" width="11.21875" bestFit="1" customWidth="1"/>
    <col min="258" max="258" width="12.33203125" bestFit="1" customWidth="1"/>
    <col min="259" max="259" width="11.21875" bestFit="1" customWidth="1"/>
    <col min="260" max="260" width="10.77734375" bestFit="1" customWidth="1"/>
    <col min="261" max="261" width="7.5546875" bestFit="1" customWidth="1"/>
    <col min="262" max="262" width="10.33203125" bestFit="1" customWidth="1"/>
    <col min="263" max="263" width="10.109375" bestFit="1" customWidth="1"/>
    <col min="264" max="264" width="8.6640625" bestFit="1" customWidth="1"/>
    <col min="265" max="265" width="9.33203125" bestFit="1" customWidth="1"/>
    <col min="266" max="266" width="9.44140625" bestFit="1" customWidth="1"/>
    <col min="267" max="267" width="9.77734375" bestFit="1" customWidth="1"/>
    <col min="268" max="268" width="10.77734375" bestFit="1" customWidth="1"/>
    <col min="269" max="269" width="11.88671875" bestFit="1" customWidth="1"/>
    <col min="270" max="270" width="14.88671875" bestFit="1" customWidth="1"/>
    <col min="271" max="271" width="11.77734375" bestFit="1" customWidth="1"/>
    <col min="272" max="272" width="8.21875" bestFit="1" customWidth="1"/>
    <col min="273" max="273" width="11.33203125" bestFit="1" customWidth="1"/>
    <col min="274" max="274" width="9.6640625" bestFit="1" customWidth="1"/>
    <col min="275" max="275" width="14.44140625" bestFit="1" customWidth="1"/>
    <col min="276" max="276" width="10.33203125" bestFit="1" customWidth="1"/>
    <col min="277" max="277" width="10.44140625" bestFit="1" customWidth="1"/>
    <col min="278" max="279" width="10.77734375" bestFit="1" customWidth="1"/>
    <col min="280" max="280" width="10.109375" bestFit="1" customWidth="1"/>
    <col min="281" max="281" width="12.5546875" bestFit="1" customWidth="1"/>
    <col min="282" max="282" width="10" bestFit="1" customWidth="1"/>
    <col min="283" max="283" width="11.77734375" bestFit="1" customWidth="1"/>
    <col min="284" max="285" width="11.33203125" bestFit="1" customWidth="1"/>
    <col min="286" max="286" width="7.77734375" bestFit="1" customWidth="1"/>
    <col min="287" max="287" width="11.5546875" bestFit="1" customWidth="1"/>
    <col min="288" max="288" width="9.88671875" bestFit="1" customWidth="1"/>
    <col min="289" max="289" width="10.44140625" bestFit="1" customWidth="1"/>
    <col min="290" max="290" width="10" bestFit="1" customWidth="1"/>
    <col min="291" max="291" width="9.6640625" bestFit="1" customWidth="1"/>
    <col min="292" max="292" width="9.5546875" bestFit="1" customWidth="1"/>
    <col min="293" max="293" width="12.44140625" bestFit="1" customWidth="1"/>
    <col min="294" max="294" width="14" bestFit="1" customWidth="1"/>
    <col min="295" max="295" width="13.109375" bestFit="1" customWidth="1"/>
    <col min="296" max="296" width="13.5546875" bestFit="1" customWidth="1"/>
    <col min="297" max="297" width="13.109375" bestFit="1" customWidth="1"/>
    <col min="298" max="298" width="9.44140625" bestFit="1" customWidth="1"/>
    <col min="299" max="299" width="10.88671875" bestFit="1" customWidth="1"/>
    <col min="300" max="300" width="11.5546875" bestFit="1" customWidth="1"/>
    <col min="301" max="301" width="11.6640625" bestFit="1" customWidth="1"/>
    <col min="302" max="303" width="12" bestFit="1" customWidth="1"/>
    <col min="304" max="304" width="13.88671875" bestFit="1" customWidth="1"/>
    <col min="305" max="305" width="11.21875" bestFit="1" customWidth="1"/>
    <col min="306" max="306" width="13.109375" bestFit="1" customWidth="1"/>
    <col min="307" max="307" width="14.21875" bestFit="1" customWidth="1"/>
    <col min="308" max="308" width="9.77734375" bestFit="1" customWidth="1"/>
    <col min="309" max="309" width="14.5546875" bestFit="1" customWidth="1"/>
    <col min="310" max="310" width="12.109375" bestFit="1" customWidth="1"/>
    <col min="311" max="311" width="10.44140625" bestFit="1" customWidth="1"/>
    <col min="312" max="312" width="10.5546875" bestFit="1" customWidth="1"/>
    <col min="313" max="313" width="10.88671875" bestFit="1" customWidth="1"/>
    <col min="314" max="314" width="11.77734375" bestFit="1" customWidth="1"/>
    <col min="315" max="315" width="10.21875" bestFit="1" customWidth="1"/>
    <col min="316" max="316" width="11.88671875" bestFit="1" customWidth="1"/>
    <col min="317" max="317" width="17.21875" bestFit="1" customWidth="1"/>
    <col min="318" max="318" width="13.109375" bestFit="1" customWidth="1"/>
    <col min="319" max="319" width="12.77734375" bestFit="1" customWidth="1"/>
    <col min="320" max="320" width="13.33203125" bestFit="1" customWidth="1"/>
    <col min="321" max="321" width="10.6640625" bestFit="1" customWidth="1"/>
    <col min="322" max="322" width="11.33203125" bestFit="1" customWidth="1"/>
    <col min="323" max="323" width="11.88671875" bestFit="1" customWidth="1"/>
    <col min="324" max="324" width="11.77734375" bestFit="1" customWidth="1"/>
    <col min="325" max="325" width="12.6640625" bestFit="1" customWidth="1"/>
    <col min="326" max="326" width="11.109375" bestFit="1" customWidth="1"/>
    <col min="327" max="327" width="13.6640625" bestFit="1" customWidth="1"/>
    <col min="328" max="328" width="11" bestFit="1" customWidth="1"/>
    <col min="329" max="329" width="12.77734375" bestFit="1" customWidth="1"/>
    <col min="330" max="330" width="14" bestFit="1" customWidth="1"/>
    <col min="331" max="331" width="10.77734375" bestFit="1" customWidth="1"/>
    <col min="332" max="332" width="11.21875" bestFit="1" customWidth="1"/>
    <col min="333" max="333" width="7.21875" bestFit="1" customWidth="1"/>
    <col min="334" max="334" width="10.33203125" bestFit="1" customWidth="1"/>
    <col min="335" max="335" width="11" bestFit="1" customWidth="1"/>
    <col min="336" max="336" width="9.33203125" bestFit="1" customWidth="1"/>
    <col min="337" max="337" width="9.88671875" bestFit="1" customWidth="1"/>
    <col min="338" max="338" width="9.44140625" bestFit="1" customWidth="1"/>
    <col min="339" max="339" width="9.77734375" bestFit="1" customWidth="1"/>
    <col min="340" max="340" width="10.6640625" bestFit="1" customWidth="1"/>
    <col min="341" max="341" width="9.109375" bestFit="1" customWidth="1"/>
    <col min="342" max="342" width="9" bestFit="1" customWidth="1"/>
    <col min="343" max="343" width="11.88671875" bestFit="1" customWidth="1"/>
    <col min="344" max="344" width="12" bestFit="1" customWidth="1"/>
    <col min="345" max="345" width="10.33203125" bestFit="1" customWidth="1"/>
    <col min="346" max="346" width="15.109375" bestFit="1" customWidth="1"/>
    <col min="347" max="347" width="11.5546875" bestFit="1" customWidth="1"/>
    <col min="348" max="348" width="11.109375" bestFit="1" customWidth="1"/>
    <col min="349" max="350" width="11.44140625" bestFit="1" customWidth="1"/>
    <col min="351" max="351" width="12.33203125" bestFit="1" customWidth="1"/>
    <col min="352" max="352" width="10.77734375" bestFit="1" customWidth="1"/>
    <col min="353" max="353" width="13.33203125" bestFit="1" customWidth="1"/>
    <col min="354" max="354" width="12.44140625" bestFit="1" customWidth="1"/>
    <col min="355" max="355" width="9.88671875" bestFit="1" customWidth="1"/>
    <col min="356" max="356" width="9.6640625" bestFit="1" customWidth="1"/>
    <col min="357" max="357" width="15.88671875" bestFit="1" customWidth="1"/>
    <col min="358" max="358" width="11.77734375" bestFit="1" customWidth="1"/>
    <col min="359" max="359" width="12.21875" bestFit="1" customWidth="1"/>
    <col min="360" max="360" width="13.21875" bestFit="1" customWidth="1"/>
    <col min="361" max="361" width="11.5546875" bestFit="1" customWidth="1"/>
    <col min="362" max="362" width="11.44140625" bestFit="1" customWidth="1"/>
    <col min="363" max="363" width="9.21875" bestFit="1" customWidth="1"/>
    <col min="364" max="364" width="9.6640625" bestFit="1" customWidth="1"/>
    <col min="365" max="365" width="9.21875" bestFit="1" customWidth="1"/>
    <col min="366" max="366" width="6.5546875" bestFit="1" customWidth="1"/>
    <col min="367" max="367" width="8.5546875" bestFit="1" customWidth="1"/>
    <col min="368" max="368" width="9.44140625" bestFit="1" customWidth="1"/>
    <col min="369" max="369" width="7.77734375" bestFit="1" customWidth="1"/>
    <col min="370" max="370" width="8.33203125" bestFit="1" customWidth="1"/>
    <col min="371" max="372" width="8.21875" bestFit="1" customWidth="1"/>
    <col min="373" max="373" width="7.5546875" bestFit="1" customWidth="1"/>
    <col min="374" max="374" width="10" bestFit="1" customWidth="1"/>
    <col min="375" max="375" width="7.44140625" bestFit="1" customWidth="1"/>
    <col min="376" max="376" width="9.21875" bestFit="1" customWidth="1"/>
    <col min="377" max="377" width="10.33203125" bestFit="1" customWidth="1"/>
    <col min="378" max="378" width="12.109375" bestFit="1" customWidth="1"/>
    <col min="379" max="379" width="12.5546875" bestFit="1" customWidth="1"/>
    <col min="380" max="380" width="12.109375" bestFit="1" customWidth="1"/>
    <col min="381" max="381" width="8.5546875" bestFit="1" customWidth="1"/>
    <col min="382" max="382" width="12.33203125" bestFit="1" customWidth="1"/>
    <col min="383" max="383" width="10.77734375" bestFit="1" customWidth="1"/>
    <col min="384" max="384" width="11.109375" bestFit="1" customWidth="1"/>
    <col min="385" max="385" width="12" bestFit="1" customWidth="1"/>
    <col min="386" max="386" width="10.44140625" bestFit="1" customWidth="1"/>
    <col min="387" max="387" width="12.109375" bestFit="1" customWidth="1"/>
    <col min="388" max="388" width="13.33203125" bestFit="1" customWidth="1"/>
    <col min="389" max="389" width="11.21875" bestFit="1" customWidth="1"/>
    <col min="390" max="390" width="7.6640625" bestFit="1" customWidth="1"/>
    <col min="391" max="391" width="10.77734375" bestFit="1" customWidth="1"/>
    <col min="392" max="392" width="10.5546875" bestFit="1" customWidth="1"/>
    <col min="393" max="393" width="9.109375" bestFit="1" customWidth="1"/>
    <col min="394" max="394" width="13.88671875" bestFit="1" customWidth="1"/>
    <col min="395" max="395" width="9.77734375" bestFit="1" customWidth="1"/>
    <col min="396" max="396" width="10.33203125" bestFit="1" customWidth="1"/>
    <col min="397" max="397" width="9.88671875" bestFit="1" customWidth="1"/>
    <col min="398" max="399" width="10.21875" bestFit="1" customWidth="1"/>
    <col min="400" max="400" width="11.109375" bestFit="1" customWidth="1"/>
    <col min="401" max="401" width="9.5546875" bestFit="1" customWidth="1"/>
    <col min="402" max="402" width="10.5546875" bestFit="1" customWidth="1"/>
    <col min="403" max="403" width="11" bestFit="1" customWidth="1"/>
    <col min="404" max="404" width="10.5546875" bestFit="1" customWidth="1"/>
    <col min="405" max="405" width="10.109375" bestFit="1" customWidth="1"/>
    <col min="406" max="406" width="9.88671875" bestFit="1" customWidth="1"/>
    <col min="407" max="407" width="13.21875" bestFit="1" customWidth="1"/>
    <col min="408" max="408" width="10.77734375" bestFit="1" customWidth="1"/>
    <col min="409" max="409" width="9.6640625" bestFit="1" customWidth="1"/>
    <col min="410" max="410" width="9.5546875" bestFit="1" customWidth="1"/>
    <col min="411" max="411" width="10.44140625" bestFit="1" customWidth="1"/>
    <col min="412" max="412" width="8.88671875" bestFit="1" customWidth="1"/>
    <col min="413" max="413" width="11.33203125" bestFit="1" customWidth="1"/>
    <col min="414" max="414" width="12.77734375" bestFit="1" customWidth="1"/>
    <col min="415" max="415" width="13.33203125" bestFit="1" customWidth="1"/>
    <col min="416" max="416" width="12.77734375" bestFit="1" customWidth="1"/>
    <col min="417" max="417" width="9.21875" bestFit="1" customWidth="1"/>
    <col min="418" max="418" width="12.109375" bestFit="1" customWidth="1"/>
    <col min="419" max="419" width="10.6640625" bestFit="1" customWidth="1"/>
    <col min="420" max="420" width="13.109375" bestFit="1" customWidth="1"/>
    <col min="421" max="421" width="11.44140625" bestFit="1" customWidth="1"/>
    <col min="422" max="422" width="11.77734375" bestFit="1" customWidth="1"/>
    <col min="423" max="423" width="12.6640625" bestFit="1" customWidth="1"/>
    <col min="424" max="424" width="11" bestFit="1" customWidth="1"/>
    <col min="425" max="426" width="12.88671875" bestFit="1" customWidth="1"/>
    <col min="427" max="427" width="12.44140625" bestFit="1" customWidth="1"/>
    <col min="428" max="428" width="10.77734375" bestFit="1" customWidth="1"/>
    <col min="429" max="429" width="15.5546875" bestFit="1" customWidth="1"/>
    <col min="430" max="430" width="13.21875" bestFit="1" customWidth="1"/>
    <col min="431" max="431" width="12" bestFit="1" customWidth="1"/>
    <col min="432" max="432" width="11.5546875" bestFit="1" customWidth="1"/>
    <col min="433" max="434" width="11.88671875" bestFit="1" customWidth="1"/>
    <col min="435" max="435" width="12.77734375" bestFit="1" customWidth="1"/>
    <col min="436" max="436" width="11.21875" bestFit="1" customWidth="1"/>
    <col min="437" max="437" width="13.77734375" bestFit="1" customWidth="1"/>
    <col min="438" max="438" width="12.88671875" bestFit="1" customWidth="1"/>
    <col min="439" max="439" width="12.6640625" bestFit="1" customWidth="1"/>
    <col min="440" max="440" width="11.5546875" bestFit="1" customWidth="1"/>
    <col min="441" max="441" width="10.109375" bestFit="1" customWidth="1"/>
    <col min="442" max="442" width="10.77734375" bestFit="1" customWidth="1"/>
    <col min="443" max="443" width="11.33203125" bestFit="1" customWidth="1"/>
    <col min="444" max="444" width="11.21875" bestFit="1" customWidth="1"/>
    <col min="445" max="445" width="12.109375" bestFit="1" customWidth="1"/>
    <col min="446" max="446" width="10.5546875" bestFit="1" customWidth="1"/>
    <col min="447" max="447" width="10.44140625" bestFit="1" customWidth="1"/>
    <col min="448" max="448" width="12.21875" bestFit="1" customWidth="1"/>
    <col min="449" max="449" width="13.44140625" bestFit="1" customWidth="1"/>
    <col min="450" max="450" width="13.33203125" bestFit="1" customWidth="1"/>
    <col min="451" max="451" width="9.21875" bestFit="1" customWidth="1"/>
    <col min="452" max="452" width="12.33203125" bestFit="1" customWidth="1"/>
    <col min="453" max="453" width="12.109375" bestFit="1" customWidth="1"/>
    <col min="454" max="454" width="13.109375" bestFit="1" customWidth="1"/>
    <col min="455" max="455" width="11.33203125" bestFit="1" customWidth="1"/>
    <col min="456" max="456" width="11.88671875" bestFit="1" customWidth="1"/>
    <col min="457" max="457" width="11.44140625" bestFit="1" customWidth="1"/>
    <col min="458" max="458" width="11.77734375" bestFit="1" customWidth="1"/>
    <col min="459" max="459" width="12.6640625" bestFit="1" customWidth="1"/>
    <col min="460" max="460" width="11.109375" bestFit="1" customWidth="1"/>
    <col min="461" max="461" width="13.6640625" bestFit="1" customWidth="1"/>
    <col min="462" max="462" width="15.6640625" bestFit="1" customWidth="1"/>
    <col min="463" max="463" width="14.44140625" bestFit="1" customWidth="1"/>
    <col min="464" max="464" width="17" bestFit="1" customWidth="1"/>
    <col min="465" max="465" width="12.5546875" bestFit="1" customWidth="1"/>
    <col min="466" max="466" width="13.109375" bestFit="1" customWidth="1"/>
    <col min="467" max="467" width="12.5546875" bestFit="1" customWidth="1"/>
    <col min="468" max="468" width="9" bestFit="1" customWidth="1"/>
    <col min="469" max="469" width="12.109375" bestFit="1" customWidth="1"/>
    <col min="470" max="470" width="11.88671875" bestFit="1" customWidth="1"/>
    <col min="471" max="471" width="10.44140625" bestFit="1" customWidth="1"/>
    <col min="472" max="472" width="11.6640625" bestFit="1" customWidth="1"/>
    <col min="473" max="473" width="11.21875" bestFit="1" customWidth="1"/>
    <col min="474" max="475" width="11.5546875" bestFit="1" customWidth="1"/>
    <col min="476" max="476" width="12.44140625" bestFit="1" customWidth="1"/>
    <col min="477" max="477" width="10.88671875" bestFit="1" customWidth="1"/>
    <col min="478" max="478" width="13.44140625" bestFit="1" customWidth="1"/>
    <col min="479" max="479" width="10.77734375" bestFit="1" customWidth="1"/>
    <col min="480" max="480" width="12.5546875" bestFit="1" customWidth="1"/>
    <col min="481" max="481" width="13.109375" bestFit="1" customWidth="1"/>
    <col min="482" max="482" width="13.5546875" bestFit="1" customWidth="1"/>
    <col min="483" max="483" width="9.44140625" bestFit="1" customWidth="1"/>
    <col min="484" max="484" width="12.5546875" bestFit="1" customWidth="1"/>
    <col min="485" max="485" width="10.88671875" bestFit="1" customWidth="1"/>
    <col min="486" max="486" width="15.6640625" bestFit="1" customWidth="1"/>
    <col min="487" max="487" width="11.5546875" bestFit="1" customWidth="1"/>
    <col min="488" max="488" width="12.109375" bestFit="1" customWidth="1"/>
    <col min="489" max="490" width="12" bestFit="1" customWidth="1"/>
    <col min="491" max="491" width="12.88671875" bestFit="1" customWidth="1"/>
    <col min="492" max="492" width="13.88671875" bestFit="1" customWidth="1"/>
    <col min="493" max="493" width="14.21875" bestFit="1" customWidth="1"/>
    <col min="494" max="494" width="10.88671875" bestFit="1" customWidth="1"/>
    <col min="495" max="495" width="10.21875" bestFit="1" customWidth="1"/>
    <col min="496" max="496" width="8.77734375" bestFit="1" customWidth="1"/>
    <col min="497" max="497" width="9.44140625" bestFit="1" customWidth="1"/>
    <col min="498" max="499" width="9.88671875" bestFit="1" customWidth="1"/>
    <col min="500" max="500" width="10.77734375" bestFit="1" customWidth="1"/>
    <col min="501" max="501" width="9.21875" bestFit="1" customWidth="1"/>
    <col min="502" max="502" width="9.109375" bestFit="1" customWidth="1"/>
    <col min="503" max="503" width="12.5546875" bestFit="1" customWidth="1"/>
    <col min="504" max="504" width="12.109375" bestFit="1" customWidth="1"/>
    <col min="505" max="505" width="11.44140625" bestFit="1" customWidth="1"/>
    <col min="506" max="506" width="14.77734375" bestFit="1" customWidth="1"/>
    <col min="507" max="507" width="12.33203125" bestFit="1" customWidth="1"/>
    <col min="508" max="508" width="11.21875" bestFit="1" customWidth="1"/>
    <col min="509" max="509" width="10.77734375" bestFit="1" customWidth="1"/>
    <col min="510" max="510" width="12" bestFit="1" customWidth="1"/>
    <col min="511" max="511" width="10.44140625" bestFit="1" customWidth="1"/>
    <col min="512" max="512" width="12.88671875" bestFit="1" customWidth="1"/>
    <col min="513" max="513" width="10.33203125" bestFit="1" customWidth="1"/>
    <col min="514" max="514" width="12.109375" bestFit="1" customWidth="1"/>
    <col min="515" max="515" width="14.21875" bestFit="1" customWidth="1"/>
    <col min="516" max="516" width="13.77734375" bestFit="1" customWidth="1"/>
    <col min="517" max="517" width="13.33203125" bestFit="1" customWidth="1"/>
    <col min="518" max="518" width="16.33203125" bestFit="1" customWidth="1"/>
    <col min="519" max="519" width="12.21875" bestFit="1" customWidth="1"/>
    <col min="520" max="520" width="12.77734375" bestFit="1" customWidth="1"/>
    <col min="521" max="521" width="12.33203125" bestFit="1" customWidth="1"/>
    <col min="522" max="523" width="12.6640625" bestFit="1" customWidth="1"/>
    <col min="524" max="524" width="12" bestFit="1" customWidth="1"/>
    <col min="525" max="525" width="14.5546875" bestFit="1" customWidth="1"/>
    <col min="526" max="526" width="11.88671875" bestFit="1" customWidth="1"/>
    <col min="527" max="527" width="13.77734375" bestFit="1" customWidth="1"/>
    <col min="528" max="528" width="12.33203125" bestFit="1" customWidth="1"/>
    <col min="529" max="529" width="11.88671875" bestFit="1" customWidth="1"/>
    <col min="530" max="530" width="10.88671875" bestFit="1" customWidth="1"/>
    <col min="531" max="531" width="10.6640625" bestFit="1" customWidth="1"/>
    <col min="532" max="532" width="13.21875" bestFit="1" customWidth="1"/>
    <col min="533" max="533" width="10.5546875" bestFit="1" customWidth="1"/>
    <col min="534" max="534" width="13.5546875" bestFit="1" customWidth="1"/>
    <col min="535" max="535" width="15.33203125" bestFit="1" customWidth="1"/>
    <col min="536" max="536" width="14.88671875" bestFit="1" customWidth="1"/>
    <col min="537" max="537" width="11.21875" bestFit="1" customWidth="1"/>
    <col min="538" max="538" width="12.6640625" bestFit="1" customWidth="1"/>
    <col min="539" max="539" width="15.109375" bestFit="1" customWidth="1"/>
    <col min="540" max="540" width="14" bestFit="1" customWidth="1"/>
    <col min="541" max="541" width="14.77734375" bestFit="1" customWidth="1"/>
    <col min="542" max="542" width="15.6640625" bestFit="1" customWidth="1"/>
    <col min="543" max="543" width="13.109375" bestFit="1" customWidth="1"/>
    <col min="544" max="544" width="8.44140625" bestFit="1" customWidth="1"/>
    <col min="545" max="545" width="11.33203125" bestFit="1" customWidth="1"/>
    <col min="546" max="546" width="14.6640625" bestFit="1" customWidth="1"/>
    <col min="547" max="547" width="12.21875" bestFit="1" customWidth="1"/>
    <col min="548" max="548" width="10.5546875" bestFit="1" customWidth="1"/>
    <col min="549" max="549" width="11" bestFit="1" customWidth="1"/>
    <col min="550" max="550" width="11.88671875" bestFit="1" customWidth="1"/>
    <col min="551" max="551" width="10.33203125" bestFit="1" customWidth="1"/>
    <col min="552" max="552" width="10.21875" bestFit="1" customWidth="1"/>
    <col min="553" max="553" width="12" bestFit="1" customWidth="1"/>
    <col min="554" max="554" width="11.44140625" bestFit="1" customWidth="1"/>
    <col min="555" max="555" width="7.44140625" bestFit="1" customWidth="1"/>
    <col min="556" max="556" width="10.33203125" bestFit="1" customWidth="1"/>
    <col min="557" max="557" width="8.88671875" bestFit="1" customWidth="1"/>
    <col min="558" max="558" width="13.6640625" bestFit="1" customWidth="1"/>
    <col min="559" max="559" width="11.21875" bestFit="1" customWidth="1"/>
    <col min="560" max="560" width="10.109375" bestFit="1" customWidth="1"/>
    <col min="561" max="561" width="10" bestFit="1" customWidth="1"/>
    <col min="562" max="562" width="10.88671875" bestFit="1" customWidth="1"/>
    <col min="563" max="563" width="11.77734375" bestFit="1" customWidth="1"/>
    <col min="564" max="564" width="9.21875" bestFit="1" customWidth="1"/>
    <col min="565" max="565" width="11" bestFit="1" customWidth="1"/>
    <col min="566" max="566" width="12.109375" bestFit="1" customWidth="1"/>
    <col min="567" max="567" width="11.77734375" bestFit="1" customWidth="1"/>
    <col min="568" max="568" width="11.109375" bestFit="1" customWidth="1"/>
    <col min="569" max="569" width="10.33203125" bestFit="1" customWidth="1"/>
    <col min="570" max="570" width="10.77734375" bestFit="1" customWidth="1"/>
    <col min="571" max="571" width="11.6640625" bestFit="1" customWidth="1"/>
    <col min="572" max="572" width="12.5546875" bestFit="1" customWidth="1"/>
    <col min="573" max="573" width="10" bestFit="1" customWidth="1"/>
    <col min="574" max="574" width="11.77734375" bestFit="1" customWidth="1"/>
    <col min="575" max="575" width="12.88671875" bestFit="1" customWidth="1"/>
    <col min="576" max="576" width="11.109375" bestFit="1" customWidth="1"/>
    <col min="577" max="577" width="14.44140625" bestFit="1" customWidth="1"/>
    <col min="578" max="578" width="12" bestFit="1" customWidth="1"/>
    <col min="579" max="579" width="10.88671875" bestFit="1" customWidth="1"/>
    <col min="580" max="580" width="10.77734375" bestFit="1" customWidth="1"/>
    <col min="581" max="581" width="12.88671875" bestFit="1" customWidth="1"/>
    <col min="582" max="582" width="12.6640625" bestFit="1" customWidth="1"/>
    <col min="583" max="583" width="8.6640625" bestFit="1" customWidth="1"/>
    <col min="584" max="584" width="10.109375" bestFit="1" customWidth="1"/>
    <col min="585" max="585" width="11.21875" bestFit="1" customWidth="1"/>
    <col min="586" max="586" width="10.5546875" bestFit="1" customWidth="1"/>
    <col min="587" max="587" width="13.109375" bestFit="1" customWidth="1"/>
    <col min="588" max="588" width="13.44140625" bestFit="1" customWidth="1"/>
    <col min="589" max="589" width="11.21875" bestFit="1" customWidth="1"/>
    <col min="590" max="590" width="11.6640625" bestFit="1" customWidth="1"/>
    <col min="591" max="591" width="7.6640625" bestFit="1" customWidth="1"/>
    <col min="592" max="592" width="10.5546875" bestFit="1" customWidth="1"/>
    <col min="593" max="593" width="9.109375" bestFit="1" customWidth="1"/>
    <col min="594" max="594" width="13.88671875" bestFit="1" customWidth="1"/>
    <col min="595" max="595" width="11.44140625" bestFit="1" customWidth="1"/>
    <col min="596" max="596" width="9.77734375" bestFit="1" customWidth="1"/>
    <col min="597" max="597" width="10.33203125" bestFit="1" customWidth="1"/>
    <col min="598" max="598" width="9.88671875" bestFit="1" customWidth="1"/>
    <col min="599" max="599" width="10.21875" bestFit="1" customWidth="1"/>
    <col min="600" max="600" width="9.5546875" bestFit="1" customWidth="1"/>
    <col min="601" max="601" width="12" bestFit="1" customWidth="1"/>
    <col min="602" max="602" width="9.44140625" bestFit="1" customWidth="1"/>
    <col min="603" max="603" width="11.21875" bestFit="1" customWidth="1"/>
    <col min="604" max="604" width="10.77734375" bestFit="1" customWidth="1"/>
    <col min="605" max="605" width="10.33203125" bestFit="1" customWidth="1"/>
    <col min="606" max="606" width="10.109375" bestFit="1" customWidth="1"/>
    <col min="607" max="607" width="8.6640625" bestFit="1" customWidth="1"/>
    <col min="608" max="608" width="13.44140625" bestFit="1" customWidth="1"/>
    <col min="609" max="609" width="11" bestFit="1" customWidth="1"/>
    <col min="610" max="610" width="9.88671875" bestFit="1" customWidth="1"/>
    <col min="611" max="611" width="9.44140625" bestFit="1" customWidth="1"/>
    <col min="612" max="613" width="9.77734375" bestFit="1" customWidth="1"/>
    <col min="614" max="614" width="9.109375" bestFit="1" customWidth="1"/>
    <col min="615" max="615" width="9" bestFit="1" customWidth="1"/>
    <col min="616" max="616" width="10.77734375" bestFit="1" customWidth="1"/>
    <col min="617" max="617" width="8.21875" bestFit="1" customWidth="1"/>
    <col min="618" max="618" width="11.33203125" bestFit="1" customWidth="1"/>
    <col min="619" max="619" width="9.6640625" bestFit="1" customWidth="1"/>
    <col min="620" max="620" width="14.44140625" bestFit="1" customWidth="1"/>
    <col min="621" max="621" width="10.33203125" bestFit="1" customWidth="1"/>
    <col min="622" max="623" width="10.77734375" bestFit="1" customWidth="1"/>
    <col min="624" max="624" width="11.6640625" bestFit="1" customWidth="1"/>
    <col min="625" max="625" width="12.5546875" bestFit="1" customWidth="1"/>
    <col min="626" max="626" width="10" bestFit="1" customWidth="1"/>
    <col min="627" max="627" width="12.88671875" bestFit="1" customWidth="1"/>
    <col min="628" max="628" width="11.77734375" bestFit="1" customWidth="1"/>
    <col min="629" max="629" width="11.33203125" bestFit="1" customWidth="1"/>
    <col min="630" max="630" width="7.77734375" bestFit="1" customWidth="1"/>
    <col min="631" max="631" width="10.88671875" bestFit="1" customWidth="1"/>
    <col min="632" max="632" width="10.6640625" bestFit="1" customWidth="1"/>
    <col min="633" max="633" width="9.21875" bestFit="1" customWidth="1"/>
    <col min="634" max="634" width="14" bestFit="1" customWidth="1"/>
    <col min="635" max="635" width="11.5546875" bestFit="1" customWidth="1"/>
    <col min="636" max="636" width="9.88671875" bestFit="1" customWidth="1"/>
    <col min="637" max="637" width="10" bestFit="1" customWidth="1"/>
    <col min="638" max="638" width="11.21875" bestFit="1" customWidth="1"/>
    <col min="639" max="639" width="9.6640625" bestFit="1" customWidth="1"/>
    <col min="640" max="640" width="12.109375" bestFit="1" customWidth="1"/>
    <col min="641" max="641" width="11.33203125" bestFit="1" customWidth="1"/>
    <col min="642" max="642" width="12.44140625" bestFit="1" customWidth="1"/>
    <col min="643" max="643" width="11.5546875" bestFit="1" customWidth="1"/>
    <col min="644" max="644" width="12.109375" bestFit="1" customWidth="1"/>
    <col min="645" max="645" width="11.6640625" bestFit="1" customWidth="1"/>
    <col min="646" max="647" width="12" bestFit="1" customWidth="1"/>
    <col min="648" max="648" width="12.88671875" bestFit="1" customWidth="1"/>
    <col min="649" max="649" width="13.109375" bestFit="1" customWidth="1"/>
    <col min="650" max="650" width="11.88671875" bestFit="1" customWidth="1"/>
    <col min="651" max="651" width="12.33203125" bestFit="1" customWidth="1"/>
    <col min="652" max="652" width="11.88671875" bestFit="1" customWidth="1"/>
    <col min="653" max="653" width="11.44140625" bestFit="1" customWidth="1"/>
    <col min="654" max="654" width="9.77734375" bestFit="1" customWidth="1"/>
    <col min="655" max="655" width="10.44140625" bestFit="1" customWidth="1"/>
    <col min="656" max="657" width="10.88671875" bestFit="1" customWidth="1"/>
    <col min="658" max="658" width="11.77734375" bestFit="1" customWidth="1"/>
    <col min="659" max="659" width="10.21875" bestFit="1" customWidth="1"/>
    <col min="660" max="660" width="12.6640625" bestFit="1" customWidth="1"/>
    <col min="661" max="661" width="10.109375" bestFit="1" customWidth="1"/>
    <col min="662" max="662" width="11.88671875" bestFit="1" customWidth="1"/>
    <col min="663" max="664" width="12.77734375" bestFit="1" customWidth="1"/>
    <col min="665" max="665" width="9.21875" bestFit="1" customWidth="1"/>
    <col min="666" max="666" width="12.33203125" bestFit="1" customWidth="1"/>
    <col min="667" max="667" width="10.6640625" bestFit="1" customWidth="1"/>
    <col min="668" max="668" width="15.44140625" bestFit="1" customWidth="1"/>
    <col min="669" max="669" width="11.44140625" bestFit="1" customWidth="1"/>
    <col min="670" max="670" width="11.77734375" bestFit="1" customWidth="1"/>
    <col min="671" max="671" width="13.6640625" bestFit="1" customWidth="1"/>
    <col min="672" max="672" width="11" bestFit="1" customWidth="1"/>
    <col min="673" max="673" width="12.77734375" bestFit="1" customWidth="1"/>
    <col min="674" max="674" width="14" bestFit="1" customWidth="1"/>
    <col min="675" max="675" width="10.77734375" bestFit="1" customWidth="1"/>
    <col min="676" max="676" width="11.21875" bestFit="1" customWidth="1"/>
    <col min="677" max="677" width="7.21875" bestFit="1" customWidth="1"/>
    <col min="678" max="678" width="10.33203125" bestFit="1" customWidth="1"/>
    <col min="679" max="679" width="10.109375" bestFit="1" customWidth="1"/>
    <col min="680" max="680" width="8.6640625" bestFit="1" customWidth="1"/>
    <col min="681" max="681" width="13.44140625" bestFit="1" customWidth="1"/>
    <col min="682" max="682" width="9.33203125" bestFit="1" customWidth="1"/>
    <col min="683" max="683" width="9.88671875" bestFit="1" customWidth="1"/>
    <col min="684" max="684" width="9.77734375" bestFit="1" customWidth="1"/>
    <col min="685" max="685" width="10.6640625" bestFit="1" customWidth="1"/>
    <col min="686" max="686" width="11.88671875" bestFit="1" customWidth="1"/>
    <col min="687" max="687" width="12.88671875" bestFit="1" customWidth="1"/>
    <col min="688" max="688" width="8.88671875" bestFit="1" customWidth="1"/>
    <col min="689" max="689" width="15.109375" bestFit="1" customWidth="1"/>
    <col min="690" max="690" width="11" bestFit="1" customWidth="1"/>
    <col min="691" max="691" width="11.109375" bestFit="1" customWidth="1"/>
    <col min="692" max="692" width="11.44140625" bestFit="1" customWidth="1"/>
    <col min="693" max="693" width="12.33203125" bestFit="1" customWidth="1"/>
    <col min="694" max="694" width="13.33203125" bestFit="1" customWidth="1"/>
    <col min="695" max="695" width="10.6640625" bestFit="1" customWidth="1"/>
    <col min="696" max="696" width="12.44140625" bestFit="1" customWidth="1"/>
    <col min="697" max="697" width="13.6640625" bestFit="1" customWidth="1"/>
    <col min="698" max="698" width="11.6640625" bestFit="1" customWidth="1"/>
    <col min="699" max="699" width="18.77734375" bestFit="1" customWidth="1"/>
    <col min="700" max="700" width="14" bestFit="1" customWidth="1"/>
    <col min="701" max="701" width="16.88671875" bestFit="1" customWidth="1"/>
    <col min="702" max="702" width="20.21875" bestFit="1" customWidth="1"/>
    <col min="703" max="703" width="16.109375" bestFit="1" customWidth="1"/>
    <col min="704" max="705" width="16.5546875" bestFit="1" customWidth="1"/>
    <col min="706" max="706" width="17.5546875" bestFit="1" customWidth="1"/>
    <col min="707" max="707" width="15.88671875" bestFit="1" customWidth="1"/>
    <col min="708" max="708" width="15.77734375" bestFit="1" customWidth="1"/>
    <col min="709" max="709" width="18.77734375" bestFit="1" customWidth="1"/>
    <col min="710" max="710" width="13.5546875" bestFit="1" customWidth="1"/>
    <col min="711" max="711" width="14" bestFit="1" customWidth="1"/>
    <col min="712" max="712" width="13.5546875" bestFit="1" customWidth="1"/>
    <col min="713" max="713" width="9.88671875" bestFit="1" customWidth="1"/>
    <col min="714" max="714" width="13.109375" bestFit="1" customWidth="1"/>
    <col min="715" max="715" width="12.77734375" bestFit="1" customWidth="1"/>
    <col min="716" max="716" width="16.109375" bestFit="1" customWidth="1"/>
    <col min="717" max="717" width="13.77734375" bestFit="1" customWidth="1"/>
    <col min="718" max="718" width="12" bestFit="1" customWidth="1"/>
    <col min="719" max="719" width="12.5546875" bestFit="1" customWidth="1"/>
    <col min="720" max="721" width="12.44140625" bestFit="1" customWidth="1"/>
    <col min="722" max="722" width="11.77734375" bestFit="1" customWidth="1"/>
    <col min="723" max="723" width="14.33203125" bestFit="1" customWidth="1"/>
    <col min="724" max="724" width="11.6640625" bestFit="1" customWidth="1"/>
    <col min="725" max="725" width="13.5546875" bestFit="1" customWidth="1"/>
    <col min="726" max="726" width="14.6640625" bestFit="1" customWidth="1"/>
    <col min="727" max="727" width="18.6640625" bestFit="1" customWidth="1"/>
    <col min="728" max="728" width="16.44140625" bestFit="1" customWidth="1"/>
    <col min="729" max="729" width="16.88671875" bestFit="1" customWidth="1"/>
    <col min="730" max="730" width="16.44140625" bestFit="1" customWidth="1"/>
    <col min="731" max="731" width="12.77734375" bestFit="1" customWidth="1"/>
    <col min="732" max="732" width="16" bestFit="1" customWidth="1"/>
    <col min="733" max="733" width="15.77734375" bestFit="1" customWidth="1"/>
    <col min="734" max="734" width="14.33203125" bestFit="1" customWidth="1"/>
    <col min="735" max="735" width="16.6640625" bestFit="1" customWidth="1"/>
    <col min="736" max="736" width="15.109375" bestFit="1" customWidth="1"/>
    <col min="737" max="738" width="15.44140625" bestFit="1" customWidth="1"/>
    <col min="739" max="739" width="16.33203125" bestFit="1" customWidth="1"/>
    <col min="740" max="740" width="14.77734375" bestFit="1" customWidth="1"/>
    <col min="741" max="741" width="17.33203125" bestFit="1" customWidth="1"/>
    <col min="742" max="742" width="16.44140625" bestFit="1" customWidth="1"/>
    <col min="743" max="743" width="17.6640625" bestFit="1" customWidth="1"/>
    <col min="744" max="744" width="16" bestFit="1" customWidth="1"/>
    <col min="745" max="745" width="15.5546875" bestFit="1" customWidth="1"/>
    <col min="746" max="746" width="11.88671875" bestFit="1" customWidth="1"/>
    <col min="747" max="747" width="15.109375" bestFit="1" customWidth="1"/>
    <col min="748" max="748" width="14.88671875" bestFit="1" customWidth="1"/>
    <col min="749" max="749" width="13.44140625" bestFit="1" customWidth="1"/>
    <col min="750" max="750" width="18.21875" bestFit="1" customWidth="1"/>
    <col min="751" max="751" width="14.109375" bestFit="1" customWidth="1"/>
    <col min="752" max="752" width="14.6640625" bestFit="1" customWidth="1"/>
    <col min="753" max="753" width="14.21875" bestFit="1" customWidth="1"/>
    <col min="754" max="755" width="14.5546875" bestFit="1" customWidth="1"/>
    <col min="756" max="756" width="15.44140625" bestFit="1" customWidth="1"/>
    <col min="757" max="757" width="13.88671875" bestFit="1" customWidth="1"/>
    <col min="758" max="758" width="13.77734375" bestFit="1" customWidth="1"/>
    <col min="759" max="759" width="15.5546875" bestFit="1" customWidth="1"/>
    <col min="760" max="760" width="14.88671875" bestFit="1" customWidth="1"/>
    <col min="761" max="761" width="15.33203125" bestFit="1" customWidth="1"/>
    <col min="762" max="762" width="14.88671875" bestFit="1" customWidth="1"/>
    <col min="763" max="763" width="11.21875" bestFit="1" customWidth="1"/>
    <col min="764" max="764" width="14.44140625" bestFit="1" customWidth="1"/>
    <col min="765" max="765" width="14.21875" bestFit="1" customWidth="1"/>
    <col min="766" max="766" width="12.6640625" bestFit="1" customWidth="1"/>
    <col min="767" max="767" width="17.5546875" bestFit="1" customWidth="1"/>
    <col min="768" max="768" width="15.109375" bestFit="1" customWidth="1"/>
    <col min="769" max="769" width="13.44140625" bestFit="1" customWidth="1"/>
    <col min="770" max="770" width="14" bestFit="1" customWidth="1"/>
    <col min="771" max="772" width="13.88671875" bestFit="1" customWidth="1"/>
    <col min="773" max="773" width="14.77734375" bestFit="1" customWidth="1"/>
    <col min="774" max="774" width="13.21875" bestFit="1" customWidth="1"/>
    <col min="775" max="775" width="15.6640625" bestFit="1" customWidth="1"/>
    <col min="776" max="776" width="14.88671875" bestFit="1" customWidth="1"/>
    <col min="777" max="777" width="16" bestFit="1" customWidth="1"/>
    <col min="778" max="778" width="17.21875" bestFit="1" customWidth="1"/>
    <col min="779" max="779" width="17.6640625" bestFit="1" customWidth="1"/>
    <col min="780" max="780" width="17.21875" bestFit="1" customWidth="1"/>
    <col min="781" max="781" width="13.5546875" bestFit="1" customWidth="1"/>
    <col min="782" max="782" width="16.44140625" bestFit="1" customWidth="1"/>
    <col min="783" max="783" width="15" bestFit="1" customWidth="1"/>
    <col min="784" max="784" width="19.77734375" bestFit="1" customWidth="1"/>
    <col min="785" max="785" width="17.44140625" bestFit="1" customWidth="1"/>
    <col min="786" max="786" width="16.21875" bestFit="1" customWidth="1"/>
    <col min="787" max="787" width="15.77734375" bestFit="1" customWidth="1"/>
    <col min="788" max="788" width="16.109375" bestFit="1" customWidth="1"/>
    <col min="789" max="789" width="17" bestFit="1" customWidth="1"/>
    <col min="790" max="790" width="18" bestFit="1" customWidth="1"/>
    <col min="791" max="791" width="15.33203125" bestFit="1" customWidth="1"/>
    <col min="792" max="793" width="17.33203125" bestFit="1" customWidth="1"/>
    <col min="794" max="794" width="16.77734375" bestFit="1" customWidth="1"/>
    <col min="795" max="795" width="16.5546875" bestFit="1" customWidth="1"/>
    <col min="796" max="796" width="15.109375" bestFit="1" customWidth="1"/>
    <col min="797" max="797" width="19.88671875" bestFit="1" customWidth="1"/>
    <col min="798" max="798" width="17.5546875" bestFit="1" customWidth="1"/>
    <col min="799" max="799" width="16.33203125" bestFit="1" customWidth="1"/>
    <col min="800" max="800" width="15.88671875" bestFit="1" customWidth="1"/>
    <col min="801" max="802" width="16.21875" bestFit="1" customWidth="1"/>
    <col min="803" max="803" width="17.21875" bestFit="1" customWidth="1"/>
    <col min="804" max="804" width="15.5546875" bestFit="1" customWidth="1"/>
    <col min="805" max="805" width="18.109375" bestFit="1" customWidth="1"/>
    <col min="806" max="806" width="15.44140625" bestFit="1" customWidth="1"/>
    <col min="807" max="807" width="17.33203125" bestFit="1" customWidth="1"/>
    <col min="808" max="808" width="16.5546875" bestFit="1" customWidth="1"/>
    <col min="809" max="809" width="17" bestFit="1" customWidth="1"/>
    <col min="810" max="810" width="15.88671875" bestFit="1" customWidth="1"/>
    <col min="811" max="811" width="14.44140625" bestFit="1" customWidth="1"/>
    <col min="812" max="812" width="19.21875" bestFit="1" customWidth="1"/>
    <col min="813" max="813" width="16.77734375" bestFit="1" customWidth="1"/>
    <col min="814" max="814" width="15.109375" bestFit="1" customWidth="1"/>
    <col min="815" max="815" width="15.6640625" bestFit="1" customWidth="1"/>
    <col min="816" max="816" width="15.5546875" bestFit="1" customWidth="1"/>
    <col min="817" max="817" width="16.44140625" bestFit="1" customWidth="1"/>
    <col min="818" max="818" width="14.88671875" bestFit="1" customWidth="1"/>
    <col min="819" max="819" width="17.44140625" bestFit="1" customWidth="1"/>
    <col min="820" max="820" width="14.77734375" bestFit="1" customWidth="1"/>
    <col min="821" max="821" width="16.5546875" bestFit="1" customWidth="1"/>
    <col min="822" max="822" width="17.77734375" bestFit="1" customWidth="1"/>
    <col min="823" max="823" width="17.21875" bestFit="1" customWidth="1"/>
    <col min="824" max="824" width="17.6640625" bestFit="1" customWidth="1"/>
    <col min="825" max="825" width="17.21875" bestFit="1" customWidth="1"/>
    <col min="826" max="826" width="13.5546875" bestFit="1" customWidth="1"/>
    <col min="827" max="827" width="16.6640625" bestFit="1" customWidth="1"/>
    <col min="828" max="828" width="16.44140625" bestFit="1" customWidth="1"/>
    <col min="829" max="829" width="19.77734375" bestFit="1" customWidth="1"/>
    <col min="830" max="830" width="17.44140625" bestFit="1" customWidth="1"/>
    <col min="831" max="831" width="15.6640625" bestFit="1" customWidth="1"/>
    <col min="832" max="832" width="16.21875" bestFit="1" customWidth="1"/>
    <col min="833" max="833" width="15.77734375" bestFit="1" customWidth="1"/>
    <col min="834" max="835" width="16.109375" bestFit="1" customWidth="1"/>
    <col min="836" max="836" width="17" bestFit="1" customWidth="1"/>
    <col min="837" max="837" width="15.44140625" bestFit="1" customWidth="1"/>
    <col min="838" max="838" width="18" bestFit="1" customWidth="1"/>
    <col min="839" max="839" width="17.21875" bestFit="1" customWidth="1"/>
    <col min="840" max="840" width="20" bestFit="1" customWidth="1"/>
    <col min="841" max="841" width="18.77734375" bestFit="1" customWidth="1"/>
    <col min="842" max="842" width="21.44140625" bestFit="1" customWidth="1"/>
    <col min="843" max="843" width="16.88671875" bestFit="1" customWidth="1"/>
    <col min="844" max="844" width="17.44140625" bestFit="1" customWidth="1"/>
    <col min="845" max="845" width="16.88671875" bestFit="1" customWidth="1"/>
    <col min="846" max="846" width="13.33203125" bestFit="1" customWidth="1"/>
    <col min="847" max="847" width="16.44140625" bestFit="1" customWidth="1"/>
    <col min="848" max="848" width="16.21875" bestFit="1" customWidth="1"/>
    <col min="849" max="849" width="14.77734375" bestFit="1" customWidth="1"/>
    <col min="850" max="850" width="17.21875" bestFit="1" customWidth="1"/>
    <col min="851" max="851" width="16" bestFit="1" customWidth="1"/>
    <col min="852" max="852" width="15.5546875" bestFit="1" customWidth="1"/>
    <col min="853" max="854" width="15.88671875" bestFit="1" customWidth="1"/>
    <col min="855" max="855" width="16.77734375" bestFit="1" customWidth="1"/>
    <col min="856" max="856" width="15.21875" bestFit="1" customWidth="1"/>
    <col min="857" max="857" width="17.77734375" bestFit="1" customWidth="1"/>
    <col min="858" max="858" width="15.109375" bestFit="1" customWidth="1"/>
    <col min="859" max="859" width="16.88671875" bestFit="1" customWidth="1"/>
    <col min="860" max="860" width="17.44140625" bestFit="1" customWidth="1"/>
    <col min="861" max="861" width="17.88671875" bestFit="1" customWidth="1"/>
    <col min="862" max="862" width="17.44140625" bestFit="1" customWidth="1"/>
    <col min="863" max="863" width="13.77734375" bestFit="1" customWidth="1"/>
    <col min="864" max="864" width="16.88671875" bestFit="1" customWidth="1"/>
    <col min="865" max="865" width="16.6640625" bestFit="1" customWidth="1"/>
    <col min="866" max="866" width="15.21875" bestFit="1" customWidth="1"/>
    <col min="867" max="867" width="20" bestFit="1" customWidth="1"/>
    <col min="868" max="868" width="17.6640625" bestFit="1" customWidth="1"/>
    <col min="869" max="869" width="15.88671875" bestFit="1" customWidth="1"/>
    <col min="870" max="870" width="16.44140625" bestFit="1" customWidth="1"/>
    <col min="871" max="872" width="16.33203125" bestFit="1" customWidth="1"/>
    <col min="873" max="873" width="17.33203125" bestFit="1" customWidth="1"/>
    <col min="874" max="874" width="18.21875" bestFit="1" customWidth="1"/>
    <col min="875" max="875" width="18.5546875" bestFit="1" customWidth="1"/>
    <col min="876" max="876" width="15.21875" bestFit="1" customWidth="1"/>
    <col min="877" max="877" width="14.5546875" bestFit="1" customWidth="1"/>
    <col min="878" max="878" width="13.109375" bestFit="1" customWidth="1"/>
    <col min="879" max="879" width="13.77734375" bestFit="1" customWidth="1"/>
    <col min="880" max="880" width="13.88671875" bestFit="1" customWidth="1"/>
    <col min="881" max="882" width="14.21875" bestFit="1" customWidth="1"/>
    <col min="883" max="883" width="15.109375" bestFit="1" customWidth="1"/>
    <col min="884" max="884" width="13.5546875" bestFit="1" customWidth="1"/>
    <col min="885" max="885" width="16" bestFit="1" customWidth="1"/>
    <col min="886" max="886" width="13.44140625" bestFit="1" customWidth="1"/>
    <col min="887" max="887" width="15.21875" bestFit="1" customWidth="1"/>
    <col min="888" max="888" width="16.88671875" bestFit="1" customWidth="1"/>
    <col min="889" max="889" width="16.44140625" bestFit="1" customWidth="1"/>
    <col min="890" max="890" width="12.77734375" bestFit="1" customWidth="1"/>
    <col min="891" max="891" width="16" bestFit="1" customWidth="1"/>
    <col min="892" max="892" width="15.77734375" bestFit="1" customWidth="1"/>
    <col min="893" max="893" width="14.33203125" bestFit="1" customWidth="1"/>
    <col min="894" max="894" width="19.109375" bestFit="1" customWidth="1"/>
    <col min="895" max="895" width="16.6640625" bestFit="1" customWidth="1"/>
    <col min="896" max="896" width="15.5546875" bestFit="1" customWidth="1"/>
    <col min="897" max="897" width="15.109375" bestFit="1" customWidth="1"/>
    <col min="898" max="899" width="15.44140625" bestFit="1" customWidth="1"/>
    <col min="900" max="900" width="16.33203125" bestFit="1" customWidth="1"/>
    <col min="901" max="901" width="14.77734375" bestFit="1" customWidth="1"/>
    <col min="902" max="902" width="17.33203125" bestFit="1" customWidth="1"/>
    <col min="903" max="903" width="14.6640625" bestFit="1" customWidth="1"/>
    <col min="904" max="904" width="16.44140625" bestFit="1" customWidth="1"/>
    <col min="905" max="905" width="17.6640625" bestFit="1" customWidth="1"/>
    <col min="906" max="906" width="18.5546875" bestFit="1" customWidth="1"/>
    <col min="907" max="907" width="18.109375" bestFit="1" customWidth="1"/>
    <col min="908" max="908" width="14.44140625" bestFit="1" customWidth="1"/>
    <col min="909" max="909" width="17.6640625" bestFit="1" customWidth="1"/>
    <col min="910" max="910" width="17.44140625" bestFit="1" customWidth="1"/>
    <col min="911" max="911" width="15.88671875" bestFit="1" customWidth="1"/>
    <col min="912" max="912" width="20.6640625" bestFit="1" customWidth="1"/>
    <col min="913" max="913" width="16.5546875" bestFit="1" customWidth="1"/>
    <col min="914" max="914" width="17.21875" bestFit="1" customWidth="1"/>
    <col min="915" max="915" width="16.6640625" bestFit="1" customWidth="1"/>
    <col min="916" max="917" width="17" bestFit="1" customWidth="1"/>
    <col min="918" max="918" width="16.33203125" bestFit="1" customWidth="1"/>
    <col min="919" max="919" width="18.88671875" bestFit="1" customWidth="1"/>
    <col min="920" max="920" width="16.21875" bestFit="1" customWidth="1"/>
    <col min="921" max="921" width="18.109375" bestFit="1" customWidth="1"/>
    <col min="922" max="922" width="19.21875" bestFit="1" customWidth="1"/>
    <col min="923" max="924" width="16.6640625" bestFit="1" customWidth="1"/>
    <col min="925" max="925" width="16.21875" bestFit="1" customWidth="1"/>
    <col min="926" max="926" width="16" bestFit="1" customWidth="1"/>
    <col min="927" max="927" width="19.33203125" bestFit="1" customWidth="1"/>
    <col min="928" max="928" width="15.21875" bestFit="1" customWidth="1"/>
    <col min="929" max="929" width="15.33203125" bestFit="1" customWidth="1"/>
    <col min="930" max="931" width="15.6640625" bestFit="1" customWidth="1"/>
    <col min="932" max="932" width="16.5546875" bestFit="1" customWidth="1"/>
    <col min="933" max="933" width="15" bestFit="1" customWidth="1"/>
    <col min="934" max="934" width="17.5546875" bestFit="1" customWidth="1"/>
    <col min="935" max="935" width="14.88671875" bestFit="1" customWidth="1"/>
    <col min="936" max="936" width="17.88671875" bestFit="1" customWidth="1"/>
    <col min="937" max="937" width="19.21875" bestFit="1" customWidth="1"/>
    <col min="938" max="938" width="19.6640625" bestFit="1" customWidth="1"/>
    <col min="939" max="939" width="19.21875" bestFit="1" customWidth="1"/>
    <col min="940" max="940" width="15.5546875" bestFit="1" customWidth="1"/>
    <col min="941" max="941" width="18.5546875" bestFit="1" customWidth="1"/>
    <col min="942" max="942" width="17" bestFit="1" customWidth="1"/>
    <col min="943" max="943" width="21.88671875" bestFit="1" customWidth="1"/>
    <col min="944" max="944" width="19.44140625" bestFit="1" customWidth="1"/>
    <col min="945" max="945" width="17.77734375" bestFit="1" customWidth="1"/>
    <col min="946" max="946" width="18.33203125" bestFit="1" customWidth="1"/>
    <col min="947" max="947" width="18.21875" bestFit="1" customWidth="1"/>
    <col min="948" max="948" width="19.109375" bestFit="1" customWidth="1"/>
    <col min="949" max="949" width="17.5546875" bestFit="1" customWidth="1"/>
    <col min="950" max="950" width="20" bestFit="1" customWidth="1"/>
    <col min="951" max="951" width="17.44140625" bestFit="1" customWidth="1"/>
    <col min="952" max="952" width="19.21875" bestFit="1" customWidth="1"/>
    <col min="953" max="953" width="20.33203125" bestFit="1" customWidth="1"/>
    <col min="954" max="954" width="16.77734375" bestFit="1" customWidth="1"/>
    <col min="955" max="955" width="18.77734375" bestFit="1" customWidth="1"/>
    <col min="956" max="956" width="14" bestFit="1" customWidth="1"/>
    <col min="957" max="957" width="16.88671875" bestFit="1" customWidth="1"/>
    <col min="958" max="958" width="20.21875" bestFit="1" customWidth="1"/>
    <col min="959" max="959" width="16.109375" bestFit="1" customWidth="1"/>
    <col min="960" max="961" width="16.5546875" bestFit="1" customWidth="1"/>
    <col min="962" max="962" width="17.5546875" bestFit="1" customWidth="1"/>
    <col min="963" max="963" width="15.88671875" bestFit="1" customWidth="1"/>
    <col min="964" max="964" width="15.77734375" bestFit="1" customWidth="1"/>
    <col min="965" max="965" width="18.77734375" bestFit="1" customWidth="1"/>
    <col min="966" max="966" width="13.5546875" bestFit="1" customWidth="1"/>
    <col min="967" max="967" width="14" bestFit="1" customWidth="1"/>
    <col min="968" max="968" width="13.5546875" bestFit="1" customWidth="1"/>
    <col min="969" max="969" width="9.88671875" bestFit="1" customWidth="1"/>
    <col min="970" max="970" width="13.109375" bestFit="1" customWidth="1"/>
    <col min="971" max="971" width="12.77734375" bestFit="1" customWidth="1"/>
    <col min="972" max="972" width="16.109375" bestFit="1" customWidth="1"/>
    <col min="973" max="973" width="13.77734375" bestFit="1" customWidth="1"/>
    <col min="974" max="974" width="12" bestFit="1" customWidth="1"/>
    <col min="975" max="975" width="12.5546875" bestFit="1" customWidth="1"/>
    <col min="976" max="977" width="12.44140625" bestFit="1" customWidth="1"/>
    <col min="978" max="978" width="11.77734375" bestFit="1" customWidth="1"/>
    <col min="979" max="979" width="14.33203125" bestFit="1" customWidth="1"/>
    <col min="980" max="980" width="11.6640625" bestFit="1" customWidth="1"/>
    <col min="981" max="981" width="13.5546875" bestFit="1" customWidth="1"/>
    <col min="982" max="982" width="14.6640625" bestFit="1" customWidth="1"/>
    <col min="983" max="983" width="18.6640625" bestFit="1" customWidth="1"/>
    <col min="984" max="984" width="16.44140625" bestFit="1" customWidth="1"/>
    <col min="985" max="985" width="16.88671875" bestFit="1" customWidth="1"/>
    <col min="986" max="986" width="16.44140625" bestFit="1" customWidth="1"/>
    <col min="987" max="987" width="12.77734375" bestFit="1" customWidth="1"/>
    <col min="988" max="988" width="16" bestFit="1" customWidth="1"/>
    <col min="989" max="989" width="15.77734375" bestFit="1" customWidth="1"/>
    <col min="990" max="990" width="14.33203125" bestFit="1" customWidth="1"/>
    <col min="991" max="991" width="16.6640625" bestFit="1" customWidth="1"/>
    <col min="992" max="992" width="15.109375" bestFit="1" customWidth="1"/>
    <col min="993" max="994" width="15.44140625" bestFit="1" customWidth="1"/>
    <col min="995" max="995" width="16.33203125" bestFit="1" customWidth="1"/>
    <col min="996" max="996" width="14.77734375" bestFit="1" customWidth="1"/>
    <col min="997" max="997" width="17.33203125" bestFit="1" customWidth="1"/>
    <col min="998" max="998" width="16.44140625" bestFit="1" customWidth="1"/>
    <col min="999" max="999" width="17.6640625" bestFit="1" customWidth="1"/>
    <col min="1000" max="1000" width="16" bestFit="1" customWidth="1"/>
    <col min="1001" max="1001" width="15.5546875" bestFit="1" customWidth="1"/>
    <col min="1002" max="1002" width="11.88671875" bestFit="1" customWidth="1"/>
    <col min="1003" max="1003" width="15.109375" bestFit="1" customWidth="1"/>
    <col min="1004" max="1004" width="14.88671875" bestFit="1" customWidth="1"/>
    <col min="1005" max="1005" width="13.44140625" bestFit="1" customWidth="1"/>
    <col min="1006" max="1006" width="18.21875" bestFit="1" customWidth="1"/>
    <col min="1007" max="1007" width="14.109375" bestFit="1" customWidth="1"/>
    <col min="1008" max="1008" width="14.6640625" bestFit="1" customWidth="1"/>
    <col min="1009" max="1009" width="14.21875" bestFit="1" customWidth="1"/>
    <col min="1010" max="1011" width="14.5546875" bestFit="1" customWidth="1"/>
    <col min="1012" max="1012" width="15.44140625" bestFit="1" customWidth="1"/>
    <col min="1013" max="1013" width="13.88671875" bestFit="1" customWidth="1"/>
    <col min="1014" max="1014" width="13.77734375" bestFit="1" customWidth="1"/>
    <col min="1015" max="1015" width="15.5546875" bestFit="1" customWidth="1"/>
    <col min="1016" max="1016" width="14.88671875" bestFit="1" customWidth="1"/>
    <col min="1017" max="1017" width="15.33203125" bestFit="1" customWidth="1"/>
    <col min="1018" max="1018" width="14.88671875" bestFit="1" customWidth="1"/>
    <col min="1019" max="1019" width="11.21875" bestFit="1" customWidth="1"/>
    <col min="1020" max="1020" width="14.44140625" bestFit="1" customWidth="1"/>
    <col min="1021" max="1021" width="14.21875" bestFit="1" customWidth="1"/>
    <col min="1022" max="1022" width="12.6640625" bestFit="1" customWidth="1"/>
    <col min="1023" max="1023" width="17.5546875" bestFit="1" customWidth="1"/>
    <col min="1024" max="1024" width="15.109375" bestFit="1" customWidth="1"/>
    <col min="1025" max="1025" width="13.44140625" bestFit="1" customWidth="1"/>
    <col min="1026" max="1026" width="14" bestFit="1" customWidth="1"/>
    <col min="1027" max="1028" width="13.88671875" bestFit="1" customWidth="1"/>
    <col min="1029" max="1029" width="14.77734375" bestFit="1" customWidth="1"/>
    <col min="1030" max="1030" width="13.21875" bestFit="1" customWidth="1"/>
    <col min="1031" max="1031" width="15.6640625" bestFit="1" customWidth="1"/>
    <col min="1032" max="1032" width="14.88671875" bestFit="1" customWidth="1"/>
    <col min="1033" max="1033" width="16" bestFit="1" customWidth="1"/>
    <col min="1034" max="1034" width="17.21875" bestFit="1" customWidth="1"/>
    <col min="1035" max="1035" width="17.6640625" bestFit="1" customWidth="1"/>
    <col min="1036" max="1036" width="17.21875" bestFit="1" customWidth="1"/>
    <col min="1037" max="1037" width="13.5546875" bestFit="1" customWidth="1"/>
    <col min="1038" max="1038" width="16.44140625" bestFit="1" customWidth="1"/>
    <col min="1039" max="1039" width="15" bestFit="1" customWidth="1"/>
    <col min="1040" max="1040" width="19.77734375" bestFit="1" customWidth="1"/>
    <col min="1041" max="1041" width="17.44140625" bestFit="1" customWidth="1"/>
    <col min="1042" max="1042" width="16.21875" bestFit="1" customWidth="1"/>
    <col min="1043" max="1043" width="15.77734375" bestFit="1" customWidth="1"/>
    <col min="1044" max="1044" width="16.109375" bestFit="1" customWidth="1"/>
    <col min="1045" max="1045" width="17" bestFit="1" customWidth="1"/>
    <col min="1046" max="1046" width="18" bestFit="1" customWidth="1"/>
    <col min="1047" max="1047" width="15.33203125" bestFit="1" customWidth="1"/>
    <col min="1048" max="1049" width="17.33203125" bestFit="1" customWidth="1"/>
    <col min="1050" max="1050" width="16.77734375" bestFit="1" customWidth="1"/>
    <col min="1051" max="1051" width="16.5546875" bestFit="1" customWidth="1"/>
    <col min="1052" max="1052" width="15.109375" bestFit="1" customWidth="1"/>
    <col min="1053" max="1053" width="19.88671875" bestFit="1" customWidth="1"/>
    <col min="1054" max="1054" width="17.5546875" bestFit="1" customWidth="1"/>
    <col min="1055" max="1055" width="16.33203125" bestFit="1" customWidth="1"/>
    <col min="1056" max="1056" width="15.88671875" bestFit="1" customWidth="1"/>
    <col min="1057" max="1058" width="16.21875" bestFit="1" customWidth="1"/>
    <col min="1059" max="1059" width="17.21875" bestFit="1" customWidth="1"/>
    <col min="1060" max="1060" width="15.5546875" bestFit="1" customWidth="1"/>
    <col min="1061" max="1061" width="18.109375" bestFit="1" customWidth="1"/>
    <col min="1062" max="1062" width="15.44140625" bestFit="1" customWidth="1"/>
    <col min="1063" max="1063" width="17.33203125" bestFit="1" customWidth="1"/>
    <col min="1064" max="1064" width="16.5546875" bestFit="1" customWidth="1"/>
    <col min="1065" max="1065" width="17" bestFit="1" customWidth="1"/>
    <col min="1066" max="1066" width="15.88671875" bestFit="1" customWidth="1"/>
    <col min="1067" max="1067" width="14.44140625" bestFit="1" customWidth="1"/>
    <col min="1068" max="1068" width="19.21875" bestFit="1" customWidth="1"/>
    <col min="1069" max="1069" width="16.77734375" bestFit="1" customWidth="1"/>
    <col min="1070" max="1070" width="15.109375" bestFit="1" customWidth="1"/>
    <col min="1071" max="1071" width="15.6640625" bestFit="1" customWidth="1"/>
    <col min="1072" max="1072" width="15.5546875" bestFit="1" customWidth="1"/>
    <col min="1073" max="1073" width="16.44140625" bestFit="1" customWidth="1"/>
    <col min="1074" max="1074" width="14.88671875" bestFit="1" customWidth="1"/>
    <col min="1075" max="1075" width="17.44140625" bestFit="1" customWidth="1"/>
    <col min="1076" max="1076" width="14.77734375" bestFit="1" customWidth="1"/>
    <col min="1077" max="1077" width="16.5546875" bestFit="1" customWidth="1"/>
    <col min="1078" max="1078" width="17.77734375" bestFit="1" customWidth="1"/>
    <col min="1079" max="1079" width="17.21875" bestFit="1" customWidth="1"/>
    <col min="1080" max="1080" width="17.6640625" bestFit="1" customWidth="1"/>
    <col min="1081" max="1081" width="17.21875" bestFit="1" customWidth="1"/>
    <col min="1082" max="1082" width="13.5546875" bestFit="1" customWidth="1"/>
    <col min="1083" max="1083" width="16.6640625" bestFit="1" customWidth="1"/>
    <col min="1084" max="1084" width="16.44140625" bestFit="1" customWidth="1"/>
    <col min="1085" max="1085" width="19.77734375" bestFit="1" customWidth="1"/>
    <col min="1086" max="1086" width="17.44140625" bestFit="1" customWidth="1"/>
    <col min="1087" max="1087" width="15.6640625" bestFit="1" customWidth="1"/>
    <col min="1088" max="1088" width="16.21875" bestFit="1" customWidth="1"/>
    <col min="1089" max="1089" width="15.77734375" bestFit="1" customWidth="1"/>
    <col min="1090" max="1091" width="16.109375" bestFit="1" customWidth="1"/>
    <col min="1092" max="1092" width="17" bestFit="1" customWidth="1"/>
    <col min="1093" max="1093" width="15.44140625" bestFit="1" customWidth="1"/>
    <col min="1094" max="1094" width="18" bestFit="1" customWidth="1"/>
    <col min="1095" max="1095" width="17.21875" bestFit="1" customWidth="1"/>
    <col min="1096" max="1096" width="20" bestFit="1" customWidth="1"/>
    <col min="1097" max="1097" width="18.77734375" bestFit="1" customWidth="1"/>
    <col min="1098" max="1098" width="21.44140625" bestFit="1" customWidth="1"/>
    <col min="1099" max="1099" width="16.88671875" bestFit="1" customWidth="1"/>
    <col min="1100" max="1100" width="17.44140625" bestFit="1" customWidth="1"/>
    <col min="1101" max="1101" width="16.88671875" bestFit="1" customWidth="1"/>
    <col min="1102" max="1102" width="13.33203125" bestFit="1" customWidth="1"/>
    <col min="1103" max="1103" width="16.44140625" bestFit="1" customWidth="1"/>
    <col min="1104" max="1104" width="16.21875" bestFit="1" customWidth="1"/>
    <col min="1105" max="1105" width="14.77734375" bestFit="1" customWidth="1"/>
    <col min="1106" max="1106" width="17.21875" bestFit="1" customWidth="1"/>
    <col min="1107" max="1107" width="16" bestFit="1" customWidth="1"/>
    <col min="1108" max="1108" width="15.5546875" bestFit="1" customWidth="1"/>
    <col min="1109" max="1110" width="15.88671875" bestFit="1" customWidth="1"/>
    <col min="1111" max="1111" width="16.77734375" bestFit="1" customWidth="1"/>
    <col min="1112" max="1112" width="15.21875" bestFit="1" customWidth="1"/>
    <col min="1113" max="1113" width="17.77734375" bestFit="1" customWidth="1"/>
    <col min="1114" max="1114" width="15.109375" bestFit="1" customWidth="1"/>
    <col min="1115" max="1115" width="16.88671875" bestFit="1" customWidth="1"/>
    <col min="1116" max="1116" width="17.44140625" bestFit="1" customWidth="1"/>
    <col min="1117" max="1117" width="17.88671875" bestFit="1" customWidth="1"/>
    <col min="1118" max="1118" width="17.44140625" bestFit="1" customWidth="1"/>
    <col min="1119" max="1119" width="13.77734375" bestFit="1" customWidth="1"/>
    <col min="1120" max="1120" width="16.88671875" bestFit="1" customWidth="1"/>
    <col min="1121" max="1121" width="16.6640625" bestFit="1" customWidth="1"/>
    <col min="1122" max="1122" width="15.21875" bestFit="1" customWidth="1"/>
    <col min="1123" max="1123" width="20" bestFit="1" customWidth="1"/>
    <col min="1124" max="1124" width="17.6640625" bestFit="1" customWidth="1"/>
    <col min="1125" max="1125" width="15.88671875" bestFit="1" customWidth="1"/>
    <col min="1126" max="1126" width="16.44140625" bestFit="1" customWidth="1"/>
    <col min="1127" max="1128" width="16.33203125" bestFit="1" customWidth="1"/>
    <col min="1129" max="1129" width="17.33203125" bestFit="1" customWidth="1"/>
    <col min="1130" max="1130" width="18.21875" bestFit="1" customWidth="1"/>
    <col min="1131" max="1131" width="18.5546875" bestFit="1" customWidth="1"/>
    <col min="1132" max="1132" width="15.21875" bestFit="1" customWidth="1"/>
    <col min="1133" max="1133" width="14.5546875" bestFit="1" customWidth="1"/>
    <col min="1134" max="1134" width="13.109375" bestFit="1" customWidth="1"/>
    <col min="1135" max="1135" width="13.77734375" bestFit="1" customWidth="1"/>
    <col min="1136" max="1136" width="13.88671875" bestFit="1" customWidth="1"/>
    <col min="1137" max="1138" width="14.21875" bestFit="1" customWidth="1"/>
    <col min="1139" max="1139" width="15.109375" bestFit="1" customWidth="1"/>
    <col min="1140" max="1140" width="13.5546875" bestFit="1" customWidth="1"/>
    <col min="1141" max="1141" width="16" bestFit="1" customWidth="1"/>
    <col min="1142" max="1142" width="13.44140625" bestFit="1" customWidth="1"/>
    <col min="1143" max="1143" width="15.21875" bestFit="1" customWidth="1"/>
    <col min="1144" max="1144" width="16.88671875" bestFit="1" customWidth="1"/>
    <col min="1145" max="1145" width="16.44140625" bestFit="1" customWidth="1"/>
    <col min="1146" max="1146" width="12.77734375" bestFit="1" customWidth="1"/>
    <col min="1147" max="1147" width="16" bestFit="1" customWidth="1"/>
    <col min="1148" max="1148" width="15.77734375" bestFit="1" customWidth="1"/>
    <col min="1149" max="1149" width="14.33203125" bestFit="1" customWidth="1"/>
    <col min="1150" max="1150" width="19.109375" bestFit="1" customWidth="1"/>
    <col min="1151" max="1151" width="16.6640625" bestFit="1" customWidth="1"/>
    <col min="1152" max="1152" width="15.5546875" bestFit="1" customWidth="1"/>
    <col min="1153" max="1153" width="15.109375" bestFit="1" customWidth="1"/>
    <col min="1154" max="1155" width="15.44140625" bestFit="1" customWidth="1"/>
    <col min="1156" max="1156" width="16.33203125" bestFit="1" customWidth="1"/>
    <col min="1157" max="1157" width="14.77734375" bestFit="1" customWidth="1"/>
    <col min="1158" max="1158" width="17.33203125" bestFit="1" customWidth="1"/>
    <col min="1159" max="1159" width="14.6640625" bestFit="1" customWidth="1"/>
    <col min="1160" max="1160" width="16.44140625" bestFit="1" customWidth="1"/>
    <col min="1161" max="1161" width="17.6640625" bestFit="1" customWidth="1"/>
    <col min="1162" max="1162" width="18.5546875" bestFit="1" customWidth="1"/>
    <col min="1163" max="1163" width="18.109375" bestFit="1" customWidth="1"/>
    <col min="1164" max="1164" width="14.44140625" bestFit="1" customWidth="1"/>
    <col min="1165" max="1165" width="17.6640625" bestFit="1" customWidth="1"/>
    <col min="1166" max="1166" width="17.44140625" bestFit="1" customWidth="1"/>
    <col min="1167" max="1167" width="15.88671875" bestFit="1" customWidth="1"/>
    <col min="1168" max="1168" width="20.6640625" bestFit="1" customWidth="1"/>
    <col min="1169" max="1169" width="16.5546875" bestFit="1" customWidth="1"/>
    <col min="1170" max="1170" width="17.21875" bestFit="1" customWidth="1"/>
    <col min="1171" max="1171" width="16.6640625" bestFit="1" customWidth="1"/>
    <col min="1172" max="1173" width="17" bestFit="1" customWidth="1"/>
    <col min="1174" max="1174" width="16.33203125" bestFit="1" customWidth="1"/>
    <col min="1175" max="1175" width="18.88671875" bestFit="1" customWidth="1"/>
    <col min="1176" max="1176" width="16.21875" bestFit="1" customWidth="1"/>
    <col min="1177" max="1177" width="18.109375" bestFit="1" customWidth="1"/>
    <col min="1178" max="1178" width="19.21875" bestFit="1" customWidth="1"/>
    <col min="1179" max="1180" width="16.6640625" bestFit="1" customWidth="1"/>
    <col min="1181" max="1181" width="16.21875" bestFit="1" customWidth="1"/>
    <col min="1182" max="1182" width="16" bestFit="1" customWidth="1"/>
    <col min="1183" max="1183" width="19.33203125" bestFit="1" customWidth="1"/>
    <col min="1184" max="1184" width="15.21875" bestFit="1" customWidth="1"/>
    <col min="1185" max="1185" width="15.33203125" bestFit="1" customWidth="1"/>
    <col min="1186" max="1186" width="15.6640625" bestFit="1" customWidth="1"/>
    <col min="1187" max="1187" width="10.77734375" bestFit="1" customWidth="1"/>
  </cols>
  <sheetData>
    <row r="1" spans="1:8" ht="14.4" customHeight="1">
      <c r="A1" s="20" t="s">
        <v>2101</v>
      </c>
      <c r="B1" s="20"/>
      <c r="C1" s="20"/>
    </row>
    <row r="2" spans="1:8" ht="14.4" customHeight="1">
      <c r="A2" s="20"/>
      <c r="B2" s="20"/>
      <c r="C2" s="20"/>
    </row>
    <row r="3" spans="1:8" ht="14.4" customHeight="1">
      <c r="A3" s="20"/>
      <c r="B3" s="20"/>
      <c r="C3" s="20"/>
    </row>
    <row r="4" spans="1:8" ht="14.4" customHeight="1"/>
    <row r="5" spans="1:8" ht="14.4" customHeight="1"/>
    <row r="6" spans="1:8">
      <c r="A6" s="47" t="s">
        <v>2063</v>
      </c>
      <c r="B6" s="47"/>
      <c r="D6" s="47" t="s">
        <v>2061</v>
      </c>
      <c r="E6" s="47"/>
      <c r="G6" s="47" t="s">
        <v>2065</v>
      </c>
      <c r="H6" s="47"/>
    </row>
    <row r="7" spans="1:8">
      <c r="A7" s="7" t="s">
        <v>2058</v>
      </c>
      <c r="B7" t="s">
        <v>2062</v>
      </c>
      <c r="D7" s="7" t="s">
        <v>2058</v>
      </c>
      <c r="E7" t="s">
        <v>2060</v>
      </c>
      <c r="G7" s="7" t="s">
        <v>2058</v>
      </c>
      <c r="H7" t="s">
        <v>2062</v>
      </c>
    </row>
    <row r="8" spans="1:8">
      <c r="A8" s="8" t="s">
        <v>775</v>
      </c>
      <c r="B8">
        <v>8</v>
      </c>
      <c r="D8" s="8" t="s">
        <v>34</v>
      </c>
      <c r="E8" s="13">
        <v>4275000</v>
      </c>
      <c r="G8" s="8" t="s">
        <v>67</v>
      </c>
      <c r="H8">
        <v>258</v>
      </c>
    </row>
    <row r="9" spans="1:8">
      <c r="A9" s="8" t="s">
        <v>33</v>
      </c>
      <c r="B9">
        <v>128</v>
      </c>
      <c r="D9" s="8" t="s">
        <v>25</v>
      </c>
      <c r="E9" s="13">
        <v>4333000</v>
      </c>
      <c r="G9" s="8" t="s">
        <v>20</v>
      </c>
      <c r="H9">
        <v>227</v>
      </c>
    </row>
    <row r="10" spans="1:8">
      <c r="A10" s="8" t="s">
        <v>109</v>
      </c>
      <c r="B10">
        <v>133</v>
      </c>
      <c r="D10" s="8" t="s">
        <v>16</v>
      </c>
      <c r="E10" s="13">
        <v>4558000</v>
      </c>
      <c r="G10" s="8" t="s">
        <v>29</v>
      </c>
      <c r="H10">
        <v>249</v>
      </c>
    </row>
    <row r="11" spans="1:8">
      <c r="A11" s="8" t="s">
        <v>85</v>
      </c>
      <c r="B11">
        <v>135</v>
      </c>
      <c r="D11" s="8" t="s">
        <v>132</v>
      </c>
      <c r="E11" s="13">
        <v>4640000</v>
      </c>
      <c r="G11" s="8" t="s">
        <v>37</v>
      </c>
      <c r="H11">
        <v>258</v>
      </c>
    </row>
    <row r="12" spans="1:8">
      <c r="A12" s="8" t="s">
        <v>58</v>
      </c>
      <c r="B12">
        <v>140</v>
      </c>
      <c r="D12" s="8" t="s">
        <v>42</v>
      </c>
      <c r="E12" s="13">
        <v>4688000</v>
      </c>
      <c r="G12" s="8" t="s">
        <v>775</v>
      </c>
      <c r="H12">
        <v>13</v>
      </c>
    </row>
    <row r="13" spans="1:8">
      <c r="A13" s="8" t="s">
        <v>15</v>
      </c>
      <c r="B13">
        <v>153</v>
      </c>
      <c r="D13" s="8" t="s">
        <v>127</v>
      </c>
      <c r="E13" s="13">
        <v>4942000</v>
      </c>
      <c r="G13" s="8" t="s">
        <v>2059</v>
      </c>
      <c r="H13">
        <v>1005</v>
      </c>
    </row>
    <row r="14" spans="1:8">
      <c r="A14" s="8" t="s">
        <v>70</v>
      </c>
      <c r="B14">
        <v>153</v>
      </c>
      <c r="D14" s="8" t="s">
        <v>76</v>
      </c>
      <c r="E14" s="13">
        <v>5045000</v>
      </c>
    </row>
    <row r="15" spans="1:8">
      <c r="A15" s="8" t="s">
        <v>52</v>
      </c>
      <c r="B15">
        <v>155</v>
      </c>
      <c r="D15" s="8" t="s">
        <v>2059</v>
      </c>
      <c r="E15" s="13">
        <v>32481000</v>
      </c>
    </row>
    <row r="16" spans="1:8">
      <c r="A16" s="8" t="s">
        <v>2059</v>
      </c>
      <c r="B16">
        <v>1005</v>
      </c>
    </row>
    <row r="19" spans="1:8" ht="17.399999999999999">
      <c r="A19" s="48" t="s">
        <v>2091</v>
      </c>
      <c r="B19" s="48"/>
      <c r="D19" s="48" t="s">
        <v>2068</v>
      </c>
      <c r="E19" s="48"/>
      <c r="G19" s="46" t="s">
        <v>2066</v>
      </c>
      <c r="H19" s="46"/>
    </row>
    <row r="20" spans="1:8">
      <c r="A20" s="7" t="s">
        <v>2058</v>
      </c>
      <c r="B20" t="s">
        <v>2062</v>
      </c>
      <c r="D20" s="7" t="s">
        <v>2058</v>
      </c>
      <c r="E20" t="s">
        <v>2062</v>
      </c>
      <c r="G20" s="7" t="s">
        <v>2058</v>
      </c>
      <c r="H20" t="s">
        <v>2062</v>
      </c>
    </row>
    <row r="21" spans="1:8">
      <c r="A21" s="8" t="s">
        <v>2079</v>
      </c>
      <c r="B21">
        <v>108</v>
      </c>
      <c r="D21" s="8" t="s">
        <v>2067</v>
      </c>
      <c r="E21">
        <v>2</v>
      </c>
      <c r="G21" s="8" t="s">
        <v>87</v>
      </c>
      <c r="H21">
        <v>259</v>
      </c>
    </row>
    <row r="22" spans="1:8">
      <c r="A22" s="8" t="s">
        <v>2080</v>
      </c>
      <c r="B22">
        <v>102</v>
      </c>
      <c r="D22" s="8" t="s">
        <v>26</v>
      </c>
      <c r="E22">
        <v>116</v>
      </c>
      <c r="G22" s="8" t="s">
        <v>21</v>
      </c>
      <c r="H22">
        <v>235</v>
      </c>
    </row>
    <row r="23" spans="1:8">
      <c r="A23" s="8" t="s">
        <v>2081</v>
      </c>
      <c r="B23">
        <v>81</v>
      </c>
      <c r="D23" s="8" t="s">
        <v>104</v>
      </c>
      <c r="E23">
        <v>133</v>
      </c>
      <c r="G23" s="8" t="s">
        <v>38</v>
      </c>
      <c r="H23">
        <v>239</v>
      </c>
    </row>
    <row r="24" spans="1:8">
      <c r="A24" s="8" t="s">
        <v>2082</v>
      </c>
      <c r="B24">
        <v>93</v>
      </c>
      <c r="D24" s="8" t="s">
        <v>48</v>
      </c>
      <c r="E24">
        <v>139</v>
      </c>
      <c r="G24" s="8" t="s">
        <v>55</v>
      </c>
      <c r="H24">
        <v>262</v>
      </c>
    </row>
    <row r="25" spans="1:8">
      <c r="A25" s="8" t="s">
        <v>2083</v>
      </c>
      <c r="B25">
        <v>85</v>
      </c>
      <c r="D25" s="8" t="s">
        <v>53</v>
      </c>
      <c r="E25">
        <v>145</v>
      </c>
      <c r="G25" s="8" t="s">
        <v>775</v>
      </c>
      <c r="H25">
        <v>10</v>
      </c>
    </row>
    <row r="26" spans="1:8">
      <c r="A26" s="8" t="s">
        <v>2084</v>
      </c>
      <c r="B26">
        <v>85</v>
      </c>
      <c r="D26" s="8" t="s">
        <v>35</v>
      </c>
      <c r="E26">
        <v>155</v>
      </c>
      <c r="G26" s="8" t="s">
        <v>2059</v>
      </c>
      <c r="H26">
        <v>1005</v>
      </c>
    </row>
    <row r="27" spans="1:8">
      <c r="A27" s="8" t="s">
        <v>2085</v>
      </c>
      <c r="B27">
        <v>102</v>
      </c>
      <c r="D27" s="8" t="s">
        <v>99</v>
      </c>
      <c r="E27">
        <v>156</v>
      </c>
    </row>
    <row r="28" spans="1:8">
      <c r="A28" s="8" t="s">
        <v>2086</v>
      </c>
      <c r="B28">
        <v>108</v>
      </c>
      <c r="D28" s="8" t="s">
        <v>17</v>
      </c>
      <c r="E28">
        <v>159</v>
      </c>
    </row>
    <row r="29" spans="1:8">
      <c r="A29" s="8" t="s">
        <v>2087</v>
      </c>
      <c r="B29">
        <v>99</v>
      </c>
      <c r="D29" s="8" t="s">
        <v>2059</v>
      </c>
      <c r="E29">
        <v>1005</v>
      </c>
    </row>
    <row r="30" spans="1:8">
      <c r="A30" s="8" t="s">
        <v>2088</v>
      </c>
      <c r="B30">
        <v>82</v>
      </c>
    </row>
    <row r="31" spans="1:8">
      <c r="A31" s="8" t="s">
        <v>2089</v>
      </c>
      <c r="B31">
        <v>32</v>
      </c>
    </row>
    <row r="32" spans="1:8">
      <c r="A32" s="8" t="s">
        <v>2090</v>
      </c>
      <c r="B32">
        <v>28</v>
      </c>
    </row>
    <row r="33" spans="1:9">
      <c r="A33" s="8" t="s">
        <v>2059</v>
      </c>
      <c r="B33">
        <v>1005</v>
      </c>
    </row>
    <row r="37" spans="1:9" ht="17.399999999999999">
      <c r="A37" s="46" t="s">
        <v>2077</v>
      </c>
      <c r="B37" s="46"/>
      <c r="C37" s="46"/>
      <c r="D37" s="46"/>
      <c r="E37" s="46"/>
      <c r="F37" s="46"/>
      <c r="G37" s="46"/>
      <c r="H37" s="46"/>
      <c r="I37" s="46"/>
    </row>
    <row r="38" spans="1:9">
      <c r="A38" s="7" t="s">
        <v>2062</v>
      </c>
      <c r="B38" s="7" t="s">
        <v>2064</v>
      </c>
    </row>
    <row r="39" spans="1:9">
      <c r="A39" s="7" t="s">
        <v>2058</v>
      </c>
      <c r="B39" s="9" t="s">
        <v>132</v>
      </c>
      <c r="C39" s="9" t="s">
        <v>127</v>
      </c>
      <c r="D39" s="9" t="s">
        <v>42</v>
      </c>
      <c r="E39" s="9" t="s">
        <v>34</v>
      </c>
      <c r="F39" s="9" t="s">
        <v>25</v>
      </c>
      <c r="G39" s="9" t="s">
        <v>16</v>
      </c>
      <c r="H39" s="9" t="s">
        <v>76</v>
      </c>
      <c r="I39" s="9" t="s">
        <v>2059</v>
      </c>
    </row>
    <row r="40" spans="1:9">
      <c r="A40" s="8" t="s">
        <v>775</v>
      </c>
      <c r="B40" s="9">
        <v>5</v>
      </c>
      <c r="C40" s="9">
        <v>12</v>
      </c>
      <c r="D40" s="9">
        <v>4</v>
      </c>
      <c r="E40" s="9">
        <v>9</v>
      </c>
      <c r="F40" s="9">
        <v>7</v>
      </c>
      <c r="G40" s="9">
        <v>6</v>
      </c>
      <c r="H40" s="9">
        <v>8</v>
      </c>
      <c r="I40" s="9">
        <v>51</v>
      </c>
    </row>
    <row r="41" spans="1:9">
      <c r="A41" s="8" t="s">
        <v>2074</v>
      </c>
      <c r="B41" s="9">
        <v>37</v>
      </c>
      <c r="C41" s="9">
        <v>27</v>
      </c>
      <c r="D41" s="9">
        <v>37</v>
      </c>
      <c r="E41" s="9">
        <v>21</v>
      </c>
      <c r="F41" s="9">
        <v>21</v>
      </c>
      <c r="G41" s="9">
        <v>32</v>
      </c>
      <c r="H41" s="9">
        <v>29</v>
      </c>
      <c r="I41" s="9">
        <v>204</v>
      </c>
    </row>
    <row r="42" spans="1:9">
      <c r="A42" s="8" t="s">
        <v>2073</v>
      </c>
      <c r="B42" s="9">
        <v>15</v>
      </c>
      <c r="C42" s="9">
        <v>20</v>
      </c>
      <c r="D42" s="9">
        <v>34</v>
      </c>
      <c r="E42" s="9">
        <v>28</v>
      </c>
      <c r="F42" s="9">
        <v>23</v>
      </c>
      <c r="G42" s="9">
        <v>33</v>
      </c>
      <c r="H42" s="9">
        <v>30</v>
      </c>
      <c r="I42" s="9">
        <v>183</v>
      </c>
    </row>
    <row r="43" spans="1:9">
      <c r="A43" s="8" t="s">
        <v>2076</v>
      </c>
      <c r="B43" s="9">
        <v>39</v>
      </c>
      <c r="C43" s="9">
        <v>31</v>
      </c>
      <c r="D43" s="9">
        <v>31</v>
      </c>
      <c r="E43" s="9">
        <v>33</v>
      </c>
      <c r="F43" s="9">
        <v>33</v>
      </c>
      <c r="G43" s="9">
        <v>32</v>
      </c>
      <c r="H43" s="9">
        <v>46</v>
      </c>
      <c r="I43" s="9">
        <v>245</v>
      </c>
    </row>
    <row r="44" spans="1:9">
      <c r="A44" s="8" t="s">
        <v>2075</v>
      </c>
      <c r="B44" s="9">
        <v>37</v>
      </c>
      <c r="C44" s="9">
        <v>46</v>
      </c>
      <c r="D44" s="9">
        <v>50</v>
      </c>
      <c r="E44" s="9">
        <v>47</v>
      </c>
      <c r="F44" s="9">
        <v>51</v>
      </c>
      <c r="G44" s="9">
        <v>46</v>
      </c>
      <c r="H44" s="9">
        <v>45</v>
      </c>
      <c r="I44" s="9">
        <v>322</v>
      </c>
    </row>
    <row r="45" spans="1:9">
      <c r="A45" s="8" t="s">
        <v>2059</v>
      </c>
      <c r="B45" s="9">
        <v>133</v>
      </c>
      <c r="C45" s="9">
        <v>136</v>
      </c>
      <c r="D45" s="9">
        <v>156</v>
      </c>
      <c r="E45" s="9">
        <v>138</v>
      </c>
      <c r="F45" s="9">
        <v>135</v>
      </c>
      <c r="G45" s="9">
        <v>149</v>
      </c>
      <c r="H45" s="9">
        <v>158</v>
      </c>
      <c r="I45" s="9">
        <v>1005</v>
      </c>
    </row>
    <row r="50" spans="1:7" ht="17.399999999999999">
      <c r="A50" s="46" t="s">
        <v>2069</v>
      </c>
      <c r="B50" s="46"/>
      <c r="C50" s="46"/>
      <c r="D50" s="46"/>
      <c r="E50" s="46"/>
      <c r="F50" s="46"/>
      <c r="G50" s="46"/>
    </row>
    <row r="51" spans="1:7">
      <c r="A51" s="7" t="s">
        <v>2060</v>
      </c>
      <c r="B51" s="7" t="s">
        <v>2064</v>
      </c>
    </row>
    <row r="52" spans="1:7">
      <c r="A52" s="7" t="s">
        <v>2058</v>
      </c>
      <c r="B52" s="9" t="s">
        <v>67</v>
      </c>
      <c r="C52" s="9" t="s">
        <v>20</v>
      </c>
      <c r="D52" s="9" t="s">
        <v>29</v>
      </c>
      <c r="E52" s="9" t="s">
        <v>37</v>
      </c>
      <c r="F52" s="9" t="s">
        <v>775</v>
      </c>
      <c r="G52" s="9" t="s">
        <v>2059</v>
      </c>
    </row>
    <row r="53" spans="1:7">
      <c r="A53" s="8" t="s">
        <v>132</v>
      </c>
      <c r="B53" s="12">
        <v>1695000</v>
      </c>
      <c r="C53" s="12">
        <v>957000</v>
      </c>
      <c r="D53" s="12">
        <v>872000</v>
      </c>
      <c r="E53" s="12">
        <v>1014000</v>
      </c>
      <c r="F53" s="12">
        <v>102000</v>
      </c>
      <c r="G53" s="12">
        <v>4640000</v>
      </c>
    </row>
    <row r="54" spans="1:7">
      <c r="A54" s="8" t="s">
        <v>127</v>
      </c>
      <c r="B54" s="12">
        <v>1069000</v>
      </c>
      <c r="C54" s="12">
        <v>1137000</v>
      </c>
      <c r="D54" s="12">
        <v>1043000</v>
      </c>
      <c r="E54" s="12">
        <v>1688000</v>
      </c>
      <c r="F54" s="12">
        <v>5000</v>
      </c>
      <c r="G54" s="12">
        <v>4942000</v>
      </c>
    </row>
    <row r="55" spans="1:7">
      <c r="A55" s="8" t="s">
        <v>42</v>
      </c>
      <c r="B55" s="12">
        <v>660000</v>
      </c>
      <c r="C55" s="12">
        <v>1169000</v>
      </c>
      <c r="D55" s="12">
        <v>1497000</v>
      </c>
      <c r="E55" s="12">
        <v>1362000</v>
      </c>
      <c r="F55" s="12"/>
      <c r="G55" s="12">
        <v>4688000</v>
      </c>
    </row>
    <row r="56" spans="1:7">
      <c r="A56" s="8" t="s">
        <v>34</v>
      </c>
      <c r="B56" s="12">
        <v>953000</v>
      </c>
      <c r="C56" s="12">
        <v>1218000</v>
      </c>
      <c r="D56" s="12">
        <v>1049000</v>
      </c>
      <c r="E56" s="12">
        <v>1047000</v>
      </c>
      <c r="F56" s="12">
        <v>8000</v>
      </c>
      <c r="G56" s="12">
        <v>4275000</v>
      </c>
    </row>
    <row r="57" spans="1:7">
      <c r="A57" s="8" t="s">
        <v>25</v>
      </c>
      <c r="B57" s="12">
        <v>1251000</v>
      </c>
      <c r="C57" s="12">
        <v>874000</v>
      </c>
      <c r="D57" s="12">
        <v>1097000</v>
      </c>
      <c r="E57" s="12">
        <v>1079000</v>
      </c>
      <c r="F57" s="12">
        <v>32000</v>
      </c>
      <c r="G57" s="12">
        <v>4333000</v>
      </c>
    </row>
    <row r="58" spans="1:7">
      <c r="A58" s="8" t="s">
        <v>16</v>
      </c>
      <c r="B58" s="12">
        <v>1112000</v>
      </c>
      <c r="C58" s="12">
        <v>970000</v>
      </c>
      <c r="D58" s="12">
        <v>1071000</v>
      </c>
      <c r="E58" s="12">
        <v>1270000</v>
      </c>
      <c r="F58" s="12">
        <v>135000</v>
      </c>
      <c r="G58" s="12">
        <v>4558000</v>
      </c>
    </row>
    <row r="59" spans="1:7">
      <c r="A59" s="8" t="s">
        <v>76</v>
      </c>
      <c r="B59" s="12">
        <v>1614000</v>
      </c>
      <c r="C59" s="12">
        <v>846000</v>
      </c>
      <c r="D59" s="12">
        <v>1326000</v>
      </c>
      <c r="E59" s="12">
        <v>1243000</v>
      </c>
      <c r="F59" s="12">
        <v>16000</v>
      </c>
      <c r="G59" s="12">
        <v>5045000</v>
      </c>
    </row>
    <row r="60" spans="1:7">
      <c r="A60" s="8" t="s">
        <v>2059</v>
      </c>
      <c r="B60" s="12">
        <v>8354000</v>
      </c>
      <c r="C60" s="12">
        <v>7171000</v>
      </c>
      <c r="D60" s="12">
        <v>7955000</v>
      </c>
      <c r="E60" s="12">
        <v>8703000</v>
      </c>
      <c r="F60" s="12">
        <v>298000</v>
      </c>
      <c r="G60" s="12">
        <v>32481000</v>
      </c>
    </row>
    <row r="63" spans="1:7" ht="17.399999999999999">
      <c r="A63" s="46" t="s">
        <v>2071</v>
      </c>
      <c r="B63" s="46"/>
      <c r="C63" s="46"/>
      <c r="D63" s="46"/>
      <c r="E63" s="46"/>
    </row>
    <row r="64" spans="1:7">
      <c r="A64" s="7" t="s">
        <v>2070</v>
      </c>
      <c r="B64" s="7" t="s">
        <v>2064</v>
      </c>
    </row>
    <row r="65" spans="1:5">
      <c r="A65" s="7" t="s">
        <v>2058</v>
      </c>
      <c r="B65" s="9" t="s">
        <v>775</v>
      </c>
      <c r="C65" s="9" t="s">
        <v>14</v>
      </c>
      <c r="D65" s="9" t="s">
        <v>32</v>
      </c>
      <c r="E65" s="9" t="s">
        <v>2059</v>
      </c>
    </row>
    <row r="66" spans="1:5">
      <c r="A66" s="8" t="s">
        <v>132</v>
      </c>
      <c r="B66" s="12">
        <v>15000</v>
      </c>
      <c r="C66" s="12">
        <v>34588.23529411765</v>
      </c>
      <c r="D66" s="12">
        <v>35841.269841269845</v>
      </c>
      <c r="E66" s="12">
        <v>34887.218045112779</v>
      </c>
    </row>
    <row r="67" spans="1:5">
      <c r="A67" s="8" t="s">
        <v>127</v>
      </c>
      <c r="B67" s="12">
        <v>37500</v>
      </c>
      <c r="C67" s="12">
        <v>35680</v>
      </c>
      <c r="D67" s="12">
        <v>37135.593220338982</v>
      </c>
      <c r="E67" s="12">
        <v>36338.23529411765</v>
      </c>
    </row>
    <row r="68" spans="1:5">
      <c r="A68" s="8" t="s">
        <v>42</v>
      </c>
      <c r="B68" s="12">
        <v>6500</v>
      </c>
      <c r="C68" s="12">
        <v>33562.5</v>
      </c>
      <c r="D68" s="12">
        <v>26891.891891891893</v>
      </c>
      <c r="E68" s="12">
        <v>30051.282051282051</v>
      </c>
    </row>
    <row r="69" spans="1:5">
      <c r="A69" s="8" t="s">
        <v>34</v>
      </c>
      <c r="B69" s="12">
        <v>39250</v>
      </c>
      <c r="C69" s="12">
        <v>28305.555555555555</v>
      </c>
      <c r="D69" s="12">
        <v>33548.387096774197</v>
      </c>
      <c r="E69" s="12">
        <v>30978.260869565216</v>
      </c>
    </row>
    <row r="70" spans="1:5">
      <c r="A70" s="8" t="s">
        <v>25</v>
      </c>
      <c r="B70" s="12">
        <v>8000</v>
      </c>
      <c r="C70" s="12">
        <v>36725.490196078434</v>
      </c>
      <c r="D70" s="12">
        <v>29804.878048780487</v>
      </c>
      <c r="E70" s="12">
        <v>32096.296296296296</v>
      </c>
    </row>
    <row r="71" spans="1:5">
      <c r="A71" s="8" t="s">
        <v>16</v>
      </c>
      <c r="B71" s="12">
        <v>38750</v>
      </c>
      <c r="C71" s="12">
        <v>30333.333333333332</v>
      </c>
      <c r="D71" s="12">
        <v>30388.235294117647</v>
      </c>
      <c r="E71" s="12">
        <v>30590.604026845638</v>
      </c>
    </row>
    <row r="72" spans="1:5">
      <c r="A72" s="8" t="s">
        <v>76</v>
      </c>
      <c r="B72" s="12">
        <v>52500</v>
      </c>
      <c r="C72" s="12">
        <v>31123.595505617977</v>
      </c>
      <c r="D72" s="12">
        <v>32388.059701492537</v>
      </c>
      <c r="E72" s="12">
        <v>31930.379746835442</v>
      </c>
    </row>
    <row r="73" spans="1:5">
      <c r="A73" s="8" t="s">
        <v>2059</v>
      </c>
      <c r="B73" s="12">
        <v>30611.111111111109</v>
      </c>
      <c r="C73" s="12">
        <v>32755.555555555555</v>
      </c>
      <c r="D73" s="12">
        <v>31943.08943089431</v>
      </c>
      <c r="E73" s="12">
        <v>32319.402985074626</v>
      </c>
    </row>
  </sheetData>
  <mergeCells count="10">
    <mergeCell ref="A63:E63"/>
    <mergeCell ref="A37:I37"/>
    <mergeCell ref="A1:C3"/>
    <mergeCell ref="G6:H6"/>
    <mergeCell ref="G19:H19"/>
    <mergeCell ref="D19:E19"/>
    <mergeCell ref="A19:B19"/>
    <mergeCell ref="D6:E6"/>
    <mergeCell ref="A6:B6"/>
    <mergeCell ref="A50:G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5E23B-80B7-4E7F-82AA-55BF7DF3CC10}">
  <dimension ref="A1:H3"/>
  <sheetViews>
    <sheetView showGridLines="0" workbookViewId="0">
      <selection activeCell="K1" sqref="K1"/>
    </sheetView>
  </sheetViews>
  <sheetFormatPr defaultRowHeight="14.4"/>
  <cols>
    <col min="1" max="16384" width="8.88671875" style="14"/>
  </cols>
  <sheetData>
    <row r="1" spans="1:8">
      <c r="A1" s="20" t="s">
        <v>2100</v>
      </c>
      <c r="B1" s="20"/>
      <c r="C1" s="20"/>
      <c r="D1" s="20"/>
      <c r="E1" s="20"/>
      <c r="F1" s="20"/>
      <c r="G1" s="20"/>
      <c r="H1" s="20"/>
    </row>
    <row r="2" spans="1:8">
      <c r="A2" s="20"/>
      <c r="B2" s="20"/>
      <c r="C2" s="20"/>
      <c r="D2" s="20"/>
      <c r="E2" s="20"/>
      <c r="F2" s="20"/>
      <c r="G2" s="20"/>
      <c r="H2" s="20"/>
    </row>
    <row r="3" spans="1:8">
      <c r="A3" s="20"/>
      <c r="B3" s="20"/>
      <c r="C3" s="20"/>
      <c r="D3" s="20"/>
      <c r="E3" s="20"/>
      <c r="F3" s="20"/>
      <c r="G3" s="20"/>
      <c r="H3" s="20"/>
    </row>
  </sheetData>
  <mergeCells count="1">
    <mergeCell ref="A1:H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508E-0E55-46DB-9B4E-7723DE39F2AF}">
  <dimension ref="A1:H13"/>
  <sheetViews>
    <sheetView showGridLines="0" topLeftCell="A3" zoomScaleNormal="100" workbookViewId="0">
      <selection activeCell="B13" sqref="B13:D13"/>
    </sheetView>
  </sheetViews>
  <sheetFormatPr defaultColWidth="9.109375" defaultRowHeight="14.4"/>
  <cols>
    <col min="1" max="1" width="9.109375" style="14"/>
    <col min="2" max="2" width="11.5546875" style="14" bestFit="1" customWidth="1"/>
    <col min="3" max="3" width="14.33203125" style="14" bestFit="1" customWidth="1"/>
    <col min="4" max="7" width="9.109375" style="14"/>
    <col min="8" max="8" width="12" style="14" customWidth="1"/>
    <col min="9" max="9" width="9.109375" style="14"/>
    <col min="10" max="10" width="11.6640625" style="14" bestFit="1" customWidth="1"/>
    <col min="11" max="15" width="9.109375" style="14"/>
    <col min="16" max="16" width="11.88671875" style="14" customWidth="1"/>
    <col min="17" max="16384" width="9.109375" style="14"/>
  </cols>
  <sheetData>
    <row r="1" spans="1:8">
      <c r="A1" s="20" t="s">
        <v>2099</v>
      </c>
      <c r="B1" s="20"/>
      <c r="C1" s="20"/>
      <c r="D1" s="20"/>
      <c r="E1" s="20"/>
      <c r="F1" s="20"/>
      <c r="G1" s="20"/>
      <c r="H1" s="20"/>
    </row>
    <row r="2" spans="1:8" ht="14.4" customHeight="1">
      <c r="A2" s="20"/>
      <c r="B2" s="20"/>
      <c r="C2" s="20"/>
      <c r="D2" s="20"/>
      <c r="E2" s="20"/>
      <c r="F2" s="20"/>
      <c r="G2" s="20"/>
      <c r="H2" s="20"/>
    </row>
    <row r="3" spans="1:8" ht="15" customHeight="1">
      <c r="A3" s="20"/>
      <c r="B3" s="20"/>
      <c r="C3" s="20"/>
      <c r="D3" s="20"/>
      <c r="E3" s="20"/>
      <c r="F3" s="20"/>
      <c r="G3" s="20"/>
      <c r="H3" s="20"/>
    </row>
    <row r="5" spans="1:8" ht="15" thickBot="1"/>
    <row r="6" spans="1:8" ht="15" customHeight="1">
      <c r="B6" s="24" t="s">
        <v>2093</v>
      </c>
      <c r="C6" s="25"/>
      <c r="D6" s="26"/>
      <c r="F6" s="24" t="s">
        <v>2094</v>
      </c>
      <c r="G6" s="25"/>
      <c r="H6" s="26"/>
    </row>
    <row r="7" spans="1:8" ht="15.75" customHeight="1" thickBot="1">
      <c r="B7" s="27"/>
      <c r="C7" s="28"/>
      <c r="D7" s="29"/>
      <c r="F7" s="27"/>
      <c r="G7" s="28"/>
      <c r="H7" s="29"/>
    </row>
    <row r="8" spans="1:8" ht="18" thickBot="1">
      <c r="B8" s="16"/>
      <c r="C8" s="17">
        <f>GETPIVOTDATA("Treatment Cost (PKR)",'3- Pivot Table'!$D$7)</f>
        <v>32481000</v>
      </c>
      <c r="D8" s="18"/>
      <c r="F8" s="16"/>
      <c r="G8" s="17">
        <f>GETPIVOTDATA("Patient Name",'3- Pivot Table'!$A$7)</f>
        <v>1005</v>
      </c>
      <c r="H8" s="18"/>
    </row>
    <row r="9" spans="1:8">
      <c r="C9" s="15"/>
      <c r="D9" s="15"/>
    </row>
    <row r="10" spans="1:8" ht="15" thickBot="1">
      <c r="B10" s="15"/>
      <c r="C10" s="15"/>
      <c r="D10" s="15"/>
    </row>
    <row r="11" spans="1:8" ht="18.600000000000001" customHeight="1">
      <c r="B11" s="24" t="s">
        <v>2095</v>
      </c>
      <c r="C11" s="25"/>
      <c r="D11" s="26"/>
      <c r="F11" s="24" t="s">
        <v>2097</v>
      </c>
      <c r="G11" s="25"/>
      <c r="H11" s="26"/>
    </row>
    <row r="12" spans="1:8" ht="14.4" customHeight="1" thickBot="1">
      <c r="B12" s="27"/>
      <c r="C12" s="28"/>
      <c r="D12" s="29"/>
      <c r="F12" s="27"/>
      <c r="G12" s="28"/>
      <c r="H12" s="29"/>
    </row>
    <row r="13" spans="1:8" ht="15" customHeight="1" thickBot="1">
      <c r="B13" s="21" t="s">
        <v>2096</v>
      </c>
      <c r="C13" s="22"/>
      <c r="D13" s="23"/>
      <c r="F13" s="21" t="s">
        <v>2098</v>
      </c>
      <c r="G13" s="22"/>
      <c r="H13" s="23"/>
    </row>
  </sheetData>
  <mergeCells count="7">
    <mergeCell ref="A1:H3"/>
    <mergeCell ref="F13:H13"/>
    <mergeCell ref="B6:D7"/>
    <mergeCell ref="F6:H7"/>
    <mergeCell ref="B13:D13"/>
    <mergeCell ref="B11:D12"/>
    <mergeCell ref="F11:H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Review</vt:lpstr>
      <vt:lpstr>1 - Raw Data (Dirty)</vt:lpstr>
      <vt:lpstr>2- Clean Data</vt:lpstr>
      <vt:lpstr>3- Pivot Table</vt:lpstr>
      <vt:lpstr>4- Charts &amp; Graphs</vt:lpstr>
      <vt:lpstr>5-Dashboard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BC220418008 Beautify Home Beauty Services</cp:lastModifiedBy>
  <dcterms:created xsi:type="dcterms:W3CDTF">2026-03-30T13:12:29Z</dcterms:created>
  <dcterms:modified xsi:type="dcterms:W3CDTF">2026-04-23T18:42:12Z</dcterms:modified>
</cp:coreProperties>
</file>